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900" yWindow="2280" windowWidth="28040" windowHeight="17180" tabRatio="600" firstSheet="5" activeTab="9" autoFilterDateGrouping="1"/>
  </bookViews>
  <sheets>
    <sheet xmlns:r="http://schemas.openxmlformats.org/officeDocument/2006/relationships" name="_Sheet_Index" sheetId="1" state="visible" r:id="rId1"/>
    <sheet xmlns:r="http://schemas.openxmlformats.org/officeDocument/2006/relationships" name="_Cleaning_Log" sheetId="2" state="visible" r:id="rId2"/>
    <sheet xmlns:r="http://schemas.openxmlformats.org/officeDocument/2006/relationships" name="HT_01_First_2026-07-13" sheetId="3" state="visible" r:id="rId3"/>
    <sheet xmlns:r="http://schemas.openxmlformats.org/officeDocument/2006/relationships" name="HT_02_Second_2026-07-20" sheetId="4" state="visible" r:id="rId4"/>
    <sheet xmlns:r="http://schemas.openxmlformats.org/officeDocument/2006/relationships" name="HT_03_Third_2026-07-27" sheetId="5" state="visible" r:id="rId5"/>
    <sheet xmlns:r="http://schemas.openxmlformats.org/officeDocument/2006/relationships" name="HT_04_Fourth_2026-08-03" sheetId="6" state="visible" r:id="rId6"/>
    <sheet xmlns:r="http://schemas.openxmlformats.org/officeDocument/2006/relationships" name="HT_05_Fifth_2026-08-10" sheetId="7" state="visible" r:id="rId7"/>
    <sheet xmlns:r="http://schemas.openxmlformats.org/officeDocument/2006/relationships" name="HT_06_Sixth_2026-08-18" sheetId="8" state="visible" r:id="rId8"/>
    <sheet xmlns:r="http://schemas.openxmlformats.org/officeDocument/2006/relationships" name="HT_07_Seventh_2026-08-19_Nam" sheetId="9" state="visible" r:id="rId9"/>
    <sheet xmlns:r="http://schemas.openxmlformats.org/officeDocument/2006/relationships" name="HT_Entry_Metadata" sheetId="10" state="visible" r:id="rId10"/>
    <sheet xmlns:r="http://schemas.openxmlformats.org/officeDocument/2006/relationships" name="SF_01_First_2026-07-23" sheetId="11" state="visible" r:id="rId11"/>
    <sheet xmlns:r="http://schemas.openxmlformats.org/officeDocument/2006/relationships" name="SF_02_Second_2026-08-07" sheetId="12" state="visible" r:id="rId12"/>
    <sheet xmlns:r="http://schemas.openxmlformats.org/officeDocument/2006/relationships" name="SF_03_Third_2026-08-18_Nam" sheetId="13" state="visible" r:id="rId13"/>
    <sheet xmlns:r="http://schemas.openxmlformats.org/officeDocument/2006/relationships" name="SF_03_Third_2026-08-18_Ella" sheetId="14" state="visible" r:id="rId14"/>
    <sheet xmlns:r="http://schemas.openxmlformats.org/officeDocument/2006/relationships" name="SF_04_Fourth_2026-08-19_Nam" sheetId="15" state="visible" r:id="rId15"/>
    <sheet xmlns:r="http://schemas.openxmlformats.org/officeDocument/2006/relationships" name="SF_Hybrid" sheetId="16" state="visible" r:id="rId16"/>
    <sheet xmlns:r="http://schemas.openxmlformats.org/officeDocument/2006/relationships" name="SF_Entry_Metadata" sheetId="17" state="visible" r:id="rId17"/>
    <sheet xmlns:r="http://schemas.openxmlformats.org/officeDocument/2006/relationships" name="RC_01_First_2026-08-12" sheetId="18" state="visible" r:id="rId18"/>
    <sheet xmlns:r="http://schemas.openxmlformats.org/officeDocument/2006/relationships" name="RC_Entry_Metadata" sheetId="19" state="visible" r:id="rId19"/>
    <sheet xmlns:r="http://schemas.openxmlformats.org/officeDocument/2006/relationships" name="Lab_Specific_Gravity" sheetId="20" state="visible" r:id="rId20"/>
    <sheet xmlns:r="http://schemas.openxmlformats.org/officeDocument/2006/relationships" name="Lab_Carotenoid" sheetId="21" state="visible" r:id="rId21"/>
    <sheet xmlns:r="http://schemas.openxmlformats.org/officeDocument/2006/relationships" name="Lab_TA" sheetId="22" state="visible" r:id="rId22"/>
    <sheet xmlns:r="http://schemas.openxmlformats.org/officeDocument/2006/relationships" name="Lab_Anthocyanin" sheetId="23" state="visible" r:id="rId23"/>
    <sheet xmlns:r="http://schemas.openxmlformats.org/officeDocument/2006/relationships" name="Lab_GABA" sheetId="24" state="visible" r:id="rId24"/>
    <sheet xmlns:r="http://schemas.openxmlformats.org/officeDocument/2006/relationships" name="Lab_Polyphenol" sheetId="25" state="visible" r:id="rId25"/>
  </sheets>
  <definedNames>
    <definedName name="_xlnm._FilterDatabase" localSheetId="0" hidden="1">'_Sheet_Index'!$A$1:$F$29</definedName>
    <definedName name="_xlnm._FilterDatabase" localSheetId="1" hidden="1">'_Cleaning_Log'!$A$1:$F$2831</definedName>
    <definedName name="_xlnm._FilterDatabase" localSheetId="2" hidden="1">'HT_01_First_2026-07-13'!$A$1:$L$20</definedName>
    <definedName name="_xlnm._FilterDatabase" localSheetId="3" hidden="1">'HT_02_Second_2026-07-20'!$A$1:$L$21</definedName>
    <definedName name="_xlnm._FilterDatabase" localSheetId="4" hidden="1">'HT_03_Third_2026-07-27'!$A$1:$L$51</definedName>
    <definedName name="_xlnm._FilterDatabase" localSheetId="5" hidden="1">'HT_04_Fourth_2026-08-03'!$A$1:$L$51</definedName>
    <definedName name="_xlnm._FilterDatabase" localSheetId="6" hidden="1">'HT_05_Fifth_2026-08-10'!$A$1:$L$51</definedName>
    <definedName name="_xlnm._FilterDatabase" localSheetId="7" hidden="1">'HT_06_Sixth_2026-08-18'!$A$1:$L$24</definedName>
    <definedName name="_xlnm._FilterDatabase" localSheetId="8" hidden="1">'HT_07_Seventh_2026-08-19_Nam'!$A$1:$K$3</definedName>
    <definedName name="_xlnm._FilterDatabase" localSheetId="9" hidden="1">'HT_Entry_Metadata'!$A$1:$F$51</definedName>
    <definedName name="_xlnm._FilterDatabase" localSheetId="10" hidden="1">'SF_01_First_2026-07-23'!$A$1:$M$154</definedName>
    <definedName name="_xlnm._FilterDatabase" localSheetId="11" hidden="1">'SF_02_Second_2026-08-07'!$A$1:$P$33</definedName>
    <definedName name="_xlnm._FilterDatabase" localSheetId="12" hidden="1">'SF_03_Third_2026-08-18_Nam'!$A$1:$L$54</definedName>
    <definedName name="_xlnm._FilterDatabase" localSheetId="13" hidden="1">'SF_03_Third_2026-08-18_Ella'!$A$1:$L$9</definedName>
    <definedName name="_xlnm._FilterDatabase" localSheetId="14" hidden="1">'SF_04_Fourth_2026-08-19_Nam'!$A$1:$L$59</definedName>
    <definedName name="_xlnm._FilterDatabase" localSheetId="15" hidden="1">'SF_Hybrid'!$A$1:$O$39</definedName>
    <definedName name="_xlnm._FilterDatabase" localSheetId="16" hidden="1">'SF_Entry_Metadata'!$A$1:$H$261</definedName>
    <definedName name="_xlnm._FilterDatabase" localSheetId="17" hidden="1">'RC_01_First_2026-08-12'!$A$1:$M$84</definedName>
    <definedName name="_xlnm._FilterDatabase" localSheetId="18" hidden="1">'RC_Entry_Metadata'!$A$1:$J$84</definedName>
    <definedName name="_xlnm._FilterDatabase" localSheetId="19" hidden="1">'Lab_Specific_Gravity'!$A$2:$L$241</definedName>
    <definedName name="_xlnm._FilterDatabase" localSheetId="20" hidden="1">'Lab_Carotenoid'!$A$1:$U$13</definedName>
    <definedName name="_xlnm._FilterDatabase" localSheetId="21" hidden="1">'Lab_TA'!$A$1:$I$3</definedName>
    <definedName name="_xlnm._FilterDatabase" localSheetId="22" hidden="1">'Lab_Anthocyanin'!$A$1:$I$1</definedName>
    <definedName name="_xlnm._FilterDatabase" localSheetId="23" hidden="1">'Lab_GABA'!$A$1:$I$187</definedName>
    <definedName name="_xlnm._FilterDatabase" localSheetId="24" hidden="1">'Lab_Polyphenol'!$A$1:$I$1</definedName>
  </definedNames>
  <calcPr calcId="191028" fullCalcOnLoad="1" calcCompleted="0"/>
</workbook>
</file>

<file path=xl/styles.xml><?xml version="1.0" encoding="utf-8"?>
<styleSheet xmlns="http://schemas.openxmlformats.org/spreadsheetml/2006/main">
  <numFmts count="3">
    <numFmt numFmtId="164" formatCode="0.000"/>
    <numFmt numFmtId="165" formatCode="yyyy-mm-dd"/>
    <numFmt numFmtId="166" formatCode="yyyy-mm-dd h:mm:ss"/>
  </numFmts>
  <fonts count="18">
    <font>
      <name val="Aptos Narrow"/>
      <family val="2"/>
      <color theme="1"/>
      <sz val="12"/>
      <scheme val="minor"/>
    </font>
    <font>
      <name val="Aptos Narrow"/>
      <b val="1"/>
      <color theme="1"/>
      <sz val="12"/>
      <scheme val="minor"/>
    </font>
    <font>
      <name val="Aptos Narrow"/>
      <family val="2"/>
      <color rgb="FF000000"/>
      <sz val="12"/>
      <scheme val="minor"/>
    </font>
    <font>
      <name val="Aptos Narrow"/>
      <family val="2"/>
      <b val="1"/>
      <color theme="1"/>
      <sz val="12"/>
      <scheme val="minor"/>
    </font>
    <font>
      <name val="Aptos Narrow"/>
      <color rgb="FF000000"/>
      <sz val="11"/>
    </font>
    <font>
      <name val="Calibri"/>
      <family val="2"/>
      <color rgb="FF000000"/>
      <sz val="11"/>
    </font>
    <font>
      <name val="Aptos Narrow"/>
      <charset val="1"/>
      <color rgb="FF000000"/>
      <sz val="12"/>
    </font>
    <font>
      <name val="Aptos Narrow"/>
      <family val="2"/>
      <color theme="6" tint="-0.249977111117893"/>
      <sz val="12"/>
      <scheme val="minor"/>
    </font>
    <font>
      <name val="Yu Gothic"/>
      <charset val="128"/>
      <family val="2"/>
      <sz val="6"/>
    </font>
    <font>
      <name val="Aptos Narrow"/>
      <family val="2"/>
      <color theme="0" tint="-0.8999908444471572"/>
      <sz val="12"/>
      <scheme val="minor"/>
    </font>
    <font>
      <name val="Aptos Narrow"/>
      <color theme="1"/>
      <sz val="12"/>
      <scheme val="minor"/>
    </font>
    <font>
      <name val="Aptos Narrow"/>
      <color rgb="FF000000"/>
      <sz val="12"/>
      <scheme val="minor"/>
    </font>
    <font>
      <name val="Aptos Narrow"/>
      <color rgb="FF000000"/>
      <sz val="11"/>
      <scheme val="minor"/>
    </font>
    <font>
      <name val="Aptos Narrow"/>
      <b val="1"/>
      <color rgb="FF000000"/>
      <sz val="12"/>
      <scheme val="minor"/>
    </font>
    <font>
      <name val="Aptos Narrow"/>
      <family val="2"/>
      <color rgb="FFFF0000"/>
      <sz val="12"/>
      <scheme val="minor"/>
    </font>
    <font>
      <b val="1"/>
    </font>
    <font>
      <name val="Calibri"/>
      <b val="1"/>
      <sz val="11"/>
    </font>
    <font>
      <name val="Calibri"/>
      <sz val="11"/>
    </font>
  </fonts>
  <fills count="4">
    <fill>
      <patternFill/>
    </fill>
    <fill>
      <patternFill patternType="gray125"/>
    </fill>
    <fill>
      <patternFill patternType="solid">
        <fgColor rgb="FFFFFF00"/>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border>
      <bottom style="thin">
        <color rgb="00000000"/>
      </bottom>
    </border>
  </borders>
  <cellStyleXfs count="1">
    <xf numFmtId="0" fontId="0" fillId="0" borderId="0"/>
  </cellStyleXfs>
  <cellXfs count="60">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wrapText="1"/>
    </xf>
    <xf numFmtId="16" fontId="2" fillId="0" borderId="1" applyAlignment="1" pivotButton="0" quotePrefix="0" xfId="0">
      <alignment wrapText="1"/>
    </xf>
    <xf numFmtId="0" fontId="0" fillId="0" borderId="2" pivotButton="0" quotePrefix="0" xfId="0"/>
    <xf numFmtId="0" fontId="3" fillId="0" borderId="2" applyAlignment="1" pivotButton="0" quotePrefix="0" xfId="0">
      <alignment horizontal="center" vertical="center" wrapText="1"/>
    </xf>
    <xf numFmtId="0" fontId="3" fillId="0" borderId="2" applyAlignment="1" pivotButton="0" quotePrefix="0" xfId="0">
      <alignment horizontal="center" vertical="center"/>
    </xf>
    <xf numFmtId="16" fontId="0" fillId="0" borderId="2" pivotButton="0" quotePrefix="0" xfId="0"/>
    <xf numFmtId="16" fontId="0" fillId="0" borderId="0" pivotButton="0" quotePrefix="0" xfId="0"/>
    <xf numFmtId="0" fontId="4" fillId="0" borderId="0" pivotButton="0" quotePrefix="0" xfId="0"/>
    <xf numFmtId="164" fontId="0" fillId="0" borderId="0" pivotButton="0" quotePrefix="0" xfId="0"/>
    <xf numFmtId="0" fontId="5" fillId="0" borderId="0" applyAlignment="1" pivotButton="0" quotePrefix="0" xfId="0">
      <alignment wrapText="1"/>
    </xf>
    <xf numFmtId="0" fontId="3" fillId="0" borderId="0" pivotButton="0" quotePrefix="0" xfId="0"/>
    <xf numFmtId="16" fontId="3" fillId="0" borderId="0" pivotButton="0" quotePrefix="0" xfId="0"/>
    <xf numFmtId="0" fontId="0" fillId="2" borderId="0" pivotButton="0" quotePrefix="0" xfId="0"/>
    <xf numFmtId="0" fontId="3" fillId="2" borderId="0" pivotButton="0" quotePrefix="0" xfId="0"/>
    <xf numFmtId="16" fontId="6" fillId="0" borderId="0" pivotButton="0" quotePrefix="0" xfId="0"/>
    <xf numFmtId="0" fontId="3" fillId="0" borderId="1" applyAlignment="1" pivotButton="0" quotePrefix="0" xfId="0">
      <alignment horizontal="center" vertical="center"/>
    </xf>
    <xf numFmtId="0" fontId="2" fillId="0" borderId="1" pivotButton="0" quotePrefix="0" xfId="0"/>
    <xf numFmtId="16" fontId="2" fillId="0" borderId="1" pivotButton="0" quotePrefix="0" xfId="0"/>
    <xf numFmtId="0" fontId="7" fillId="0" borderId="1" applyAlignment="1" pivotButton="0" quotePrefix="0" xfId="0">
      <alignment wrapText="1"/>
    </xf>
    <xf numFmtId="16" fontId="7" fillId="0" borderId="1" applyAlignment="1" pivotButton="0" quotePrefix="0" xfId="0">
      <alignment wrapText="1"/>
    </xf>
    <xf numFmtId="0" fontId="9" fillId="0" borderId="1" applyAlignment="1" pivotButton="0" quotePrefix="0" xfId="0">
      <alignment wrapText="1"/>
    </xf>
    <xf numFmtId="0" fontId="7" fillId="0" borderId="0" pivotButton="0" quotePrefix="0" xfId="0"/>
    <xf numFmtId="16" fontId="7" fillId="0" borderId="0" pivotButton="0" quotePrefix="0" xfId="0"/>
    <xf numFmtId="0" fontId="10" fillId="0" borderId="1" applyAlignment="1" pivotButton="0" quotePrefix="0" xfId="0">
      <alignment horizontal="center" vertical="center" wrapText="1"/>
    </xf>
    <xf numFmtId="3" fontId="0" fillId="0" borderId="0" pivotButton="0" quotePrefix="0" xfId="0"/>
    <xf numFmtId="0" fontId="10" fillId="0" borderId="0" pivotButton="0" quotePrefix="0" xfId="0"/>
    <xf numFmtId="0" fontId="11" fillId="0" borderId="0" pivotButton="0" quotePrefix="0" xfId="0"/>
    <xf numFmtId="0" fontId="10" fillId="0" borderId="3" pivotButton="0" quotePrefix="0" xfId="0"/>
    <xf numFmtId="0" fontId="10" fillId="0" borderId="4" pivotButton="0" quotePrefix="0" xfId="0"/>
    <xf numFmtId="0" fontId="12" fillId="0" borderId="0" pivotButton="0" quotePrefix="0" xfId="0"/>
    <xf numFmtId="16" fontId="10" fillId="0" borderId="0" pivotButton="0" quotePrefix="0" xfId="0"/>
    <xf numFmtId="16" fontId="1" fillId="0" borderId="0" pivotButton="0" quotePrefix="0" xfId="0"/>
    <xf numFmtId="0" fontId="1" fillId="0" borderId="0" pivotButton="0" quotePrefix="0" xfId="0"/>
    <xf numFmtId="0" fontId="1" fillId="2" borderId="0" pivotButton="0" quotePrefix="0" xfId="0"/>
    <xf numFmtId="16" fontId="11" fillId="0" borderId="0" pivotButton="0" quotePrefix="0" xfId="0"/>
    <xf numFmtId="0" fontId="10" fillId="2" borderId="0" pivotButton="0" quotePrefix="0" xfId="0"/>
    <xf numFmtId="0" fontId="13" fillId="0" borderId="0" pivotButton="0" quotePrefix="0" xfId="0"/>
    <xf numFmtId="0" fontId="10" fillId="0" borderId="0" applyAlignment="1" pivotButton="0" quotePrefix="0" xfId="0">
      <alignment readingOrder="1"/>
    </xf>
    <xf numFmtId="0" fontId="0" fillId="0" borderId="1" applyAlignment="1" pivotButton="0" quotePrefix="0" xfId="0">
      <alignment wrapText="1"/>
    </xf>
    <xf numFmtId="16" fontId="0" fillId="0" borderId="1" applyAlignment="1" pivotButton="0" quotePrefix="0" xfId="0">
      <alignment wrapText="1"/>
    </xf>
    <xf numFmtId="0" fontId="2" fillId="0" borderId="2" pivotButton="0" quotePrefix="0" xfId="0"/>
    <xf numFmtId="16" fontId="2" fillId="0" borderId="2" pivotButton="0" quotePrefix="0" xfId="0"/>
    <xf numFmtId="0" fontId="2" fillId="2" borderId="2" pivotButton="0" quotePrefix="0" xfId="0"/>
    <xf numFmtId="0" fontId="0" fillId="2" borderId="2" pivotButton="0" quotePrefix="0" xfId="0"/>
    <xf numFmtId="16" fontId="0" fillId="2" borderId="2" pivotButton="0" quotePrefix="0" xfId="0"/>
    <xf numFmtId="0" fontId="2" fillId="3" borderId="2" pivotButton="0" quotePrefix="0" xfId="0"/>
    <xf numFmtId="0" fontId="0" fillId="0" borderId="2" applyAlignment="1" pivotButton="0" quotePrefix="0" xfId="0">
      <alignment wrapText="1"/>
    </xf>
    <xf numFmtId="0" fontId="0" fillId="0" borderId="0" applyAlignment="1" pivotButton="0" quotePrefix="0" xfId="0">
      <alignment wrapText="1"/>
    </xf>
    <xf numFmtId="0" fontId="14" fillId="0" borderId="0" pivotButton="0" quotePrefix="0" xfId="0"/>
    <xf numFmtId="0" fontId="0" fillId="0" borderId="2" applyAlignment="1" pivotButton="0" quotePrefix="0" xfId="0">
      <alignment horizontal="center"/>
    </xf>
    <xf numFmtId="0" fontId="10" fillId="0" borderId="4" pivotButton="0" quotePrefix="0" xfId="0"/>
    <xf numFmtId="0" fontId="10" fillId="0" borderId="5" pivotButton="0" quotePrefix="0" xfId="0"/>
    <xf numFmtId="0" fontId="10" fillId="2" borderId="0" pivotButton="0" quotePrefix="0" xfId="0"/>
    <xf numFmtId="0" fontId="0" fillId="0" borderId="0" pivotButton="0" quotePrefix="0" xfId="0"/>
    <xf numFmtId="0" fontId="16" fillId="0" borderId="13" applyAlignment="1" pivotButton="0" quotePrefix="0" xfId="0">
      <alignment vertical="center" wrapText="1"/>
    </xf>
    <xf numFmtId="0" fontId="17" fillId="0" borderId="12" applyAlignment="1" pivotButton="0" quotePrefix="0" xfId="0">
      <alignment vertical="center"/>
    </xf>
    <xf numFmtId="0" fontId="17" fillId="0" borderId="12" applyAlignment="1" pivotButton="0" quotePrefix="0" xfId="0">
      <alignment horizontal="center" vertical="center"/>
    </xf>
    <xf numFmtId="165" fontId="17" fillId="0" borderId="1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29"/>
  <sheetViews>
    <sheetView showGridLines="1" topLeftCell="A1" workbookViewId="0">
      <pane ySplit="1" topLeftCell="A2" activePane="bottomLeft" state="frozen"/>
      <selection pane="bottomLeft" activeCell="A1" sqref="A1"/>
    </sheetView>
  </sheetViews>
  <sheetFormatPr baseColWidth="8" defaultColWidth="10.875" defaultRowHeight="16.5" customHeight="0"/>
  <cols>
    <col width="30" customWidth="1" style="55" min="1" max="1"/>
    <col width="36" customWidth="1" style="55" min="2" max="2"/>
    <col width="29" customWidth="1" style="55" min="3" max="3"/>
    <col width="22" customWidth="1" style="55" min="4" max="4"/>
    <col width="22" customWidth="1" style="55" min="5" max="5"/>
    <col width="36" customWidth="1" style="55" min="6" max="6"/>
  </cols>
  <sheetData>
    <row r="1" ht="18" customHeight="1" s="55">
      <c r="A1" s="56" t="inlineStr">
        <is>
          <t>New sheet name</t>
        </is>
      </c>
      <c r="B1" s="56" t="inlineStr">
        <is>
          <t>Original name</t>
        </is>
      </c>
      <c r="C1" s="56" t="inlineStr">
        <is>
          <t>Location</t>
        </is>
      </c>
      <c r="D1" s="56" t="inlineStr">
        <is>
          <t>Harvest</t>
        </is>
      </c>
      <c r="E1" s="56" t="inlineStr">
        <is>
          <t>Date assigned</t>
        </is>
      </c>
      <c r="F1" s="56" t="inlineStr">
        <is>
          <t>Date reasoning</t>
        </is>
      </c>
    </row>
    <row r="2" ht="25" customHeight="1" s="55">
      <c r="A2" s="57" t="inlineStr">
        <is>
          <t>HT_01_First_2026-07-13</t>
        </is>
      </c>
      <c r="B2" s="57" t="inlineStr">
        <is>
          <t>First</t>
        </is>
      </c>
      <c r="C2" s="57" t="inlineStr">
        <is>
          <t>High tunnel</t>
        </is>
      </c>
      <c r="D2" s="57" t="inlineStr">
        <is>
          <t>First</t>
        </is>
      </c>
      <c r="E2" s="57" t="inlineStr">
        <is>
          <t>2026-07-13</t>
        </is>
      </c>
      <c r="F2" s="57" t="inlineStr">
        <is>
          <t>Recorded on sheet for all rows</t>
        </is>
      </c>
    </row>
    <row r="3" ht="25" customHeight="1" s="55">
      <c r="A3" s="57" t="inlineStr">
        <is>
          <t>HT_02_Second_2026-07-20</t>
        </is>
      </c>
      <c r="B3" s="57" t="inlineStr">
        <is>
          <t>Second</t>
        </is>
      </c>
      <c r="C3" s="57" t="inlineStr">
        <is>
          <t>High tunnel</t>
        </is>
      </c>
      <c r="D3" s="57" t="inlineStr">
        <is>
          <t>Second</t>
        </is>
      </c>
      <c r="E3" s="57" t="inlineStr">
        <is>
          <t>2026-07-20</t>
        </is>
      </c>
      <c r="F3" s="57" t="inlineStr">
        <is>
          <t>Recorded on sheet for all rows</t>
        </is>
      </c>
    </row>
    <row r="4" ht="25" customHeight="1" s="55">
      <c r="A4" s="57" t="inlineStr">
        <is>
          <t>HT_03_Third_2026-07-27</t>
        </is>
      </c>
      <c r="B4" s="57" t="inlineStr">
        <is>
          <t>Third</t>
        </is>
      </c>
      <c r="C4" s="57" t="inlineStr">
        <is>
          <t>High tunnel</t>
        </is>
      </c>
      <c r="D4" s="57" t="inlineStr">
        <is>
          <t>Third</t>
        </is>
      </c>
      <c r="E4" s="57" t="inlineStr">
        <is>
          <t>2026-07-27</t>
        </is>
      </c>
      <c r="F4" s="57" t="inlineStr">
        <is>
          <t>Two-day HT harvest (7/27–7/28 recorded); blanks filled with 7/27</t>
        </is>
      </c>
    </row>
    <row r="5" ht="25" customHeight="1" s="55">
      <c r="A5" s="57" t="inlineStr">
        <is>
          <t>HT_04_Fourth_2026-08-03</t>
        </is>
      </c>
      <c r="B5" s="57" t="inlineStr">
        <is>
          <t>Fourth</t>
        </is>
      </c>
      <c r="C5" s="57" t="inlineStr">
        <is>
          <t>High tunnel</t>
        </is>
      </c>
      <c r="D5" s="57" t="inlineStr">
        <is>
          <t>Fourth</t>
        </is>
      </c>
      <c r="E5" s="57" t="inlineStr">
        <is>
          <t>2026-08-03</t>
        </is>
      </c>
      <c r="F5" s="57" t="inlineStr">
        <is>
          <t>Inferred: weekly HT cadence after Third (Mon 7/27 → Mon 8/3)</t>
        </is>
      </c>
    </row>
    <row r="6" ht="25" customHeight="1" s="55">
      <c r="A6" s="57" t="inlineStr">
        <is>
          <t>HT_05_Fifth_2026-08-10</t>
        </is>
      </c>
      <c r="B6" s="57" t="inlineStr">
        <is>
          <t>Fifth</t>
        </is>
      </c>
      <c r="C6" s="57" t="inlineStr">
        <is>
          <t>High tunnel</t>
        </is>
      </c>
      <c r="D6" s="57" t="inlineStr">
        <is>
          <t>Fifth</t>
        </is>
      </c>
      <c r="E6" s="57" t="inlineStr">
        <is>
          <t>2026-08-10</t>
        </is>
      </c>
      <c r="F6" s="57" t="inlineStr">
        <is>
          <t>Inferred: weekly HT cadence; SG HT samples cluster on 8/11</t>
        </is>
      </c>
    </row>
    <row r="7" ht="25" customHeight="1" s="55">
      <c r="A7" s="57" t="inlineStr">
        <is>
          <t>HT_06_Sixth_2026-08-18</t>
        </is>
      </c>
      <c r="B7" s="57" t="inlineStr">
        <is>
          <t>High Tunnel Harvest Sixth</t>
        </is>
      </c>
      <c r="C7" s="57" t="inlineStr">
        <is>
          <t>High tunnel</t>
        </is>
      </c>
      <c r="D7" s="57" t="inlineStr">
        <is>
          <t>Sixth</t>
        </is>
      </c>
      <c r="E7" s="57" t="inlineStr">
        <is>
          <t>2026-08-18</t>
        </is>
      </c>
      <c r="F7" s="57" t="inlineStr">
        <is>
          <t>Recorded on sheet (first row); applied to all rows</t>
        </is>
      </c>
    </row>
    <row r="8" ht="25" customHeight="1" s="55">
      <c r="A8" s="57" t="inlineStr">
        <is>
          <t>HT_07_Seventh_2026-08-19_Nam</t>
        </is>
      </c>
      <c r="B8" s="57" t="inlineStr">
        <is>
          <t>High_tunnel_Aug19_Nam</t>
        </is>
      </c>
      <c r="C8" s="57" t="inlineStr">
        <is>
          <t>High tunnel</t>
        </is>
      </c>
      <c r="D8" s="57" t="inlineStr">
        <is>
          <t>Seventh</t>
        </is>
      </c>
      <c r="E8" s="57" t="inlineStr">
        <is>
          <t>2026-08-19</t>
        </is>
      </c>
      <c r="F8" s="57" t="inlineStr">
        <is>
          <t>Recorded on sheet; seventh HT harvest</t>
        </is>
      </c>
    </row>
    <row r="9" ht="25" customHeight="1" s="55">
      <c r="A9" s="57" t="inlineStr">
        <is>
          <t>SF_01_First_2026-07-23</t>
        </is>
      </c>
      <c r="B9" s="57" t="inlineStr">
        <is>
          <t>FirstHArvest_OpenFieldLex</t>
        </is>
      </c>
      <c r="C9" s="57" t="inlineStr">
        <is>
          <t>South Farm</t>
        </is>
      </c>
      <c r="D9" s="57" t="inlineStr">
        <is>
          <t>First</t>
        </is>
      </c>
      <c r="E9" s="57" t="inlineStr">
        <is>
          <t>2026-07-23</t>
        </is>
      </c>
      <c r="F9" s="57" t="inlineStr">
        <is>
          <t>Recorded on first row; South Farm first harvest</t>
        </is>
      </c>
    </row>
    <row r="10" ht="25" customHeight="1" s="55">
      <c r="A10" s="57" t="inlineStr">
        <is>
          <t>SF_02_Second_2026-08-07</t>
        </is>
      </c>
      <c r="B10" s="57" t="inlineStr">
        <is>
          <t>SecondHarvestOpenField</t>
        </is>
      </c>
      <c r="C10" s="57" t="inlineStr">
        <is>
          <t>South Farm</t>
        </is>
      </c>
      <c r="D10" s="57" t="inlineStr">
        <is>
          <t>Second</t>
        </is>
      </c>
      <c r="E10" s="57" t="inlineStr">
        <is>
          <t>(mixed / blank)</t>
        </is>
      </c>
      <c r="F10" s="57" t="inlineStr">
        <is>
          <t>South Farm second harvest; mixed recorded dates 8/7 and 8/10</t>
        </is>
      </c>
    </row>
    <row r="11" ht="25" customHeight="1" s="55">
      <c r="A11" s="57" t="inlineStr">
        <is>
          <t>SF_03_Third_2026-08-18_Nam</t>
        </is>
      </c>
      <c r="B11" s="57" t="inlineStr">
        <is>
          <t>Second_Lex_Aug18_Nam</t>
        </is>
      </c>
      <c r="C11" s="57" t="inlineStr">
        <is>
          <t>South Farm</t>
        </is>
      </c>
      <c r="D11" s="57" t="inlineStr">
        <is>
          <t>Third</t>
        </is>
      </c>
      <c r="E11" s="57" t="inlineStr">
        <is>
          <t>2026-08-18</t>
        </is>
      </c>
      <c r="F11" s="57" t="inlineStr">
        <is>
          <t>South Farm third harvest; data entered by Nam</t>
        </is>
      </c>
    </row>
    <row r="12" ht="25" customHeight="1" s="55">
      <c r="A12" s="57" t="inlineStr">
        <is>
          <t>SF_03_Third_2026-08-18_Ella</t>
        </is>
      </c>
      <c r="B12" s="57" t="inlineStr">
        <is>
          <t>Second_Lex_Aug18_Ella</t>
        </is>
      </c>
      <c r="C12" s="57" t="inlineStr">
        <is>
          <t>South Farm</t>
        </is>
      </c>
      <c r="D12" s="57" t="inlineStr">
        <is>
          <t>Third</t>
        </is>
      </c>
      <c r="E12" s="57" t="inlineStr">
        <is>
          <t>2026-08-18</t>
        </is>
      </c>
      <c r="F12" s="57" t="inlineStr">
        <is>
          <t>South Farm third harvest; data entered by Ella (same day as Nam sheet)</t>
        </is>
      </c>
    </row>
    <row r="13" ht="25" customHeight="1" s="55">
      <c r="A13" s="57" t="inlineStr">
        <is>
          <t>SF_04_Fourth_2026-08-19_Nam</t>
        </is>
      </c>
      <c r="B13" s="57" t="inlineStr">
        <is>
          <t>Second_lex_Aug19_Nam</t>
        </is>
      </c>
      <c r="C13" s="57" t="inlineStr">
        <is>
          <t>South Farm</t>
        </is>
      </c>
      <c r="D13" s="57" t="inlineStr">
        <is>
          <t>Fourth</t>
        </is>
      </c>
      <c r="E13" s="57" t="inlineStr">
        <is>
          <t>2026-08-19</t>
        </is>
      </c>
      <c r="F13" s="57" t="inlineStr">
        <is>
          <t>South Farm fourth harvest; data entered by Nam</t>
        </is>
      </c>
    </row>
    <row r="14" ht="25" customHeight="1" s="55">
      <c r="A14" s="57" t="inlineStr">
        <is>
          <t>SF_Hybrid</t>
        </is>
      </c>
      <c r="B14" s="57" t="inlineStr">
        <is>
          <t>hybrid_harvest_Lex_MS</t>
        </is>
      </c>
      <c r="C14" s="57" t="inlineStr">
        <is>
          <t>South Farm</t>
        </is>
      </c>
      <c r="D14" s="57" t="inlineStr">
        <is>
          <t>—</t>
        </is>
      </c>
      <c r="E14" s="57" t="inlineStr">
        <is>
          <t>(mixed / blank)</t>
        </is>
      </c>
      <c r="F14" s="57" t="inlineStr">
        <is>
          <t>Hybrid evaluation block; no harvest date recorded</t>
        </is>
      </c>
    </row>
    <row r="15" ht="25" customHeight="1" s="55">
      <c r="A15" s="57" t="inlineStr">
        <is>
          <t>RC_01_First_2026-08-12</t>
        </is>
      </c>
      <c r="B15" s="57" t="inlineStr">
        <is>
          <t>RobinsonCenter</t>
        </is>
      </c>
      <c r="C15" s="57" t="inlineStr">
        <is>
          <t>Robinson</t>
        </is>
      </c>
      <c r="D15" s="57" t="inlineStr">
        <is>
          <t>First</t>
        </is>
      </c>
      <c r="E15" s="57" t="inlineStr">
        <is>
          <t>2026-08-12</t>
        </is>
      </c>
      <c r="F15" s="57" t="inlineStr">
        <is>
          <t>SG Robinson first-harvest assays all dated 2026-08-12</t>
        </is>
      </c>
    </row>
    <row r="16" ht="25" customHeight="1" s="55">
      <c r="A16" s="57" t="inlineStr">
        <is>
          <t>Lab_Specific_Gravity</t>
        </is>
      </c>
      <c r="B16" s="57" t="inlineStr">
        <is>
          <t>Specific Gravity</t>
        </is>
      </c>
      <c r="C16" s="57" t="inlineStr">
        <is>
          <t>Lab</t>
        </is>
      </c>
      <c r="D16" s="57" t="inlineStr">
        <is>
          <t>—</t>
        </is>
      </c>
      <c r="E16" s="57" t="inlineStr">
        <is>
          <t>(as recorded)</t>
        </is>
      </c>
      <c r="F16" s="57" t="inlineStr">
        <is>
          <t>Quality assay sheet; dates are lab run dates</t>
        </is>
      </c>
    </row>
    <row r="17" ht="25" customHeight="1" s="55">
      <c r="A17" s="57" t="inlineStr">
        <is>
          <t>Lab_Carotenoid</t>
        </is>
      </c>
      <c r="B17" s="57" t="inlineStr">
        <is>
          <t>Carotenoid</t>
        </is>
      </c>
      <c r="C17" s="57" t="inlineStr">
        <is>
          <t>Lab</t>
        </is>
      </c>
      <c r="D17" s="57" t="inlineStr">
        <is>
          <t>—</t>
        </is>
      </c>
      <c r="E17" s="57" t="inlineStr">
        <is>
          <t>(as recorded)</t>
        </is>
      </c>
      <c r="F17" s="57" t="inlineStr">
        <is>
          <t>Quality assay sheet; dates are lab run dates</t>
        </is>
      </c>
    </row>
    <row r="18" ht="25" customHeight="1" s="55">
      <c r="A18" s="57" t="inlineStr">
        <is>
          <t>Lab_TA</t>
        </is>
      </c>
      <c r="B18" s="57" t="inlineStr">
        <is>
          <t>TA</t>
        </is>
      </c>
      <c r="C18" s="57" t="inlineStr">
        <is>
          <t>Lab</t>
        </is>
      </c>
      <c r="D18" s="57" t="inlineStr">
        <is>
          <t>—</t>
        </is>
      </c>
      <c r="E18" s="57" t="inlineStr">
        <is>
          <t>(as recorded)</t>
        </is>
      </c>
      <c r="F18" s="57" t="inlineStr">
        <is>
          <t>Quality assay sheet; dates are lab run dates</t>
        </is>
      </c>
    </row>
    <row r="19" ht="25" customHeight="1" s="55">
      <c r="A19" s="57" t="inlineStr">
        <is>
          <t>Lab_Anthocyanin</t>
        </is>
      </c>
      <c r="B19" s="57" t="inlineStr">
        <is>
          <t>Anthocyanin</t>
        </is>
      </c>
      <c r="C19" s="57" t="inlineStr">
        <is>
          <t>Lab</t>
        </is>
      </c>
      <c r="D19" s="57" t="inlineStr">
        <is>
          <t>—</t>
        </is>
      </c>
      <c r="E19" s="57" t="inlineStr">
        <is>
          <t>(as recorded)</t>
        </is>
      </c>
      <c r="F19" s="57" t="inlineStr">
        <is>
          <t>Quality assay sheet; dates are lab run dates</t>
        </is>
      </c>
    </row>
    <row r="20" ht="25" customHeight="1" s="55">
      <c r="A20" s="57" t="inlineStr">
        <is>
          <t>Lab_GABA</t>
        </is>
      </c>
      <c r="B20" s="57" t="inlineStr">
        <is>
          <t>GABA</t>
        </is>
      </c>
      <c r="C20" s="57" t="inlineStr">
        <is>
          <t>Lab</t>
        </is>
      </c>
      <c r="D20" s="57" t="inlineStr">
        <is>
          <t>—</t>
        </is>
      </c>
      <c r="E20" s="57" t="inlineStr">
        <is>
          <t>(as recorded)</t>
        </is>
      </c>
      <c r="F20" s="57" t="inlineStr">
        <is>
          <t>Quality assay sheet; dates are lab run dates</t>
        </is>
      </c>
    </row>
    <row r="21" ht="25" customHeight="1" s="55">
      <c r="A21" s="57" t="inlineStr">
        <is>
          <t>Lab_Polyphenol</t>
        </is>
      </c>
      <c r="B21" s="57" t="inlineStr">
        <is>
          <t>Polyphenol</t>
        </is>
      </c>
      <c r="C21" s="57" t="inlineStr">
        <is>
          <t>Lab</t>
        </is>
      </c>
      <c r="D21" s="57" t="inlineStr">
        <is>
          <t>—</t>
        </is>
      </c>
      <c r="E21" s="57" t="inlineStr">
        <is>
          <t>(as recorded)</t>
        </is>
      </c>
      <c r="F21" s="57" t="inlineStr">
        <is>
          <t>Quality assay sheet; dates are lab run dates</t>
        </is>
      </c>
    </row>
    <row r="22" ht="25" customHeight="1" s="55">
      <c r="A22" s="57" t="n"/>
      <c r="B22" s="57" t="n"/>
      <c r="C22" s="57" t="n"/>
      <c r="D22" s="57" t="n"/>
      <c r="E22" s="57" t="n"/>
      <c r="F22" s="57" t="n"/>
    </row>
    <row r="23" ht="25" customHeight="1" s="55">
      <c r="A23" s="57" t="inlineStr">
        <is>
          <t>Naming key</t>
        </is>
      </c>
      <c r="B23" s="57" t="inlineStr">
        <is>
          <t>HT = High tunnel</t>
        </is>
      </c>
      <c r="C23" s="57" t="inlineStr">
        <is>
          <t>SF = South Farm / Lex field</t>
        </is>
      </c>
      <c r="D23" s="57" t="inlineStr">
        <is>
          <t>RC = Robinson Center</t>
        </is>
      </c>
      <c r="E23" s="57" t="inlineStr">
        <is>
          <t>Lab = quality assays</t>
        </is>
      </c>
      <c r="F23" s="57" t="inlineStr">
        <is>
          <t>Nam/Ella in sheet names = who entered the data</t>
        </is>
      </c>
    </row>
    <row r="24" ht="25" customHeight="1" s="55">
      <c r="A24" s="57" t="n"/>
      <c r="B24" s="57" t="n"/>
      <c r="C24" s="57" t="n"/>
      <c r="D24" s="57" t="n"/>
      <c r="E24" s="57" t="n"/>
      <c r="F24" s="57" t="n"/>
    </row>
    <row r="25" ht="25" customHeight="1" s="55">
      <c r="A25" s="57" t="inlineStr">
        <is>
          <t>Empty cells</t>
        </is>
      </c>
      <c r="B25" s="57" t="inlineStr">
        <is>
          <t>Numeric blanks = not measured (left empty for Excel math).</t>
        </is>
      </c>
      <c r="C25" s="57" t="n"/>
      <c r="D25" s="57" t="n"/>
      <c r="E25" s="57" t="n"/>
      <c r="F25" s="57" t="n"/>
    </row>
    <row r="26" ht="25" customHeight="1" s="55">
      <c r="A26" s="58" t="inlineStr">
        <is>
          <t>N/A</t>
        </is>
      </c>
      <c r="B26" s="57" t="inlineStr">
        <is>
          <t>Text/ID fields with no value (Replicate, notes, dates when unknown, etc.). Never means zero.</t>
        </is>
      </c>
      <c r="C26" s="57" t="n"/>
      <c r="D26" s="57" t="n"/>
      <c r="E26" s="57" t="n"/>
      <c r="F26" s="57" t="n"/>
    </row>
    <row r="27" ht="25" customHeight="1" s="55">
      <c r="A27" s="57" t="inlineStr">
        <is>
          <t>Replicate (R1/R2…)</t>
        </is>
      </c>
      <c r="B27" s="57" t="inlineStr">
        <is>
          <t>Same genotype planted in multiple plots; keep even if later harvests stopped logging replicas.</t>
        </is>
      </c>
      <c r="C27" s="57" t="n"/>
      <c r="D27" s="57" t="n"/>
      <c r="E27" s="57" t="n"/>
      <c r="F27" s="57" t="n"/>
    </row>
    <row r="28" ht="25" customHeight="1" s="55">
      <c r="A28" s="57" t="inlineStr">
        <is>
          <t>SN</t>
        </is>
      </c>
      <c r="B28" s="57" t="inlineStr">
        <is>
          <t>Sequential row number within the sheet (filled when blank), like EN in Entries_Lexington_field.</t>
        </is>
      </c>
      <c r="C28" s="57" t="n"/>
      <c r="D28" s="57" t="n"/>
      <c r="E28" s="57" t="n"/>
      <c r="F28" s="57" t="n"/>
    </row>
    <row r="29" ht="25" customHeight="1" s="55">
      <c r="A29" s="57" t="inlineStr">
        <is>
          <t>SF / RC metadata</t>
        </is>
      </c>
      <c r="B29" s="57" t="inlineStr">
        <is>
          <t>SF_Entry_Metadata + RC_Entry_Metadata from OneDrive entry lists; Experiment on SF harvest sheets from field layout tags.</t>
        </is>
      </c>
      <c r="C29" s="57" t="n"/>
      <c r="D29" s="57" t="n"/>
      <c r="E29" s="57" t="n"/>
      <c r="F29" s="57" t="n"/>
    </row>
  </sheetData>
  <autoFilter ref="A1:F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31"/>
  <sheetViews>
    <sheetView showGridLines="1" topLeftCell="A1"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8" customWidth="1" style="55" min="2" max="2"/>
    <col width="13" customWidth="1" style="55" min="3" max="3"/>
    <col width="8" customWidth="1" style="55" min="4" max="4"/>
    <col width="13" customWidth="1" style="55" min="5" max="5"/>
    <col width="24" customWidth="1" style="55" min="6" max="6"/>
  </cols>
  <sheetData>
    <row r="1" ht="18" customHeight="1" s="55">
      <c r="A1" s="56" t="inlineStr">
        <is>
          <t>Sheet</t>
        </is>
      </c>
      <c r="B1" s="56" t="inlineStr">
        <is>
          <t>Row</t>
        </is>
      </c>
      <c r="C1" s="56" t="inlineStr">
        <is>
          <t>Field</t>
        </is>
      </c>
      <c r="D1" s="56" t="inlineStr">
        <is>
          <t>Old</t>
        </is>
      </c>
      <c r="E1" s="56" t="inlineStr">
        <is>
          <t>New</t>
        </is>
      </c>
      <c r="F1" s="56" t="inlineStr">
        <is>
          <t>Note</t>
        </is>
      </c>
    </row>
    <row r="2" ht="25" customHeight="1" s="55">
      <c r="A2" s="57" t="inlineStr">
        <is>
          <t>First</t>
        </is>
      </c>
      <c r="B2" s="57" t="n">
        <v>34</v>
      </c>
      <c r="C2" s="57" t="inlineStr">
        <is>
          <t>Location</t>
        </is>
      </c>
      <c r="D2" s="57" t="inlineStr"/>
      <c r="E2" s="57" t="inlineStr">
        <is>
          <t>High tunnel</t>
        </is>
      </c>
      <c r="F2" s="57" t="inlineStr">
        <is>
          <t>forced_from_sheet_name</t>
        </is>
      </c>
    </row>
    <row r="3" ht="25" customHeight="1" s="55">
      <c r="A3" s="57" t="inlineStr">
        <is>
          <t>First</t>
        </is>
      </c>
      <c r="B3" s="57" t="n">
        <v>34</v>
      </c>
      <c r="C3" s="57" t="inlineStr">
        <is>
          <t>Harvest</t>
        </is>
      </c>
      <c r="D3" s="57" t="inlineStr"/>
      <c r="E3" s="57" t="inlineStr">
        <is>
          <t>First</t>
        </is>
      </c>
      <c r="F3" s="57" t="inlineStr">
        <is>
          <t>forced_from_sheet_name</t>
        </is>
      </c>
    </row>
    <row r="4" ht="25" customHeight="1" s="55">
      <c r="A4" s="57" t="inlineStr">
        <is>
          <t>First</t>
        </is>
      </c>
      <c r="B4" s="57" t="n">
        <v>35</v>
      </c>
      <c r="C4" s="57" t="inlineStr">
        <is>
          <t>Location</t>
        </is>
      </c>
      <c r="D4" s="57" t="inlineStr"/>
      <c r="E4" s="57" t="inlineStr">
        <is>
          <t>High tunnel</t>
        </is>
      </c>
      <c r="F4" s="57" t="inlineStr">
        <is>
          <t>forced_from_sheet_name</t>
        </is>
      </c>
    </row>
    <row r="5" ht="25" customHeight="1" s="55">
      <c r="A5" s="57" t="inlineStr">
        <is>
          <t>First</t>
        </is>
      </c>
      <c r="B5" s="57" t="n">
        <v>35</v>
      </c>
      <c r="C5" s="57" t="inlineStr">
        <is>
          <t>Harvest</t>
        </is>
      </c>
      <c r="D5" s="57" t="inlineStr"/>
      <c r="E5" s="57" t="inlineStr">
        <is>
          <t>First</t>
        </is>
      </c>
      <c r="F5" s="57" t="inlineStr">
        <is>
          <t>forced_from_sheet_name</t>
        </is>
      </c>
    </row>
    <row r="6" ht="25" customHeight="1" s="55">
      <c r="A6" s="57" t="inlineStr">
        <is>
          <t>First</t>
        </is>
      </c>
      <c r="B6" s="57" t="n">
        <v>36</v>
      </c>
      <c r="C6" s="57" t="inlineStr">
        <is>
          <t>Location</t>
        </is>
      </c>
      <c r="D6" s="57" t="inlineStr"/>
      <c r="E6" s="57" t="inlineStr">
        <is>
          <t>High tunnel</t>
        </is>
      </c>
      <c r="F6" s="57" t="inlineStr">
        <is>
          <t>forced_from_sheet_name</t>
        </is>
      </c>
    </row>
    <row r="7" ht="25" customHeight="1" s="55">
      <c r="A7" s="57" t="inlineStr">
        <is>
          <t>First</t>
        </is>
      </c>
      <c r="B7" s="57" t="n">
        <v>36</v>
      </c>
      <c r="C7" s="57" t="inlineStr">
        <is>
          <t>Harvest</t>
        </is>
      </c>
      <c r="D7" s="57" t="inlineStr"/>
      <c r="E7" s="57" t="inlineStr">
        <is>
          <t>First</t>
        </is>
      </c>
      <c r="F7" s="57" t="inlineStr">
        <is>
          <t>forced_from_sheet_name</t>
        </is>
      </c>
    </row>
    <row r="8" ht="25" customHeight="1" s="55">
      <c r="A8" s="57" t="inlineStr">
        <is>
          <t>First</t>
        </is>
      </c>
      <c r="B8" s="57" t="n">
        <v>37</v>
      </c>
      <c r="C8" s="57" t="inlineStr">
        <is>
          <t>Location</t>
        </is>
      </c>
      <c r="D8" s="57" t="inlineStr"/>
      <c r="E8" s="57" t="inlineStr">
        <is>
          <t>High tunnel</t>
        </is>
      </c>
      <c r="F8" s="57" t="inlineStr">
        <is>
          <t>forced_from_sheet_name</t>
        </is>
      </c>
    </row>
    <row r="9" ht="25" customHeight="1" s="55">
      <c r="A9" s="57" t="inlineStr">
        <is>
          <t>First</t>
        </is>
      </c>
      <c r="B9" s="57" t="n">
        <v>37</v>
      </c>
      <c r="C9" s="57" t="inlineStr">
        <is>
          <t>Harvest</t>
        </is>
      </c>
      <c r="D9" s="57" t="inlineStr"/>
      <c r="E9" s="57" t="inlineStr">
        <is>
          <t>First</t>
        </is>
      </c>
      <c r="F9" s="57" t="inlineStr">
        <is>
          <t>forced_from_sheet_name</t>
        </is>
      </c>
    </row>
    <row r="10" ht="25" customHeight="1" s="55">
      <c r="A10" s="57" t="inlineStr">
        <is>
          <t>First</t>
        </is>
      </c>
      <c r="B10" s="57" t="n">
        <v>38</v>
      </c>
      <c r="C10" s="57" t="inlineStr">
        <is>
          <t>Location</t>
        </is>
      </c>
      <c r="D10" s="57" t="inlineStr"/>
      <c r="E10" s="57" t="inlineStr">
        <is>
          <t>High tunnel</t>
        </is>
      </c>
      <c r="F10" s="57" t="inlineStr">
        <is>
          <t>forced_from_sheet_name</t>
        </is>
      </c>
    </row>
    <row r="11" ht="25" customHeight="1" s="55">
      <c r="A11" s="57" t="inlineStr">
        <is>
          <t>First</t>
        </is>
      </c>
      <c r="B11" s="57" t="n">
        <v>38</v>
      </c>
      <c r="C11" s="57" t="inlineStr">
        <is>
          <t>Harvest</t>
        </is>
      </c>
      <c r="D11" s="57" t="inlineStr"/>
      <c r="E11" s="57" t="inlineStr">
        <is>
          <t>First</t>
        </is>
      </c>
      <c r="F11" s="57" t="inlineStr">
        <is>
          <t>forced_from_sheet_name</t>
        </is>
      </c>
    </row>
    <row r="12" ht="25" customHeight="1" s="55">
      <c r="A12" s="57" t="inlineStr">
        <is>
          <t>First</t>
        </is>
      </c>
      <c r="B12" s="57" t="n">
        <v>39</v>
      </c>
      <c r="C12" s="57" t="inlineStr">
        <is>
          <t>Location</t>
        </is>
      </c>
      <c r="D12" s="57" t="inlineStr"/>
      <c r="E12" s="57" t="inlineStr">
        <is>
          <t>High tunnel</t>
        </is>
      </c>
      <c r="F12" s="57" t="inlineStr">
        <is>
          <t>forced_from_sheet_name</t>
        </is>
      </c>
    </row>
    <row r="13" ht="25" customHeight="1" s="55">
      <c r="A13" s="57" t="inlineStr">
        <is>
          <t>First</t>
        </is>
      </c>
      <c r="B13" s="57" t="n">
        <v>39</v>
      </c>
      <c r="C13" s="57" t="inlineStr">
        <is>
          <t>Harvest</t>
        </is>
      </c>
      <c r="D13" s="57" t="inlineStr"/>
      <c r="E13" s="57" t="inlineStr">
        <is>
          <t>First</t>
        </is>
      </c>
      <c r="F13" s="57" t="inlineStr">
        <is>
          <t>forced_from_sheet_name</t>
        </is>
      </c>
    </row>
    <row r="14" ht="25" customHeight="1" s="55">
      <c r="A14" s="57" t="inlineStr">
        <is>
          <t>First</t>
        </is>
      </c>
      <c r="B14" s="57" t="n">
        <v>40</v>
      </c>
      <c r="C14" s="57" t="inlineStr">
        <is>
          <t>Location</t>
        </is>
      </c>
      <c r="D14" s="57" t="inlineStr"/>
      <c r="E14" s="57" t="inlineStr">
        <is>
          <t>High tunnel</t>
        </is>
      </c>
      <c r="F14" s="57" t="inlineStr">
        <is>
          <t>forced_from_sheet_name</t>
        </is>
      </c>
    </row>
    <row r="15" ht="25" customHeight="1" s="55">
      <c r="A15" s="57" t="inlineStr">
        <is>
          <t>First</t>
        </is>
      </c>
      <c r="B15" s="57" t="n">
        <v>40</v>
      </c>
      <c r="C15" s="57" t="inlineStr">
        <is>
          <t>Harvest</t>
        </is>
      </c>
      <c r="D15" s="57" t="inlineStr"/>
      <c r="E15" s="57" t="inlineStr">
        <is>
          <t>First</t>
        </is>
      </c>
      <c r="F15" s="57" t="inlineStr">
        <is>
          <t>forced_from_sheet_name</t>
        </is>
      </c>
    </row>
    <row r="16" ht="25" customHeight="1" s="55">
      <c r="A16" s="57" t="inlineStr">
        <is>
          <t>First</t>
        </is>
      </c>
      <c r="B16" s="57" t="n">
        <v>41</v>
      </c>
      <c r="C16" s="57" t="inlineStr">
        <is>
          <t>Location</t>
        </is>
      </c>
      <c r="D16" s="57" t="inlineStr"/>
      <c r="E16" s="57" t="inlineStr">
        <is>
          <t>High tunnel</t>
        </is>
      </c>
      <c r="F16" s="57" t="inlineStr">
        <is>
          <t>forced_from_sheet_name</t>
        </is>
      </c>
    </row>
    <row r="17" ht="25" customHeight="1" s="55">
      <c r="A17" s="57" t="inlineStr">
        <is>
          <t>First</t>
        </is>
      </c>
      <c r="B17" s="57" t="n">
        <v>41</v>
      </c>
      <c r="C17" s="57" t="inlineStr">
        <is>
          <t>Harvest</t>
        </is>
      </c>
      <c r="D17" s="57" t="inlineStr"/>
      <c r="E17" s="57" t="inlineStr">
        <is>
          <t>First</t>
        </is>
      </c>
      <c r="F17" s="57" t="inlineStr">
        <is>
          <t>forced_from_sheet_name</t>
        </is>
      </c>
    </row>
    <row r="18" ht="25" customHeight="1" s="55">
      <c r="A18" s="57" t="inlineStr">
        <is>
          <t>First</t>
        </is>
      </c>
      <c r="B18" s="57" t="n">
        <v>43</v>
      </c>
      <c r="C18" s="57" t="inlineStr">
        <is>
          <t>Location</t>
        </is>
      </c>
      <c r="D18" s="57" t="inlineStr"/>
      <c r="E18" s="57" t="inlineStr">
        <is>
          <t>High tunnel</t>
        </is>
      </c>
      <c r="F18" s="57" t="inlineStr">
        <is>
          <t>forced_from_sheet_name</t>
        </is>
      </c>
    </row>
    <row r="19" ht="25" customHeight="1" s="55">
      <c r="A19" s="57" t="inlineStr">
        <is>
          <t>First</t>
        </is>
      </c>
      <c r="B19" s="57" t="n">
        <v>43</v>
      </c>
      <c r="C19" s="57" t="inlineStr">
        <is>
          <t>Harvest</t>
        </is>
      </c>
      <c r="D19" s="57" t="inlineStr"/>
      <c r="E19" s="57" t="inlineStr">
        <is>
          <t>First</t>
        </is>
      </c>
      <c r="F19" s="57" t="inlineStr">
        <is>
          <t>forced_from_sheet_name</t>
        </is>
      </c>
    </row>
    <row r="20" ht="25" customHeight="1" s="55">
      <c r="A20" s="57" t="inlineStr">
        <is>
          <t>First</t>
        </is>
      </c>
      <c r="B20" s="57" t="n">
        <v>44</v>
      </c>
      <c r="C20" s="57" t="inlineStr">
        <is>
          <t>Location</t>
        </is>
      </c>
      <c r="D20" s="57" t="inlineStr"/>
      <c r="E20" s="57" t="inlineStr">
        <is>
          <t>High tunnel</t>
        </is>
      </c>
      <c r="F20" s="57" t="inlineStr">
        <is>
          <t>forced_from_sheet_name</t>
        </is>
      </c>
    </row>
    <row r="21" ht="25" customHeight="1" s="55">
      <c r="A21" s="57" t="inlineStr">
        <is>
          <t>First</t>
        </is>
      </c>
      <c r="B21" s="57" t="n">
        <v>44</v>
      </c>
      <c r="C21" s="57" t="inlineStr">
        <is>
          <t>Harvest</t>
        </is>
      </c>
      <c r="D21" s="57" t="inlineStr"/>
      <c r="E21" s="57" t="inlineStr">
        <is>
          <t>First</t>
        </is>
      </c>
      <c r="F21" s="57" t="inlineStr">
        <is>
          <t>forced_from_sheet_name</t>
        </is>
      </c>
    </row>
    <row r="22" ht="25" customHeight="1" s="55">
      <c r="A22" s="57" t="inlineStr">
        <is>
          <t>First</t>
        </is>
      </c>
      <c r="B22" s="57" t="n">
        <v>45</v>
      </c>
      <c r="C22" s="57" t="inlineStr">
        <is>
          <t>Location</t>
        </is>
      </c>
      <c r="D22" s="57" t="inlineStr"/>
      <c r="E22" s="57" t="inlineStr">
        <is>
          <t>High tunnel</t>
        </is>
      </c>
      <c r="F22" s="57" t="inlineStr">
        <is>
          <t>forced_from_sheet_name</t>
        </is>
      </c>
    </row>
    <row r="23" ht="25" customHeight="1" s="55">
      <c r="A23" s="57" t="inlineStr">
        <is>
          <t>First</t>
        </is>
      </c>
      <c r="B23" s="57" t="n">
        <v>45</v>
      </c>
      <c r="C23" s="57" t="inlineStr">
        <is>
          <t>Harvest</t>
        </is>
      </c>
      <c r="D23" s="57" t="inlineStr"/>
      <c r="E23" s="57" t="inlineStr">
        <is>
          <t>First</t>
        </is>
      </c>
      <c r="F23" s="57" t="inlineStr">
        <is>
          <t>forced_from_sheet_name</t>
        </is>
      </c>
    </row>
    <row r="24" ht="25" customHeight="1" s="55">
      <c r="A24" s="57" t="inlineStr">
        <is>
          <t>First</t>
        </is>
      </c>
      <c r="B24" s="57" t="n">
        <v>47</v>
      </c>
      <c r="C24" s="57" t="inlineStr">
        <is>
          <t>Location</t>
        </is>
      </c>
      <c r="D24" s="57" t="inlineStr"/>
      <c r="E24" s="57" t="inlineStr">
        <is>
          <t>High tunnel</t>
        </is>
      </c>
      <c r="F24" s="57" t="inlineStr">
        <is>
          <t>forced_from_sheet_name</t>
        </is>
      </c>
    </row>
    <row r="25" ht="25" customHeight="1" s="55">
      <c r="A25" s="57" t="inlineStr">
        <is>
          <t>First</t>
        </is>
      </c>
      <c r="B25" s="57" t="n">
        <v>47</v>
      </c>
      <c r="C25" s="57" t="inlineStr">
        <is>
          <t>Harvest</t>
        </is>
      </c>
      <c r="D25" s="57" t="inlineStr"/>
      <c r="E25" s="57" t="inlineStr">
        <is>
          <t>First</t>
        </is>
      </c>
      <c r="F25" s="57" t="inlineStr">
        <is>
          <t>forced_from_sheet_name</t>
        </is>
      </c>
    </row>
    <row r="26" ht="25" customHeight="1" s="55">
      <c r="A26" s="57" t="inlineStr">
        <is>
          <t>First</t>
        </is>
      </c>
      <c r="B26" s="57" t="n">
        <v>48</v>
      </c>
      <c r="C26" s="57" t="inlineStr">
        <is>
          <t>Location</t>
        </is>
      </c>
      <c r="D26" s="57" t="inlineStr"/>
      <c r="E26" s="57" t="inlineStr">
        <is>
          <t>High tunnel</t>
        </is>
      </c>
      <c r="F26" s="57" t="inlineStr">
        <is>
          <t>forced_from_sheet_name</t>
        </is>
      </c>
    </row>
    <row r="27" ht="25" customHeight="1" s="55">
      <c r="A27" s="57" t="inlineStr">
        <is>
          <t>First</t>
        </is>
      </c>
      <c r="B27" s="57" t="n">
        <v>48</v>
      </c>
      <c r="C27" s="57" t="inlineStr">
        <is>
          <t>Harvest</t>
        </is>
      </c>
      <c r="D27" s="57" t="inlineStr"/>
      <c r="E27" s="57" t="inlineStr">
        <is>
          <t>First</t>
        </is>
      </c>
      <c r="F27" s="57" t="inlineStr">
        <is>
          <t>forced_from_sheet_name</t>
        </is>
      </c>
    </row>
    <row r="28" ht="25" customHeight="1" s="55">
      <c r="A28" s="57" t="inlineStr">
        <is>
          <t>First</t>
        </is>
      </c>
      <c r="B28" s="57" t="n">
        <v>49</v>
      </c>
      <c r="C28" s="57" t="inlineStr">
        <is>
          <t>Location</t>
        </is>
      </c>
      <c r="D28" s="57" t="inlineStr"/>
      <c r="E28" s="57" t="inlineStr">
        <is>
          <t>High tunnel</t>
        </is>
      </c>
      <c r="F28" s="57" t="inlineStr">
        <is>
          <t>forced_from_sheet_name</t>
        </is>
      </c>
    </row>
    <row r="29" ht="25" customHeight="1" s="55">
      <c r="A29" s="57" t="inlineStr">
        <is>
          <t>First</t>
        </is>
      </c>
      <c r="B29" s="57" t="n">
        <v>49</v>
      </c>
      <c r="C29" s="57" t="inlineStr">
        <is>
          <t>Harvest</t>
        </is>
      </c>
      <c r="D29" s="57" t="inlineStr"/>
      <c r="E29" s="57" t="inlineStr">
        <is>
          <t>First</t>
        </is>
      </c>
      <c r="F29" s="57" t="inlineStr">
        <is>
          <t>forced_from_sheet_name</t>
        </is>
      </c>
    </row>
    <row r="30" ht="25" customHeight="1" s="55">
      <c r="A30" s="57" t="inlineStr">
        <is>
          <t>First</t>
        </is>
      </c>
      <c r="B30" s="57" t="n">
        <v>50</v>
      </c>
      <c r="C30" s="57" t="inlineStr">
        <is>
          <t>Location</t>
        </is>
      </c>
      <c r="D30" s="57" t="inlineStr"/>
      <c r="E30" s="57" t="inlineStr">
        <is>
          <t>High tunnel</t>
        </is>
      </c>
      <c r="F30" s="57" t="inlineStr">
        <is>
          <t>forced_from_sheet_name</t>
        </is>
      </c>
    </row>
    <row r="31" ht="25" customHeight="1" s="55">
      <c r="A31" s="57" t="inlineStr">
        <is>
          <t>First</t>
        </is>
      </c>
      <c r="B31" s="57" t="n">
        <v>50</v>
      </c>
      <c r="C31" s="57" t="inlineStr">
        <is>
          <t>Harvest</t>
        </is>
      </c>
      <c r="D31" s="57" t="inlineStr"/>
      <c r="E31" s="57" t="inlineStr">
        <is>
          <t>First</t>
        </is>
      </c>
      <c r="F31" s="57" t="inlineStr">
        <is>
          <t>forced_from_sheet_name</t>
        </is>
      </c>
    </row>
    <row r="32" ht="25" customHeight="1" s="55">
      <c r="A32" s="57" t="inlineStr">
        <is>
          <t>First</t>
        </is>
      </c>
      <c r="B32" s="57" t="n">
        <v>51</v>
      </c>
      <c r="C32" s="57" t="inlineStr">
        <is>
          <t>Location</t>
        </is>
      </c>
      <c r="D32" s="57" t="inlineStr"/>
      <c r="E32" s="57" t="inlineStr">
        <is>
          <t>High tunnel</t>
        </is>
      </c>
      <c r="F32" s="57" t="inlineStr">
        <is>
          <t>forced_from_sheet_name</t>
        </is>
      </c>
    </row>
    <row r="33" ht="25" customHeight="1" s="55">
      <c r="A33" s="57" t="inlineStr">
        <is>
          <t>First</t>
        </is>
      </c>
      <c r="B33" s="57" t="n">
        <v>51</v>
      </c>
      <c r="C33" s="57" t="inlineStr">
        <is>
          <t>Harvest</t>
        </is>
      </c>
      <c r="D33" s="57" t="inlineStr"/>
      <c r="E33" s="57" t="inlineStr">
        <is>
          <t>First</t>
        </is>
      </c>
      <c r="F33" s="57" t="inlineStr">
        <is>
          <t>forced_from_sheet_name</t>
        </is>
      </c>
    </row>
    <row r="34" ht="25" customHeight="1" s="55">
      <c r="A34" s="57" t="inlineStr">
        <is>
          <t>First</t>
        </is>
      </c>
      <c r="B34" s="57" t="n">
        <v>51</v>
      </c>
      <c r="C34" s="57" t="inlineStr">
        <is>
          <t>row_removed</t>
        </is>
      </c>
      <c r="D34" s="57" t="inlineStr"/>
      <c r="E34" s="57" t="inlineStr"/>
      <c r="F34" s="57" t="inlineStr">
        <is>
          <t>empty_plot_slot</t>
        </is>
      </c>
    </row>
    <row r="35" ht="25" customHeight="1" s="55">
      <c r="A35" s="57" t="inlineStr">
        <is>
          <t>First</t>
        </is>
      </c>
      <c r="B35" s="57" t="n">
        <v>50</v>
      </c>
      <c r="C35" s="57" t="inlineStr">
        <is>
          <t>row_removed</t>
        </is>
      </c>
      <c r="D35" s="57" t="inlineStr"/>
      <c r="E35" s="57" t="inlineStr"/>
      <c r="F35" s="57" t="inlineStr">
        <is>
          <t>empty_plot_slot</t>
        </is>
      </c>
    </row>
    <row r="36" ht="25" customHeight="1" s="55">
      <c r="A36" s="57" t="inlineStr">
        <is>
          <t>First</t>
        </is>
      </c>
      <c r="B36" s="57" t="n">
        <v>49</v>
      </c>
      <c r="C36" s="57" t="inlineStr">
        <is>
          <t>row_removed</t>
        </is>
      </c>
      <c r="D36" s="57" t="inlineStr"/>
      <c r="E36" s="57" t="inlineStr"/>
      <c r="F36" s="57" t="inlineStr">
        <is>
          <t>empty_plot_slot</t>
        </is>
      </c>
    </row>
    <row r="37" ht="25" customHeight="1" s="55">
      <c r="A37" s="57" t="inlineStr">
        <is>
          <t>First</t>
        </is>
      </c>
      <c r="B37" s="57" t="n">
        <v>48</v>
      </c>
      <c r="C37" s="57" t="inlineStr">
        <is>
          <t>row_removed</t>
        </is>
      </c>
      <c r="D37" s="57" t="inlineStr"/>
      <c r="E37" s="57" t="inlineStr"/>
      <c r="F37" s="57" t="inlineStr">
        <is>
          <t>empty_plot_slot</t>
        </is>
      </c>
    </row>
    <row r="38" ht="25" customHeight="1" s="55">
      <c r="A38" s="57" t="inlineStr">
        <is>
          <t>First</t>
        </is>
      </c>
      <c r="B38" s="57" t="n">
        <v>47</v>
      </c>
      <c r="C38" s="57" t="inlineStr">
        <is>
          <t>row_removed</t>
        </is>
      </c>
      <c r="D38" s="57" t="inlineStr"/>
      <c r="E38" s="57" t="inlineStr"/>
      <c r="F38" s="57" t="inlineStr">
        <is>
          <t>empty_plot_slot</t>
        </is>
      </c>
    </row>
    <row r="39" ht="25" customHeight="1" s="55">
      <c r="A39" s="57" t="inlineStr">
        <is>
          <t>First</t>
        </is>
      </c>
      <c r="B39" s="57" t="n">
        <v>45</v>
      </c>
      <c r="C39" s="57" t="inlineStr">
        <is>
          <t>row_removed</t>
        </is>
      </c>
      <c r="D39" s="57" t="inlineStr"/>
      <c r="E39" s="57" t="inlineStr"/>
      <c r="F39" s="57" t="inlineStr">
        <is>
          <t>empty_plot_slot</t>
        </is>
      </c>
    </row>
    <row r="40" ht="25" customHeight="1" s="55">
      <c r="A40" s="57" t="inlineStr">
        <is>
          <t>First</t>
        </is>
      </c>
      <c r="B40" s="57" t="n">
        <v>44</v>
      </c>
      <c r="C40" s="57" t="inlineStr">
        <is>
          <t>row_removed</t>
        </is>
      </c>
      <c r="D40" s="57" t="inlineStr"/>
      <c r="E40" s="57" t="inlineStr"/>
      <c r="F40" s="57" t="inlineStr">
        <is>
          <t>empty_plot_slot</t>
        </is>
      </c>
    </row>
    <row r="41" ht="25" customHeight="1" s="55">
      <c r="A41" s="57" t="inlineStr">
        <is>
          <t>First</t>
        </is>
      </c>
      <c r="B41" s="57" t="n">
        <v>43</v>
      </c>
      <c r="C41" s="57" t="inlineStr">
        <is>
          <t>row_removed</t>
        </is>
      </c>
      <c r="D41" s="57" t="inlineStr"/>
      <c r="E41" s="57" t="inlineStr"/>
      <c r="F41" s="57" t="inlineStr">
        <is>
          <t>empty_plot_slot</t>
        </is>
      </c>
    </row>
    <row r="42" ht="25" customHeight="1" s="55">
      <c r="A42" s="57" t="inlineStr">
        <is>
          <t>First</t>
        </is>
      </c>
      <c r="B42" s="57" t="n">
        <v>41</v>
      </c>
      <c r="C42" s="57" t="inlineStr">
        <is>
          <t>row_removed</t>
        </is>
      </c>
      <c r="D42" s="57" t="inlineStr"/>
      <c r="E42" s="57" t="inlineStr"/>
      <c r="F42" s="57" t="inlineStr">
        <is>
          <t>empty_plot_slot</t>
        </is>
      </c>
    </row>
    <row r="43" ht="25" customHeight="1" s="55">
      <c r="A43" s="57" t="inlineStr">
        <is>
          <t>First</t>
        </is>
      </c>
      <c r="B43" s="57" t="n">
        <v>40</v>
      </c>
      <c r="C43" s="57" t="inlineStr">
        <is>
          <t>row_removed</t>
        </is>
      </c>
      <c r="D43" s="57" t="inlineStr"/>
      <c r="E43" s="57" t="inlineStr"/>
      <c r="F43" s="57" t="inlineStr">
        <is>
          <t>empty_plot_slot</t>
        </is>
      </c>
    </row>
    <row r="44" ht="25" customHeight="1" s="55">
      <c r="A44" s="57" t="inlineStr">
        <is>
          <t>First</t>
        </is>
      </c>
      <c r="B44" s="57" t="n">
        <v>39</v>
      </c>
      <c r="C44" s="57" t="inlineStr">
        <is>
          <t>row_removed</t>
        </is>
      </c>
      <c r="D44" s="57" t="inlineStr"/>
      <c r="E44" s="57" t="inlineStr"/>
      <c r="F44" s="57" t="inlineStr">
        <is>
          <t>empty_plot_slot</t>
        </is>
      </c>
    </row>
    <row r="45" ht="25" customHeight="1" s="55">
      <c r="A45" s="57" t="inlineStr">
        <is>
          <t>First</t>
        </is>
      </c>
      <c r="B45" s="57" t="n">
        <v>38</v>
      </c>
      <c r="C45" s="57" t="inlineStr">
        <is>
          <t>row_removed</t>
        </is>
      </c>
      <c r="D45" s="57" t="inlineStr"/>
      <c r="E45" s="57" t="inlineStr"/>
      <c r="F45" s="57" t="inlineStr">
        <is>
          <t>empty_plot_slot</t>
        </is>
      </c>
    </row>
    <row r="46" ht="25" customHeight="1" s="55">
      <c r="A46" s="57" t="inlineStr">
        <is>
          <t>First</t>
        </is>
      </c>
      <c r="B46" s="57" t="n">
        <v>37</v>
      </c>
      <c r="C46" s="57" t="inlineStr">
        <is>
          <t>row_removed</t>
        </is>
      </c>
      <c r="D46" s="57" t="inlineStr"/>
      <c r="E46" s="57" t="inlineStr"/>
      <c r="F46" s="57" t="inlineStr">
        <is>
          <t>empty_plot_slot</t>
        </is>
      </c>
    </row>
    <row r="47" ht="25" customHeight="1" s="55">
      <c r="A47" s="57" t="inlineStr">
        <is>
          <t>First</t>
        </is>
      </c>
      <c r="B47" s="57" t="n">
        <v>36</v>
      </c>
      <c r="C47" s="57" t="inlineStr">
        <is>
          <t>row_removed</t>
        </is>
      </c>
      <c r="D47" s="57" t="inlineStr"/>
      <c r="E47" s="57" t="inlineStr"/>
      <c r="F47" s="57" t="inlineStr">
        <is>
          <t>empty_plot_slot</t>
        </is>
      </c>
    </row>
    <row r="48" ht="25" customHeight="1" s="55">
      <c r="A48" s="57" t="inlineStr">
        <is>
          <t>First</t>
        </is>
      </c>
      <c r="B48" s="57" t="n">
        <v>35</v>
      </c>
      <c r="C48" s="57" t="inlineStr">
        <is>
          <t>row_removed</t>
        </is>
      </c>
      <c r="D48" s="57" t="inlineStr"/>
      <c r="E48" s="57" t="inlineStr"/>
      <c r="F48" s="57" t="inlineStr">
        <is>
          <t>empty_plot_slot</t>
        </is>
      </c>
    </row>
    <row r="49" ht="25" customHeight="1" s="55">
      <c r="A49" s="57" t="inlineStr">
        <is>
          <t>First</t>
        </is>
      </c>
      <c r="B49" s="57" t="n">
        <v>34</v>
      </c>
      <c r="C49" s="57" t="inlineStr">
        <is>
          <t>row_removed</t>
        </is>
      </c>
      <c r="D49" s="57" t="inlineStr"/>
      <c r="E49" s="57" t="inlineStr"/>
      <c r="F49" s="57" t="inlineStr">
        <is>
          <t>empty_plot_slot</t>
        </is>
      </c>
    </row>
    <row r="50" ht="25" customHeight="1" s="55">
      <c r="A50" s="57" t="inlineStr">
        <is>
          <t>First</t>
        </is>
      </c>
      <c r="B50" s="57" t="n">
        <v>33</v>
      </c>
      <c r="C50" s="57" t="inlineStr">
        <is>
          <t>row_removed</t>
        </is>
      </c>
      <c r="D50" s="57" t="inlineStr"/>
      <c r="E50" s="57" t="inlineStr"/>
      <c r="F50" s="57" t="inlineStr">
        <is>
          <t>empty_plot_slot</t>
        </is>
      </c>
    </row>
    <row r="51" ht="25" customHeight="1" s="55">
      <c r="A51" s="57" t="inlineStr">
        <is>
          <t>First</t>
        </is>
      </c>
      <c r="B51" s="57" t="n">
        <v>32</v>
      </c>
      <c r="C51" s="57" t="inlineStr">
        <is>
          <t>row_removed</t>
        </is>
      </c>
      <c r="D51" s="57" t="inlineStr"/>
      <c r="E51" s="57" t="inlineStr"/>
      <c r="F51" s="57" t="inlineStr">
        <is>
          <t>empty_plot_slot</t>
        </is>
      </c>
    </row>
    <row r="52" ht="25" customHeight="1" s="55">
      <c r="A52" s="57" t="inlineStr">
        <is>
          <t>First</t>
        </is>
      </c>
      <c r="B52" s="57" t="n">
        <v>31</v>
      </c>
      <c r="C52" s="57" t="inlineStr">
        <is>
          <t>row_removed</t>
        </is>
      </c>
      <c r="D52" s="57" t="inlineStr"/>
      <c r="E52" s="57" t="inlineStr"/>
      <c r="F52" s="57" t="inlineStr">
        <is>
          <t>empty_plot_slot</t>
        </is>
      </c>
    </row>
    <row r="53" ht="25" customHeight="1" s="55">
      <c r="A53" s="57" t="inlineStr">
        <is>
          <t>First</t>
        </is>
      </c>
      <c r="B53" s="57" t="n">
        <v>30</v>
      </c>
      <c r="C53" s="57" t="inlineStr">
        <is>
          <t>row_removed</t>
        </is>
      </c>
      <c r="D53" s="57" t="inlineStr"/>
      <c r="E53" s="57" t="inlineStr"/>
      <c r="F53" s="57" t="inlineStr">
        <is>
          <t>empty_plot_slot</t>
        </is>
      </c>
    </row>
    <row r="54" ht="25" customHeight="1" s="55">
      <c r="A54" s="57" t="inlineStr">
        <is>
          <t>First</t>
        </is>
      </c>
      <c r="B54" s="57" t="n">
        <v>29</v>
      </c>
      <c r="C54" s="57" t="inlineStr">
        <is>
          <t>row_removed</t>
        </is>
      </c>
      <c r="D54" s="57" t="inlineStr"/>
      <c r="E54" s="57" t="inlineStr"/>
      <c r="F54" s="57" t="inlineStr">
        <is>
          <t>empty_plot_slot</t>
        </is>
      </c>
    </row>
    <row r="55" ht="25" customHeight="1" s="55">
      <c r="A55" s="57" t="inlineStr">
        <is>
          <t>First</t>
        </is>
      </c>
      <c r="B55" s="57" t="n">
        <v>28</v>
      </c>
      <c r="C55" s="57" t="inlineStr">
        <is>
          <t>row_removed</t>
        </is>
      </c>
      <c r="D55" s="57" t="inlineStr"/>
      <c r="E55" s="57" t="inlineStr"/>
      <c r="F55" s="57" t="inlineStr">
        <is>
          <t>empty_plot_slot</t>
        </is>
      </c>
    </row>
    <row r="56" ht="25" customHeight="1" s="55">
      <c r="A56" s="57" t="inlineStr">
        <is>
          <t>First</t>
        </is>
      </c>
      <c r="B56" s="57" t="n">
        <v>27</v>
      </c>
      <c r="C56" s="57" t="inlineStr">
        <is>
          <t>row_removed</t>
        </is>
      </c>
      <c r="D56" s="57" t="inlineStr"/>
      <c r="E56" s="57" t="inlineStr"/>
      <c r="F56" s="57" t="inlineStr">
        <is>
          <t>empty_plot_slot</t>
        </is>
      </c>
    </row>
    <row r="57" ht="25" customHeight="1" s="55">
      <c r="A57" s="57" t="inlineStr">
        <is>
          <t>First</t>
        </is>
      </c>
      <c r="B57" s="57" t="n">
        <v>26</v>
      </c>
      <c r="C57" s="57" t="inlineStr">
        <is>
          <t>row_removed</t>
        </is>
      </c>
      <c r="D57" s="57" t="inlineStr"/>
      <c r="E57" s="57" t="inlineStr"/>
      <c r="F57" s="57" t="inlineStr">
        <is>
          <t>empty_plot_slot</t>
        </is>
      </c>
    </row>
    <row r="58" ht="25" customHeight="1" s="55">
      <c r="A58" s="57" t="inlineStr">
        <is>
          <t>First</t>
        </is>
      </c>
      <c r="B58" s="57" t="n">
        <v>24</v>
      </c>
      <c r="C58" s="57" t="inlineStr">
        <is>
          <t>row_removed</t>
        </is>
      </c>
      <c r="D58" s="57" t="inlineStr"/>
      <c r="E58" s="57" t="inlineStr"/>
      <c r="F58" s="57" t="inlineStr">
        <is>
          <t>empty_plot_slot</t>
        </is>
      </c>
    </row>
    <row r="59" ht="25" customHeight="1" s="55">
      <c r="A59" s="57" t="inlineStr">
        <is>
          <t>First</t>
        </is>
      </c>
      <c r="B59" s="57" t="n">
        <v>23</v>
      </c>
      <c r="C59" s="57" t="inlineStr">
        <is>
          <t>row_removed</t>
        </is>
      </c>
      <c r="D59" s="57" t="inlineStr"/>
      <c r="E59" s="57" t="inlineStr"/>
      <c r="F59" s="57" t="inlineStr">
        <is>
          <t>empty_plot_slot</t>
        </is>
      </c>
    </row>
    <row r="60" ht="25" customHeight="1" s="55">
      <c r="A60" s="57" t="inlineStr">
        <is>
          <t>First</t>
        </is>
      </c>
      <c r="B60" s="57" t="n">
        <v>22</v>
      </c>
      <c r="C60" s="57" t="inlineStr">
        <is>
          <t>row_removed</t>
        </is>
      </c>
      <c r="D60" s="57" t="inlineStr"/>
      <c r="E60" s="57" t="inlineStr"/>
      <c r="F60" s="57" t="inlineStr">
        <is>
          <t>empty_plot_slot</t>
        </is>
      </c>
    </row>
    <row r="61" ht="25" customHeight="1" s="55">
      <c r="A61" s="57" t="inlineStr">
        <is>
          <t>First</t>
        </is>
      </c>
      <c r="B61" s="57" t="n">
        <v>21</v>
      </c>
      <c r="C61" s="57" t="inlineStr">
        <is>
          <t>row_removed</t>
        </is>
      </c>
      <c r="D61" s="57" t="inlineStr"/>
      <c r="E61" s="57" t="inlineStr"/>
      <c r="F61" s="57" t="inlineStr">
        <is>
          <t>empty_plot_slot</t>
        </is>
      </c>
    </row>
    <row r="62" ht="25" customHeight="1" s="55">
      <c r="A62" s="57" t="inlineStr">
        <is>
          <t>First</t>
        </is>
      </c>
      <c r="B62" s="57" t="n">
        <v>19</v>
      </c>
      <c r="C62" s="57" t="inlineStr">
        <is>
          <t>row_removed</t>
        </is>
      </c>
      <c r="D62" s="57" t="inlineStr"/>
      <c r="E62" s="57" t="inlineStr"/>
      <c r="F62" s="57" t="inlineStr">
        <is>
          <t>empty_plot_slot</t>
        </is>
      </c>
    </row>
    <row r="63" ht="25" customHeight="1" s="55">
      <c r="A63" s="57" t="inlineStr">
        <is>
          <t>First</t>
        </is>
      </c>
      <c r="B63" s="57" t="n">
        <v>17</v>
      </c>
      <c r="C63" s="57" t="inlineStr">
        <is>
          <t>row_removed</t>
        </is>
      </c>
      <c r="D63" s="57" t="inlineStr"/>
      <c r="E63" s="57" t="inlineStr"/>
      <c r="F63" s="57" t="inlineStr">
        <is>
          <t>empty_plot_slot</t>
        </is>
      </c>
    </row>
    <row r="64" ht="25" customHeight="1" s="55">
      <c r="A64" s="57" t="inlineStr">
        <is>
          <t>First</t>
        </is>
      </c>
      <c r="B64" s="57" t="n">
        <v>16</v>
      </c>
      <c r="C64" s="57" t="inlineStr">
        <is>
          <t>row_removed</t>
        </is>
      </c>
      <c r="D64" s="57" t="inlineStr"/>
      <c r="E64" s="57" t="inlineStr"/>
      <c r="F64" s="57" t="inlineStr">
        <is>
          <t>empty_plot_slot</t>
        </is>
      </c>
    </row>
    <row r="65" ht="25" customHeight="1" s="55">
      <c r="A65" s="57" t="inlineStr">
        <is>
          <t>Second</t>
        </is>
      </c>
      <c r="B65" s="57" t="n">
        <v>19</v>
      </c>
      <c r="C65" s="57" t="inlineStr">
        <is>
          <t>Harvest</t>
        </is>
      </c>
      <c r="D65" s="57" t="inlineStr">
        <is>
          <t>First</t>
        </is>
      </c>
      <c r="E65" s="57" t="inlineStr">
        <is>
          <t>Second</t>
        </is>
      </c>
      <c r="F65" s="57" t="inlineStr">
        <is>
          <t>forced_from_sheet_name</t>
        </is>
      </c>
    </row>
    <row r="66" ht="25" customHeight="1" s="55">
      <c r="A66" s="57" t="inlineStr">
        <is>
          <t>Second</t>
        </is>
      </c>
      <c r="B66" s="57" t="n">
        <v>24</v>
      </c>
      <c r="C66" s="57" t="inlineStr">
        <is>
          <t>Harvest</t>
        </is>
      </c>
      <c r="D66" s="57" t="inlineStr">
        <is>
          <t>First</t>
        </is>
      </c>
      <c r="E66" s="57" t="inlineStr">
        <is>
          <t>Second</t>
        </is>
      </c>
      <c r="F66" s="57" t="inlineStr">
        <is>
          <t>forced_from_sheet_name</t>
        </is>
      </c>
    </row>
    <row r="67" ht="25" customHeight="1" s="55">
      <c r="A67" s="57" t="inlineStr">
        <is>
          <t>Second</t>
        </is>
      </c>
      <c r="B67" s="57" t="n">
        <v>41</v>
      </c>
      <c r="C67" s="57" t="inlineStr">
        <is>
          <t>row_removed</t>
        </is>
      </c>
      <c r="D67" s="57" t="inlineStr"/>
      <c r="E67" s="57" t="inlineStr"/>
      <c r="F67" s="57" t="inlineStr">
        <is>
          <t>empty_plot_slot</t>
        </is>
      </c>
    </row>
    <row r="68" ht="25" customHeight="1" s="55">
      <c r="A68" s="57" t="inlineStr">
        <is>
          <t>Second</t>
        </is>
      </c>
      <c r="B68" s="57" t="n">
        <v>40</v>
      </c>
      <c r="C68" s="57" t="inlineStr">
        <is>
          <t>row_removed</t>
        </is>
      </c>
      <c r="D68" s="57" t="inlineStr"/>
      <c r="E68" s="57" t="inlineStr"/>
      <c r="F68" s="57" t="inlineStr">
        <is>
          <t>empty_plot_slot</t>
        </is>
      </c>
    </row>
    <row r="69" ht="25" customHeight="1" s="55">
      <c r="A69" s="57" t="inlineStr">
        <is>
          <t>Second</t>
        </is>
      </c>
      <c r="B69" s="57" t="n">
        <v>39</v>
      </c>
      <c r="C69" s="57" t="inlineStr">
        <is>
          <t>row_removed</t>
        </is>
      </c>
      <c r="D69" s="57" t="inlineStr"/>
      <c r="E69" s="57" t="inlineStr"/>
      <c r="F69" s="57" t="inlineStr">
        <is>
          <t>empty_plot_slot</t>
        </is>
      </c>
    </row>
    <row r="70" ht="25" customHeight="1" s="55">
      <c r="A70" s="57" t="inlineStr">
        <is>
          <t>Second</t>
        </is>
      </c>
      <c r="B70" s="57" t="n">
        <v>38</v>
      </c>
      <c r="C70" s="57" t="inlineStr">
        <is>
          <t>row_removed</t>
        </is>
      </c>
      <c r="D70" s="57" t="inlineStr"/>
      <c r="E70" s="57" t="inlineStr"/>
      <c r="F70" s="57" t="inlineStr">
        <is>
          <t>empty_plot_slot</t>
        </is>
      </c>
    </row>
    <row r="71" ht="25" customHeight="1" s="55">
      <c r="A71" s="57" t="inlineStr">
        <is>
          <t>Second</t>
        </is>
      </c>
      <c r="B71" s="57" t="n">
        <v>37</v>
      </c>
      <c r="C71" s="57" t="inlineStr">
        <is>
          <t>row_removed</t>
        </is>
      </c>
      <c r="D71" s="57" t="inlineStr"/>
      <c r="E71" s="57" t="inlineStr"/>
      <c r="F71" s="57" t="inlineStr">
        <is>
          <t>empty_plot_slot</t>
        </is>
      </c>
    </row>
    <row r="72" ht="25" customHeight="1" s="55">
      <c r="A72" s="57" t="inlineStr">
        <is>
          <t>Second</t>
        </is>
      </c>
      <c r="B72" s="57" t="n">
        <v>36</v>
      </c>
      <c r="C72" s="57" t="inlineStr">
        <is>
          <t>row_removed</t>
        </is>
      </c>
      <c r="D72" s="57" t="inlineStr"/>
      <c r="E72" s="57" t="inlineStr"/>
      <c r="F72" s="57" t="inlineStr">
        <is>
          <t>empty_plot_slot</t>
        </is>
      </c>
    </row>
    <row r="73" ht="25" customHeight="1" s="55">
      <c r="A73" s="57" t="inlineStr">
        <is>
          <t>Second</t>
        </is>
      </c>
      <c r="B73" s="57" t="n">
        <v>35</v>
      </c>
      <c r="C73" s="57" t="inlineStr">
        <is>
          <t>row_removed</t>
        </is>
      </c>
      <c r="D73" s="57" t="inlineStr"/>
      <c r="E73" s="57" t="inlineStr"/>
      <c r="F73" s="57" t="inlineStr">
        <is>
          <t>empty_plot_slot</t>
        </is>
      </c>
    </row>
    <row r="74" ht="25" customHeight="1" s="55">
      <c r="A74" s="57" t="inlineStr">
        <is>
          <t>Second</t>
        </is>
      </c>
      <c r="B74" s="57" t="n">
        <v>34</v>
      </c>
      <c r="C74" s="57" t="inlineStr">
        <is>
          <t>row_removed</t>
        </is>
      </c>
      <c r="D74" s="57" t="inlineStr"/>
      <c r="E74" s="57" t="inlineStr"/>
      <c r="F74" s="57" t="inlineStr">
        <is>
          <t>empty_plot_slot</t>
        </is>
      </c>
    </row>
    <row r="75" ht="25" customHeight="1" s="55">
      <c r="A75" s="57" t="inlineStr">
        <is>
          <t>Second</t>
        </is>
      </c>
      <c r="B75" s="57" t="n">
        <v>33</v>
      </c>
      <c r="C75" s="57" t="inlineStr">
        <is>
          <t>row_removed</t>
        </is>
      </c>
      <c r="D75" s="57" t="inlineStr"/>
      <c r="E75" s="57" t="inlineStr"/>
      <c r="F75" s="57" t="inlineStr">
        <is>
          <t>empty_plot_slot</t>
        </is>
      </c>
    </row>
    <row r="76" ht="25" customHeight="1" s="55">
      <c r="A76" s="57" t="inlineStr">
        <is>
          <t>Second</t>
        </is>
      </c>
      <c r="B76" s="57" t="n">
        <v>32</v>
      </c>
      <c r="C76" s="57" t="inlineStr">
        <is>
          <t>row_removed</t>
        </is>
      </c>
      <c r="D76" s="57" t="inlineStr"/>
      <c r="E76" s="57" t="inlineStr"/>
      <c r="F76" s="57" t="inlineStr">
        <is>
          <t>empty_plot_slot</t>
        </is>
      </c>
    </row>
    <row r="77" ht="25" customHeight="1" s="55">
      <c r="A77" s="57" t="inlineStr">
        <is>
          <t>Second</t>
        </is>
      </c>
      <c r="B77" s="57" t="n">
        <v>31</v>
      </c>
      <c r="C77" s="57" t="inlineStr">
        <is>
          <t>row_removed</t>
        </is>
      </c>
      <c r="D77" s="57" t="inlineStr"/>
      <c r="E77" s="57" t="inlineStr"/>
      <c r="F77" s="57" t="inlineStr">
        <is>
          <t>empty_plot_slot</t>
        </is>
      </c>
    </row>
    <row r="78" ht="25" customHeight="1" s="55">
      <c r="A78" s="57" t="inlineStr">
        <is>
          <t>Second</t>
        </is>
      </c>
      <c r="B78" s="57" t="n">
        <v>30</v>
      </c>
      <c r="C78" s="57" t="inlineStr">
        <is>
          <t>row_removed</t>
        </is>
      </c>
      <c r="D78" s="57" t="inlineStr"/>
      <c r="E78" s="57" t="inlineStr"/>
      <c r="F78" s="57" t="inlineStr">
        <is>
          <t>empty_plot_slot</t>
        </is>
      </c>
    </row>
    <row r="79" ht="25" customHeight="1" s="55">
      <c r="A79" s="57" t="inlineStr">
        <is>
          <t>Second</t>
        </is>
      </c>
      <c r="B79" s="57" t="n">
        <v>29</v>
      </c>
      <c r="C79" s="57" t="inlineStr">
        <is>
          <t>row_removed</t>
        </is>
      </c>
      <c r="D79" s="57" t="inlineStr"/>
      <c r="E79" s="57" t="inlineStr"/>
      <c r="F79" s="57" t="inlineStr">
        <is>
          <t>empty_plot_slot</t>
        </is>
      </c>
    </row>
    <row r="80" ht="25" customHeight="1" s="55">
      <c r="A80" s="57" t="inlineStr">
        <is>
          <t>Second</t>
        </is>
      </c>
      <c r="B80" s="57" t="n">
        <v>28</v>
      </c>
      <c r="C80" s="57" t="inlineStr">
        <is>
          <t>row_removed</t>
        </is>
      </c>
      <c r="D80" s="57" t="inlineStr"/>
      <c r="E80" s="57" t="inlineStr"/>
      <c r="F80" s="57" t="inlineStr">
        <is>
          <t>empty_plot_slot</t>
        </is>
      </c>
    </row>
    <row r="81" ht="25" customHeight="1" s="55">
      <c r="A81" s="57" t="inlineStr">
        <is>
          <t>Second</t>
        </is>
      </c>
      <c r="B81" s="57" t="n">
        <v>27</v>
      </c>
      <c r="C81" s="57" t="inlineStr">
        <is>
          <t>row_removed</t>
        </is>
      </c>
      <c r="D81" s="57" t="inlineStr"/>
      <c r="E81" s="57" t="inlineStr"/>
      <c r="F81" s="57" t="inlineStr">
        <is>
          <t>empty_plot_slot</t>
        </is>
      </c>
    </row>
    <row r="82" ht="25" customHeight="1" s="55">
      <c r="A82" s="57" t="inlineStr">
        <is>
          <t>Second</t>
        </is>
      </c>
      <c r="B82" s="57" t="n">
        <v>26</v>
      </c>
      <c r="C82" s="57" t="inlineStr">
        <is>
          <t>row_removed</t>
        </is>
      </c>
      <c r="D82" s="57" t="inlineStr"/>
      <c r="E82" s="57" t="inlineStr"/>
      <c r="F82" s="57" t="inlineStr">
        <is>
          <t>empty_plot_slot</t>
        </is>
      </c>
    </row>
    <row r="83" ht="25" customHeight="1" s="55">
      <c r="A83" s="57" t="inlineStr">
        <is>
          <t>Second</t>
        </is>
      </c>
      <c r="B83" s="57" t="n">
        <v>23</v>
      </c>
      <c r="C83" s="57" t="inlineStr">
        <is>
          <t>row_removed</t>
        </is>
      </c>
      <c r="D83" s="57" t="inlineStr"/>
      <c r="E83" s="57" t="inlineStr"/>
      <c r="F83" s="57" t="inlineStr">
        <is>
          <t>empty_plot_slot</t>
        </is>
      </c>
    </row>
    <row r="84" ht="25" customHeight="1" s="55">
      <c r="A84" s="57" t="inlineStr">
        <is>
          <t>Second</t>
        </is>
      </c>
      <c r="B84" s="57" t="n">
        <v>22</v>
      </c>
      <c r="C84" s="57" t="inlineStr">
        <is>
          <t>row_removed</t>
        </is>
      </c>
      <c r="D84" s="57" t="inlineStr"/>
      <c r="E84" s="57" t="inlineStr"/>
      <c r="F84" s="57" t="inlineStr">
        <is>
          <t>empty_plot_slot</t>
        </is>
      </c>
    </row>
    <row r="85" ht="25" customHeight="1" s="55">
      <c r="A85" s="57" t="inlineStr">
        <is>
          <t>Second</t>
        </is>
      </c>
      <c r="B85" s="57" t="n">
        <v>17</v>
      </c>
      <c r="C85" s="57" t="inlineStr">
        <is>
          <t>row_removed</t>
        </is>
      </c>
      <c r="D85" s="57" t="inlineStr"/>
      <c r="E85" s="57" t="inlineStr"/>
      <c r="F85" s="57" t="inlineStr">
        <is>
          <t>empty_plot_slot</t>
        </is>
      </c>
    </row>
    <row r="86" ht="25" customHeight="1" s="55">
      <c r="A86" s="57" t="inlineStr">
        <is>
          <t>Second</t>
        </is>
      </c>
      <c r="B86" s="57" t="n">
        <v>16</v>
      </c>
      <c r="C86" s="57" t="inlineStr">
        <is>
          <t>row_removed</t>
        </is>
      </c>
      <c r="D86" s="57" t="inlineStr"/>
      <c r="E86" s="57" t="inlineStr"/>
      <c r="F86" s="57" t="inlineStr">
        <is>
          <t>empty_plot_slot</t>
        </is>
      </c>
    </row>
    <row r="87" ht="25" customHeight="1" s="55">
      <c r="A87" s="57" t="inlineStr">
        <is>
          <t>Third</t>
        </is>
      </c>
      <c r="B87" s="57" t="n">
        <v>16</v>
      </c>
      <c r="C87" s="57" t="inlineStr">
        <is>
          <t>Harvest</t>
        </is>
      </c>
      <c r="D87" s="57" t="inlineStr">
        <is>
          <t>First</t>
        </is>
      </c>
      <c r="E87" s="57" t="inlineStr">
        <is>
          <t>Third</t>
        </is>
      </c>
      <c r="F87" s="57" t="inlineStr">
        <is>
          <t>forced_from_sheet_name</t>
        </is>
      </c>
    </row>
    <row r="88" ht="25" customHeight="1" s="55">
      <c r="A88" s="57" t="inlineStr">
        <is>
          <t>Third</t>
        </is>
      </c>
      <c r="B88" s="57" t="n">
        <v>17</v>
      </c>
      <c r="C88" s="57" t="inlineStr">
        <is>
          <t>Harvest</t>
        </is>
      </c>
      <c r="D88" s="57" t="inlineStr">
        <is>
          <t>First</t>
        </is>
      </c>
      <c r="E88" s="57" t="inlineStr">
        <is>
          <t>Third</t>
        </is>
      </c>
      <c r="F88" s="57" t="inlineStr">
        <is>
          <t>forced_from_sheet_name</t>
        </is>
      </c>
    </row>
    <row r="89" ht="25" customHeight="1" s="55">
      <c r="A89" s="57" t="inlineStr">
        <is>
          <t>Third</t>
        </is>
      </c>
      <c r="B89" s="57" t="n">
        <v>19</v>
      </c>
      <c r="C89" s="57" t="inlineStr">
        <is>
          <t>Harvest</t>
        </is>
      </c>
      <c r="D89" s="57" t="inlineStr">
        <is>
          <t>Second</t>
        </is>
      </c>
      <c r="E89" s="57" t="inlineStr">
        <is>
          <t>Third</t>
        </is>
      </c>
      <c r="F89" s="57" t="inlineStr">
        <is>
          <t>forced_from_sheet_name</t>
        </is>
      </c>
    </row>
    <row r="90" ht="25" customHeight="1" s="55">
      <c r="A90" s="57" t="inlineStr">
        <is>
          <t>Third</t>
        </is>
      </c>
      <c r="B90" s="57" t="n">
        <v>22</v>
      </c>
      <c r="C90" s="57" t="inlineStr">
        <is>
          <t>Harvest</t>
        </is>
      </c>
      <c r="D90" s="57" t="inlineStr">
        <is>
          <t>First</t>
        </is>
      </c>
      <c r="E90" s="57" t="inlineStr">
        <is>
          <t>Third</t>
        </is>
      </c>
      <c r="F90" s="57" t="inlineStr">
        <is>
          <t>forced_from_sheet_name</t>
        </is>
      </c>
    </row>
    <row r="91" ht="25" customHeight="1" s="55">
      <c r="A91" s="57" t="inlineStr">
        <is>
          <t>Third</t>
        </is>
      </c>
      <c r="B91" s="57" t="n">
        <v>23</v>
      </c>
      <c r="C91" s="57" t="inlineStr">
        <is>
          <t>Harvest</t>
        </is>
      </c>
      <c r="D91" s="57" t="inlineStr">
        <is>
          <t>First</t>
        </is>
      </c>
      <c r="E91" s="57" t="inlineStr">
        <is>
          <t>Third</t>
        </is>
      </c>
      <c r="F91" s="57" t="inlineStr">
        <is>
          <t>forced_from_sheet_name</t>
        </is>
      </c>
    </row>
    <row r="92" ht="25" customHeight="1" s="55">
      <c r="A92" s="57" t="inlineStr">
        <is>
          <t>Third</t>
        </is>
      </c>
      <c r="B92" s="57" t="n">
        <v>24</v>
      </c>
      <c r="C92" s="57" t="inlineStr">
        <is>
          <t>Harvest</t>
        </is>
      </c>
      <c r="D92" s="57" t="inlineStr">
        <is>
          <t>Second</t>
        </is>
      </c>
      <c r="E92" s="57" t="inlineStr">
        <is>
          <t>Third</t>
        </is>
      </c>
      <c r="F92" s="57" t="inlineStr">
        <is>
          <t>forced_from_sheet_name</t>
        </is>
      </c>
    </row>
    <row r="93" ht="25" customHeight="1" s="55">
      <c r="A93" s="57" t="inlineStr">
        <is>
          <t>Third</t>
        </is>
      </c>
      <c r="B93" s="57" t="n">
        <v>26</v>
      </c>
      <c r="C93" s="57" t="inlineStr">
        <is>
          <t>Harvest</t>
        </is>
      </c>
      <c r="D93" s="57" t="inlineStr">
        <is>
          <t>First</t>
        </is>
      </c>
      <c r="E93" s="57" t="inlineStr">
        <is>
          <t>Third</t>
        </is>
      </c>
      <c r="F93" s="57" t="inlineStr">
        <is>
          <t>forced_from_sheet_name</t>
        </is>
      </c>
    </row>
    <row r="94" ht="25" customHeight="1" s="55">
      <c r="A94" s="57" t="inlineStr">
        <is>
          <t>Third</t>
        </is>
      </c>
      <c r="B94" s="57" t="n">
        <v>27</v>
      </c>
      <c r="C94" s="57" t="inlineStr">
        <is>
          <t>Harvest</t>
        </is>
      </c>
      <c r="D94" s="57" t="inlineStr">
        <is>
          <t>First</t>
        </is>
      </c>
      <c r="E94" s="57" t="inlineStr">
        <is>
          <t>Third</t>
        </is>
      </c>
      <c r="F94" s="57" t="inlineStr">
        <is>
          <t>forced_from_sheet_name</t>
        </is>
      </c>
    </row>
    <row r="95" ht="25" customHeight="1" s="55">
      <c r="A95" s="57" t="inlineStr">
        <is>
          <t>Third</t>
        </is>
      </c>
      <c r="B95" s="57" t="n">
        <v>28</v>
      </c>
      <c r="C95" s="57" t="inlineStr">
        <is>
          <t>Harvest</t>
        </is>
      </c>
      <c r="D95" s="57" t="inlineStr">
        <is>
          <t>First</t>
        </is>
      </c>
      <c r="E95" s="57" t="inlineStr">
        <is>
          <t>Third</t>
        </is>
      </c>
      <c r="F95" s="57" t="inlineStr">
        <is>
          <t>forced_from_sheet_name</t>
        </is>
      </c>
    </row>
    <row r="96" ht="25" customHeight="1" s="55">
      <c r="A96" s="57" t="inlineStr">
        <is>
          <t>Third</t>
        </is>
      </c>
      <c r="B96" s="57" t="n">
        <v>29</v>
      </c>
      <c r="C96" s="57" t="inlineStr">
        <is>
          <t>Harvest</t>
        </is>
      </c>
      <c r="D96" s="57" t="inlineStr">
        <is>
          <t>First</t>
        </is>
      </c>
      <c r="E96" s="57" t="inlineStr">
        <is>
          <t>Third</t>
        </is>
      </c>
      <c r="F96" s="57" t="inlineStr">
        <is>
          <t>forced_from_sheet_name</t>
        </is>
      </c>
    </row>
    <row r="97" ht="25" customHeight="1" s="55">
      <c r="A97" s="57" t="inlineStr">
        <is>
          <t>Third</t>
        </is>
      </c>
      <c r="B97" s="57" t="n">
        <v>30</v>
      </c>
      <c r="C97" s="57" t="inlineStr">
        <is>
          <t>Harvest</t>
        </is>
      </c>
      <c r="D97" s="57" t="inlineStr">
        <is>
          <t>First</t>
        </is>
      </c>
      <c r="E97" s="57" t="inlineStr">
        <is>
          <t>Third</t>
        </is>
      </c>
      <c r="F97" s="57" t="inlineStr">
        <is>
          <t>forced_from_sheet_name</t>
        </is>
      </c>
    </row>
    <row r="98" ht="25" customHeight="1" s="55">
      <c r="A98" s="57" t="inlineStr">
        <is>
          <t>Third</t>
        </is>
      </c>
      <c r="B98" s="57" t="n">
        <v>31</v>
      </c>
      <c r="C98" s="57" t="inlineStr">
        <is>
          <t>Harvest</t>
        </is>
      </c>
      <c r="D98" s="57" t="inlineStr">
        <is>
          <t>First</t>
        </is>
      </c>
      <c r="E98" s="57" t="inlineStr">
        <is>
          <t>Third</t>
        </is>
      </c>
      <c r="F98" s="57" t="inlineStr">
        <is>
          <t>forced_from_sheet_name</t>
        </is>
      </c>
    </row>
    <row r="99" ht="25" customHeight="1" s="55">
      <c r="A99" s="57" t="inlineStr">
        <is>
          <t>Third</t>
        </is>
      </c>
      <c r="B99" s="57" t="n">
        <v>32</v>
      </c>
      <c r="C99" s="57" t="inlineStr">
        <is>
          <t>Harvest</t>
        </is>
      </c>
      <c r="D99" s="57" t="inlineStr">
        <is>
          <t>First</t>
        </is>
      </c>
      <c r="E99" s="57" t="inlineStr">
        <is>
          <t>Third</t>
        </is>
      </c>
      <c r="F99" s="57" t="inlineStr">
        <is>
          <t>forced_from_sheet_name</t>
        </is>
      </c>
    </row>
    <row r="100" ht="25" customHeight="1" s="55">
      <c r="A100" s="57" t="inlineStr">
        <is>
          <t>Third</t>
        </is>
      </c>
      <c r="B100" s="57" t="n">
        <v>33</v>
      </c>
      <c r="C100" s="57" t="inlineStr">
        <is>
          <t>Harvest</t>
        </is>
      </c>
      <c r="D100" s="57" t="inlineStr">
        <is>
          <t>First</t>
        </is>
      </c>
      <c r="E100" s="57" t="inlineStr">
        <is>
          <t>Third</t>
        </is>
      </c>
      <c r="F100" s="57" t="inlineStr">
        <is>
          <t>forced_from_sheet_name</t>
        </is>
      </c>
    </row>
    <row r="101" ht="25" customHeight="1" s="55">
      <c r="A101" s="57" t="inlineStr">
        <is>
          <t>Third</t>
        </is>
      </c>
      <c r="B101" s="57" t="n">
        <v>34</v>
      </c>
      <c r="C101" s="57" t="inlineStr">
        <is>
          <t>Harvest</t>
        </is>
      </c>
      <c r="D101" s="57" t="inlineStr">
        <is>
          <t>First</t>
        </is>
      </c>
      <c r="E101" s="57" t="inlineStr">
        <is>
          <t>Third</t>
        </is>
      </c>
      <c r="F101" s="57" t="inlineStr">
        <is>
          <t>forced_from_sheet_name</t>
        </is>
      </c>
    </row>
    <row r="102" ht="25" customHeight="1" s="55">
      <c r="A102" s="57" t="inlineStr">
        <is>
          <t>Third</t>
        </is>
      </c>
      <c r="B102" s="57" t="n">
        <v>35</v>
      </c>
      <c r="C102" s="57" t="inlineStr">
        <is>
          <t>Harvest</t>
        </is>
      </c>
      <c r="D102" s="57" t="inlineStr">
        <is>
          <t>First</t>
        </is>
      </c>
      <c r="E102" s="57" t="inlineStr">
        <is>
          <t>Third</t>
        </is>
      </c>
      <c r="F102" s="57" t="inlineStr">
        <is>
          <t>forced_from_sheet_name</t>
        </is>
      </c>
    </row>
    <row r="103" ht="25" customHeight="1" s="55">
      <c r="A103" s="57" t="inlineStr">
        <is>
          <t>Third</t>
        </is>
      </c>
      <c r="B103" s="57" t="n">
        <v>36</v>
      </c>
      <c r="C103" s="57" t="inlineStr">
        <is>
          <t>Harvest</t>
        </is>
      </c>
      <c r="D103" s="57" t="inlineStr">
        <is>
          <t>First</t>
        </is>
      </c>
      <c r="E103" s="57" t="inlineStr">
        <is>
          <t>Third</t>
        </is>
      </c>
      <c r="F103" s="57" t="inlineStr">
        <is>
          <t>forced_from_sheet_name</t>
        </is>
      </c>
    </row>
    <row r="104" ht="25" customHeight="1" s="55">
      <c r="A104" s="57" t="inlineStr">
        <is>
          <t>Third</t>
        </is>
      </c>
      <c r="B104" s="57" t="n">
        <v>37</v>
      </c>
      <c r="C104" s="57" t="inlineStr">
        <is>
          <t>Harvest</t>
        </is>
      </c>
      <c r="D104" s="57" t="inlineStr">
        <is>
          <t>First</t>
        </is>
      </c>
      <c r="E104" s="57" t="inlineStr">
        <is>
          <t>Third</t>
        </is>
      </c>
      <c r="F104" s="57" t="inlineStr">
        <is>
          <t>forced_from_sheet_name</t>
        </is>
      </c>
    </row>
    <row r="105" ht="25" customHeight="1" s="55">
      <c r="A105" s="57" t="inlineStr">
        <is>
          <t>Third</t>
        </is>
      </c>
      <c r="B105" s="57" t="n">
        <v>38</v>
      </c>
      <c r="C105" s="57" t="inlineStr">
        <is>
          <t>Harvest</t>
        </is>
      </c>
      <c r="D105" s="57" t="inlineStr">
        <is>
          <t>First</t>
        </is>
      </c>
      <c r="E105" s="57" t="inlineStr">
        <is>
          <t>Third</t>
        </is>
      </c>
      <c r="F105" s="57" t="inlineStr">
        <is>
          <t>forced_from_sheet_name</t>
        </is>
      </c>
    </row>
    <row r="106" ht="25" customHeight="1" s="55">
      <c r="A106" s="57" t="inlineStr">
        <is>
          <t>Third</t>
        </is>
      </c>
      <c r="B106" s="57" t="n">
        <v>39</v>
      </c>
      <c r="C106" s="57" t="inlineStr">
        <is>
          <t>Harvest</t>
        </is>
      </c>
      <c r="D106" s="57" t="inlineStr">
        <is>
          <t>First</t>
        </is>
      </c>
      <c r="E106" s="57" t="inlineStr">
        <is>
          <t>Third</t>
        </is>
      </c>
      <c r="F106" s="57" t="inlineStr">
        <is>
          <t>forced_from_sheet_name</t>
        </is>
      </c>
    </row>
    <row r="107" ht="25" customHeight="1" s="55">
      <c r="A107" s="57" t="inlineStr">
        <is>
          <t>Third</t>
        </is>
      </c>
      <c r="B107" s="57" t="n">
        <v>40</v>
      </c>
      <c r="C107" s="57" t="inlineStr">
        <is>
          <t>Harvest</t>
        </is>
      </c>
      <c r="D107" s="57" t="inlineStr">
        <is>
          <t>First</t>
        </is>
      </c>
      <c r="E107" s="57" t="inlineStr">
        <is>
          <t>Third</t>
        </is>
      </c>
      <c r="F107" s="57" t="inlineStr">
        <is>
          <t>forced_from_sheet_name</t>
        </is>
      </c>
    </row>
    <row r="108" ht="25" customHeight="1" s="55">
      <c r="A108" s="57" t="inlineStr">
        <is>
          <t>Third</t>
        </is>
      </c>
      <c r="B108" s="57" t="n">
        <v>41</v>
      </c>
      <c r="C108" s="57" t="inlineStr">
        <is>
          <t>Harvest</t>
        </is>
      </c>
      <c r="D108" s="57" t="inlineStr">
        <is>
          <t>First</t>
        </is>
      </c>
      <c r="E108" s="57" t="inlineStr">
        <is>
          <t>Third</t>
        </is>
      </c>
      <c r="F108" s="57" t="inlineStr">
        <is>
          <t>forced_from_sheet_name</t>
        </is>
      </c>
    </row>
    <row r="109" ht="25" customHeight="1" s="55">
      <c r="A109" s="57" t="inlineStr">
        <is>
          <t>Third</t>
        </is>
      </c>
      <c r="B109" s="57" t="n">
        <v>42</v>
      </c>
      <c r="C109" s="57" t="inlineStr">
        <is>
          <t>Harvest</t>
        </is>
      </c>
      <c r="D109" s="57" t="inlineStr">
        <is>
          <t>First</t>
        </is>
      </c>
      <c r="E109" s="57" t="inlineStr">
        <is>
          <t>Third</t>
        </is>
      </c>
      <c r="F109" s="57" t="inlineStr">
        <is>
          <t>forced_from_sheet_name</t>
        </is>
      </c>
    </row>
    <row r="110" ht="25" customHeight="1" s="55">
      <c r="A110" s="57" t="inlineStr">
        <is>
          <t>Third</t>
        </is>
      </c>
      <c r="B110" s="57" t="n">
        <v>43</v>
      </c>
      <c r="C110" s="57" t="inlineStr">
        <is>
          <t>Harvest</t>
        </is>
      </c>
      <c r="D110" s="57" t="inlineStr">
        <is>
          <t>Second</t>
        </is>
      </c>
      <c r="E110" s="57" t="inlineStr">
        <is>
          <t>Third</t>
        </is>
      </c>
      <c r="F110" s="57" t="inlineStr">
        <is>
          <t>forced_from_sheet_name</t>
        </is>
      </c>
    </row>
    <row r="111" ht="25" customHeight="1" s="55">
      <c r="A111" s="57" t="inlineStr">
        <is>
          <t>Third</t>
        </is>
      </c>
      <c r="B111" s="57" t="n">
        <v>44</v>
      </c>
      <c r="C111" s="57" t="inlineStr">
        <is>
          <t>Harvest</t>
        </is>
      </c>
      <c r="D111" s="57" t="inlineStr">
        <is>
          <t>First</t>
        </is>
      </c>
      <c r="E111" s="57" t="inlineStr">
        <is>
          <t>Third</t>
        </is>
      </c>
      <c r="F111" s="57" t="inlineStr">
        <is>
          <t>forced_from_sheet_name</t>
        </is>
      </c>
    </row>
    <row r="112" ht="25" customHeight="1" s="55">
      <c r="A112" s="57" t="inlineStr">
        <is>
          <t>Third</t>
        </is>
      </c>
      <c r="B112" s="57" t="n">
        <v>45</v>
      </c>
      <c r="C112" s="57" t="inlineStr">
        <is>
          <t>Harvest</t>
        </is>
      </c>
      <c r="D112" s="57" t="inlineStr">
        <is>
          <t>First</t>
        </is>
      </c>
      <c r="E112" s="57" t="inlineStr">
        <is>
          <t>Third</t>
        </is>
      </c>
      <c r="F112" s="57" t="inlineStr">
        <is>
          <t>forced_from_sheet_name</t>
        </is>
      </c>
    </row>
    <row r="113" ht="25" customHeight="1" s="55">
      <c r="A113" s="57" t="inlineStr">
        <is>
          <t>Third</t>
        </is>
      </c>
      <c r="B113" s="57" t="n">
        <v>46</v>
      </c>
      <c r="C113" s="57" t="inlineStr">
        <is>
          <t>Harvest</t>
        </is>
      </c>
      <c r="D113" s="57" t="inlineStr">
        <is>
          <t>Second</t>
        </is>
      </c>
      <c r="E113" s="57" t="inlineStr">
        <is>
          <t>Third</t>
        </is>
      </c>
      <c r="F113" s="57" t="inlineStr">
        <is>
          <t>forced_from_sheet_name</t>
        </is>
      </c>
    </row>
    <row r="114" ht="25" customHeight="1" s="55">
      <c r="A114" s="57" t="inlineStr">
        <is>
          <t>Third</t>
        </is>
      </c>
      <c r="B114" s="57" t="n">
        <v>47</v>
      </c>
      <c r="C114" s="57" t="inlineStr">
        <is>
          <t>Harvest</t>
        </is>
      </c>
      <c r="D114" s="57" t="inlineStr">
        <is>
          <t>First</t>
        </is>
      </c>
      <c r="E114" s="57" t="inlineStr">
        <is>
          <t>Third</t>
        </is>
      </c>
      <c r="F114" s="57" t="inlineStr">
        <is>
          <t>forced_from_sheet_name</t>
        </is>
      </c>
    </row>
    <row r="115" ht="25" customHeight="1" s="55">
      <c r="A115" s="57" t="inlineStr">
        <is>
          <t>Third</t>
        </is>
      </c>
      <c r="B115" s="57" t="n">
        <v>48</v>
      </c>
      <c r="C115" s="57" t="inlineStr">
        <is>
          <t>Harvest</t>
        </is>
      </c>
      <c r="D115" s="57" t="inlineStr">
        <is>
          <t>First</t>
        </is>
      </c>
      <c r="E115" s="57" t="inlineStr">
        <is>
          <t>Third</t>
        </is>
      </c>
      <c r="F115" s="57" t="inlineStr">
        <is>
          <t>forced_from_sheet_name</t>
        </is>
      </c>
    </row>
    <row r="116" ht="25" customHeight="1" s="55">
      <c r="A116" s="57" t="inlineStr">
        <is>
          <t>Third</t>
        </is>
      </c>
      <c r="B116" s="57" t="n">
        <v>49</v>
      </c>
      <c r="C116" s="57" t="inlineStr">
        <is>
          <t>Harvest</t>
        </is>
      </c>
      <c r="D116" s="57" t="inlineStr">
        <is>
          <t>First</t>
        </is>
      </c>
      <c r="E116" s="57" t="inlineStr">
        <is>
          <t>Third</t>
        </is>
      </c>
      <c r="F116" s="57" t="inlineStr">
        <is>
          <t>forced_from_sheet_name</t>
        </is>
      </c>
    </row>
    <row r="117" ht="25" customHeight="1" s="55">
      <c r="A117" s="57" t="inlineStr">
        <is>
          <t>Third</t>
        </is>
      </c>
      <c r="B117" s="57" t="n">
        <v>50</v>
      </c>
      <c r="C117" s="57" t="inlineStr">
        <is>
          <t>Harvest</t>
        </is>
      </c>
      <c r="D117" s="57" t="inlineStr">
        <is>
          <t>First</t>
        </is>
      </c>
      <c r="E117" s="57" t="inlineStr">
        <is>
          <t>Third</t>
        </is>
      </c>
      <c r="F117" s="57" t="inlineStr">
        <is>
          <t>forced_from_sheet_name</t>
        </is>
      </c>
    </row>
    <row r="118" ht="25" customHeight="1" s="55">
      <c r="A118" s="57" t="inlineStr">
        <is>
          <t>Third</t>
        </is>
      </c>
      <c r="B118" s="57" t="n">
        <v>51</v>
      </c>
      <c r="C118" s="57" t="inlineStr">
        <is>
          <t>Harvest</t>
        </is>
      </c>
      <c r="D118" s="57" t="inlineStr">
        <is>
          <t>First</t>
        </is>
      </c>
      <c r="E118" s="57" t="inlineStr">
        <is>
          <t>Third</t>
        </is>
      </c>
      <c r="F118" s="57" t="inlineStr">
        <is>
          <t>forced_from_sheet_name</t>
        </is>
      </c>
    </row>
    <row r="119" ht="25" customHeight="1" s="55">
      <c r="A119" s="57" t="inlineStr">
        <is>
          <t>Fourth</t>
        </is>
      </c>
      <c r="B119" s="57" t="n">
        <v>2</v>
      </c>
      <c r="C119" s="57" t="inlineStr">
        <is>
          <t>Harvest</t>
        </is>
      </c>
      <c r="D119" s="57" t="inlineStr"/>
      <c r="E119" s="57" t="inlineStr">
        <is>
          <t>Fourth</t>
        </is>
      </c>
      <c r="F119" s="57" t="inlineStr">
        <is>
          <t>forced_from_sheet_name</t>
        </is>
      </c>
    </row>
    <row r="120" ht="25" customHeight="1" s="55">
      <c r="A120" s="57" t="inlineStr">
        <is>
          <t>Fourth</t>
        </is>
      </c>
      <c r="B120" s="57" t="n">
        <v>2</v>
      </c>
      <c r="C120" s="57" t="inlineStr">
        <is>
          <t>Date of harvest</t>
        </is>
      </c>
      <c r="D120" s="57" t="inlineStr"/>
      <c r="E120" s="57" t="inlineStr">
        <is>
          <t>2026-08-03</t>
        </is>
      </c>
      <c r="F120" s="57" t="inlineStr">
        <is>
          <t>date_forced:Inferred: weekly HT cadence after Third (Mon 7/27 → Mon 8/3)</t>
        </is>
      </c>
    </row>
    <row r="121" ht="25" customHeight="1" s="55">
      <c r="A121" s="57" t="inlineStr">
        <is>
          <t>Fourth</t>
        </is>
      </c>
      <c r="B121" s="57" t="n">
        <v>3</v>
      </c>
      <c r="C121" s="57" t="inlineStr">
        <is>
          <t>Harvest</t>
        </is>
      </c>
      <c r="D121" s="57" t="inlineStr"/>
      <c r="E121" s="57" t="inlineStr">
        <is>
          <t>Fourth</t>
        </is>
      </c>
      <c r="F121" s="57" t="inlineStr">
        <is>
          <t>forced_from_sheet_name</t>
        </is>
      </c>
    </row>
    <row r="122" ht="25" customHeight="1" s="55">
      <c r="A122" s="57" t="inlineStr">
        <is>
          <t>Fourth</t>
        </is>
      </c>
      <c r="B122" s="57" t="n">
        <v>3</v>
      </c>
      <c r="C122" s="57" t="inlineStr">
        <is>
          <t>Date of harvest</t>
        </is>
      </c>
      <c r="D122" s="57" t="inlineStr"/>
      <c r="E122" s="57" t="inlineStr">
        <is>
          <t>2026-08-03</t>
        </is>
      </c>
      <c r="F122" s="57" t="inlineStr">
        <is>
          <t>date_forced:Inferred: weekly HT cadence after Third (Mon 7/27 → Mon 8/3)</t>
        </is>
      </c>
    </row>
    <row r="123" ht="25" customHeight="1" s="55">
      <c r="A123" s="57" t="inlineStr">
        <is>
          <t>Fourth</t>
        </is>
      </c>
      <c r="B123" s="57" t="n">
        <v>4</v>
      </c>
      <c r="C123" s="57" t="inlineStr">
        <is>
          <t>Harvest</t>
        </is>
      </c>
      <c r="D123" s="57" t="inlineStr"/>
      <c r="E123" s="57" t="inlineStr">
        <is>
          <t>Fourth</t>
        </is>
      </c>
      <c r="F123" s="57" t="inlineStr">
        <is>
          <t>forced_from_sheet_name</t>
        </is>
      </c>
    </row>
    <row r="124" ht="25" customHeight="1" s="55">
      <c r="A124" s="57" t="inlineStr">
        <is>
          <t>Fourth</t>
        </is>
      </c>
      <c r="B124" s="57" t="n">
        <v>4</v>
      </c>
      <c r="C124" s="57" t="inlineStr">
        <is>
          <t>Date of harvest</t>
        </is>
      </c>
      <c r="D124" s="57" t="inlineStr"/>
      <c r="E124" s="57" t="inlineStr">
        <is>
          <t>2026-08-03</t>
        </is>
      </c>
      <c r="F124" s="57" t="inlineStr">
        <is>
          <t>date_forced:Inferred: weekly HT cadence after Third (Mon 7/27 → Mon 8/3)</t>
        </is>
      </c>
    </row>
    <row r="125" ht="25" customHeight="1" s="55">
      <c r="A125" s="57" t="inlineStr">
        <is>
          <t>Fourth</t>
        </is>
      </c>
      <c r="B125" s="57" t="n">
        <v>5</v>
      </c>
      <c r="C125" s="57" t="inlineStr">
        <is>
          <t>Harvest</t>
        </is>
      </c>
      <c r="D125" s="57" t="inlineStr"/>
      <c r="E125" s="57" t="inlineStr">
        <is>
          <t>Fourth</t>
        </is>
      </c>
      <c r="F125" s="57" t="inlineStr">
        <is>
          <t>forced_from_sheet_name</t>
        </is>
      </c>
    </row>
    <row r="126" ht="25" customHeight="1" s="55">
      <c r="A126" s="57" t="inlineStr">
        <is>
          <t>Fourth</t>
        </is>
      </c>
      <c r="B126" s="57" t="n">
        <v>5</v>
      </c>
      <c r="C126" s="57" t="inlineStr">
        <is>
          <t>Date of harvest</t>
        </is>
      </c>
      <c r="D126" s="57" t="inlineStr"/>
      <c r="E126" s="57" t="inlineStr">
        <is>
          <t>2026-08-03</t>
        </is>
      </c>
      <c r="F126" s="57" t="inlineStr">
        <is>
          <t>date_forced:Inferred: weekly HT cadence after Third (Mon 7/27 → Mon 8/3)</t>
        </is>
      </c>
    </row>
    <row r="127" ht="25" customHeight="1" s="55">
      <c r="A127" s="57" t="inlineStr">
        <is>
          <t>Fourth</t>
        </is>
      </c>
      <c r="B127" s="57" t="n">
        <v>6</v>
      </c>
      <c r="C127" s="57" t="inlineStr">
        <is>
          <t>Harvest</t>
        </is>
      </c>
      <c r="D127" s="57" t="inlineStr"/>
      <c r="E127" s="57" t="inlineStr">
        <is>
          <t>Fourth</t>
        </is>
      </c>
      <c r="F127" s="57" t="inlineStr">
        <is>
          <t>forced_from_sheet_name</t>
        </is>
      </c>
    </row>
    <row r="128" ht="25" customHeight="1" s="55">
      <c r="A128" s="57" t="inlineStr">
        <is>
          <t>Fourth</t>
        </is>
      </c>
      <c r="B128" s="57" t="n">
        <v>6</v>
      </c>
      <c r="C128" s="57" t="inlineStr">
        <is>
          <t>Date of harvest</t>
        </is>
      </c>
      <c r="D128" s="57" t="inlineStr"/>
      <c r="E128" s="57" t="inlineStr">
        <is>
          <t>2026-08-03</t>
        </is>
      </c>
      <c r="F128" s="57" t="inlineStr">
        <is>
          <t>date_forced:Inferred: weekly HT cadence after Third (Mon 7/27 → Mon 8/3)</t>
        </is>
      </c>
    </row>
    <row r="129" ht="25" customHeight="1" s="55">
      <c r="A129" s="57" t="inlineStr">
        <is>
          <t>Fourth</t>
        </is>
      </c>
      <c r="B129" s="57" t="n">
        <v>7</v>
      </c>
      <c r="C129" s="57" t="inlineStr">
        <is>
          <t>Harvest</t>
        </is>
      </c>
      <c r="D129" s="57" t="inlineStr"/>
      <c r="E129" s="57" t="inlineStr">
        <is>
          <t>Fourth</t>
        </is>
      </c>
      <c r="F129" s="57" t="inlineStr">
        <is>
          <t>forced_from_sheet_name</t>
        </is>
      </c>
    </row>
    <row r="130" ht="25" customHeight="1" s="55">
      <c r="A130" s="57" t="inlineStr">
        <is>
          <t>Fourth</t>
        </is>
      </c>
      <c r="B130" s="57" t="n">
        <v>7</v>
      </c>
      <c r="C130" s="57" t="inlineStr">
        <is>
          <t>Date of harvest</t>
        </is>
      </c>
      <c r="D130" s="57" t="inlineStr"/>
      <c r="E130" s="57" t="inlineStr">
        <is>
          <t>2026-08-03</t>
        </is>
      </c>
      <c r="F130" s="57" t="inlineStr">
        <is>
          <t>date_forced:Inferred: weekly HT cadence after Third (Mon 7/27 → Mon 8/3)</t>
        </is>
      </c>
    </row>
    <row r="131" ht="25" customHeight="1" s="55">
      <c r="A131" s="57" t="inlineStr">
        <is>
          <t>Fourth</t>
        </is>
      </c>
      <c r="B131" s="57" t="n">
        <v>8</v>
      </c>
      <c r="C131" s="57" t="inlineStr">
        <is>
          <t>Harvest</t>
        </is>
      </c>
      <c r="D131" s="57" t="inlineStr"/>
      <c r="E131" s="57" t="inlineStr">
        <is>
          <t>Fourth</t>
        </is>
      </c>
      <c r="F131" s="57" t="inlineStr">
        <is>
          <t>forced_from_sheet_name</t>
        </is>
      </c>
    </row>
    <row r="132" ht="25" customHeight="1" s="55">
      <c r="A132" s="57" t="inlineStr">
        <is>
          <t>Fourth</t>
        </is>
      </c>
      <c r="B132" s="57" t="n">
        <v>8</v>
      </c>
      <c r="C132" s="57" t="inlineStr">
        <is>
          <t>Date of harvest</t>
        </is>
      </c>
      <c r="D132" s="57" t="inlineStr"/>
      <c r="E132" s="57" t="inlineStr">
        <is>
          <t>2026-08-03</t>
        </is>
      </c>
      <c r="F132" s="57" t="inlineStr">
        <is>
          <t>date_forced:Inferred: weekly HT cadence after Third (Mon 7/27 → Mon 8/3)</t>
        </is>
      </c>
    </row>
    <row r="133" ht="25" customHeight="1" s="55">
      <c r="A133" s="57" t="inlineStr">
        <is>
          <t>Fourth</t>
        </is>
      </c>
      <c r="B133" s="57" t="n">
        <v>9</v>
      </c>
      <c r="C133" s="57" t="inlineStr">
        <is>
          <t>Harvest</t>
        </is>
      </c>
      <c r="D133" s="57" t="inlineStr"/>
      <c r="E133" s="57" t="inlineStr">
        <is>
          <t>Fourth</t>
        </is>
      </c>
      <c r="F133" s="57" t="inlineStr">
        <is>
          <t>forced_from_sheet_name</t>
        </is>
      </c>
    </row>
    <row r="134" ht="25" customHeight="1" s="55">
      <c r="A134" s="57" t="inlineStr">
        <is>
          <t>Fourth</t>
        </is>
      </c>
      <c r="B134" s="57" t="n">
        <v>9</v>
      </c>
      <c r="C134" s="57" t="inlineStr">
        <is>
          <t>Date of harvest</t>
        </is>
      </c>
      <c r="D134" s="57" t="inlineStr"/>
      <c r="E134" s="57" t="inlineStr">
        <is>
          <t>2026-08-03</t>
        </is>
      </c>
      <c r="F134" s="57" t="inlineStr">
        <is>
          <t>date_forced:Inferred: weekly HT cadence after Third (Mon 7/27 → Mon 8/3)</t>
        </is>
      </c>
    </row>
    <row r="135" ht="25" customHeight="1" s="55">
      <c r="A135" s="57" t="inlineStr">
        <is>
          <t>Fourth</t>
        </is>
      </c>
      <c r="B135" s="57" t="n">
        <v>10</v>
      </c>
      <c r="C135" s="57" t="inlineStr">
        <is>
          <t>Harvest</t>
        </is>
      </c>
      <c r="D135" s="57" t="inlineStr"/>
      <c r="E135" s="57" t="inlineStr">
        <is>
          <t>Fourth</t>
        </is>
      </c>
      <c r="F135" s="57" t="inlineStr">
        <is>
          <t>forced_from_sheet_name</t>
        </is>
      </c>
    </row>
    <row r="136" ht="25" customHeight="1" s="55">
      <c r="A136" s="57" t="inlineStr">
        <is>
          <t>Fourth</t>
        </is>
      </c>
      <c r="B136" s="57" t="n">
        <v>10</v>
      </c>
      <c r="C136" s="57" t="inlineStr">
        <is>
          <t>Date of harvest</t>
        </is>
      </c>
      <c r="D136" s="57" t="inlineStr"/>
      <c r="E136" s="57" t="inlineStr">
        <is>
          <t>2026-08-03</t>
        </is>
      </c>
      <c r="F136" s="57" t="inlineStr">
        <is>
          <t>date_forced:Inferred: weekly HT cadence after Third (Mon 7/27 → Mon 8/3)</t>
        </is>
      </c>
    </row>
    <row r="137" ht="25" customHeight="1" s="55">
      <c r="A137" s="57" t="inlineStr">
        <is>
          <t>Fourth</t>
        </is>
      </c>
      <c r="B137" s="57" t="n">
        <v>11</v>
      </c>
      <c r="C137" s="57" t="inlineStr">
        <is>
          <t>Harvest</t>
        </is>
      </c>
      <c r="D137" s="57" t="inlineStr"/>
      <c r="E137" s="57" t="inlineStr">
        <is>
          <t>Fourth</t>
        </is>
      </c>
      <c r="F137" s="57" t="inlineStr">
        <is>
          <t>forced_from_sheet_name</t>
        </is>
      </c>
    </row>
    <row r="138" ht="25" customHeight="1" s="55">
      <c r="A138" s="57" t="inlineStr">
        <is>
          <t>Fourth</t>
        </is>
      </c>
      <c r="B138" s="57" t="n">
        <v>11</v>
      </c>
      <c r="C138" s="57" t="inlineStr">
        <is>
          <t>Date of harvest</t>
        </is>
      </c>
      <c r="D138" s="57" t="inlineStr"/>
      <c r="E138" s="57" t="inlineStr">
        <is>
          <t>2026-08-03</t>
        </is>
      </c>
      <c r="F138" s="57" t="inlineStr">
        <is>
          <t>date_forced:Inferred: weekly HT cadence after Third (Mon 7/27 → Mon 8/3)</t>
        </is>
      </c>
    </row>
    <row r="139" ht="25" customHeight="1" s="55">
      <c r="A139" s="57" t="inlineStr">
        <is>
          <t>Fourth</t>
        </is>
      </c>
      <c r="B139" s="57" t="n">
        <v>12</v>
      </c>
      <c r="C139" s="57" t="inlineStr">
        <is>
          <t>Harvest</t>
        </is>
      </c>
      <c r="D139" s="57" t="inlineStr"/>
      <c r="E139" s="57" t="inlineStr">
        <is>
          <t>Fourth</t>
        </is>
      </c>
      <c r="F139" s="57" t="inlineStr">
        <is>
          <t>forced_from_sheet_name</t>
        </is>
      </c>
    </row>
    <row r="140" ht="25" customHeight="1" s="55">
      <c r="A140" s="57" t="inlineStr">
        <is>
          <t>Fourth</t>
        </is>
      </c>
      <c r="B140" s="57" t="n">
        <v>12</v>
      </c>
      <c r="C140" s="57" t="inlineStr">
        <is>
          <t>Date of harvest</t>
        </is>
      </c>
      <c r="D140" s="57" t="inlineStr"/>
      <c r="E140" s="57" t="inlineStr">
        <is>
          <t>2026-08-03</t>
        </is>
      </c>
      <c r="F140" s="57" t="inlineStr">
        <is>
          <t>date_forced:Inferred: weekly HT cadence after Third (Mon 7/27 → Mon 8/3)</t>
        </is>
      </c>
    </row>
    <row r="141" ht="25" customHeight="1" s="55">
      <c r="A141" s="57" t="inlineStr">
        <is>
          <t>Fourth</t>
        </is>
      </c>
      <c r="B141" s="57" t="n">
        <v>13</v>
      </c>
      <c r="C141" s="57" t="inlineStr">
        <is>
          <t>Harvest</t>
        </is>
      </c>
      <c r="D141" s="57" t="inlineStr"/>
      <c r="E141" s="57" t="inlineStr">
        <is>
          <t>Fourth</t>
        </is>
      </c>
      <c r="F141" s="57" t="inlineStr">
        <is>
          <t>forced_from_sheet_name</t>
        </is>
      </c>
    </row>
    <row r="142" ht="25" customHeight="1" s="55">
      <c r="A142" s="57" t="inlineStr">
        <is>
          <t>Fourth</t>
        </is>
      </c>
      <c r="B142" s="57" t="n">
        <v>13</v>
      </c>
      <c r="C142" s="57" t="inlineStr">
        <is>
          <t>Date of harvest</t>
        </is>
      </c>
      <c r="D142" s="57" t="inlineStr"/>
      <c r="E142" s="57" t="inlineStr">
        <is>
          <t>2026-08-03</t>
        </is>
      </c>
      <c r="F142" s="57" t="inlineStr">
        <is>
          <t>date_forced:Inferred: weekly HT cadence after Third (Mon 7/27 → Mon 8/3)</t>
        </is>
      </c>
    </row>
    <row r="143" ht="25" customHeight="1" s="55">
      <c r="A143" s="57" t="inlineStr">
        <is>
          <t>Fourth</t>
        </is>
      </c>
      <c r="B143" s="57" t="n">
        <v>14</v>
      </c>
      <c r="C143" s="57" t="inlineStr">
        <is>
          <t>Harvest</t>
        </is>
      </c>
      <c r="D143" s="57" t="inlineStr"/>
      <c r="E143" s="57" t="inlineStr">
        <is>
          <t>Fourth</t>
        </is>
      </c>
      <c r="F143" s="57" t="inlineStr">
        <is>
          <t>forced_from_sheet_name</t>
        </is>
      </c>
    </row>
    <row r="144" ht="25" customHeight="1" s="55">
      <c r="A144" s="57" t="inlineStr">
        <is>
          <t>Fourth</t>
        </is>
      </c>
      <c r="B144" s="57" t="n">
        <v>14</v>
      </c>
      <c r="C144" s="57" t="inlineStr">
        <is>
          <t>Date of harvest</t>
        </is>
      </c>
      <c r="D144" s="57" t="inlineStr"/>
      <c r="E144" s="57" t="inlineStr">
        <is>
          <t>2026-08-03</t>
        </is>
      </c>
      <c r="F144" s="57" t="inlineStr">
        <is>
          <t>date_forced:Inferred: weekly HT cadence after Third (Mon 7/27 → Mon 8/3)</t>
        </is>
      </c>
    </row>
    <row r="145" ht="25" customHeight="1" s="55">
      <c r="A145" s="57" t="inlineStr">
        <is>
          <t>Fourth</t>
        </is>
      </c>
      <c r="B145" s="57" t="n">
        <v>15</v>
      </c>
      <c r="C145" s="57" t="inlineStr">
        <is>
          <t>Harvest</t>
        </is>
      </c>
      <c r="D145" s="57" t="inlineStr"/>
      <c r="E145" s="57" t="inlineStr">
        <is>
          <t>Fourth</t>
        </is>
      </c>
      <c r="F145" s="57" t="inlineStr">
        <is>
          <t>forced_from_sheet_name</t>
        </is>
      </c>
    </row>
    <row r="146" ht="25" customHeight="1" s="55">
      <c r="A146" s="57" t="inlineStr">
        <is>
          <t>Fourth</t>
        </is>
      </c>
      <c r="B146" s="57" t="n">
        <v>15</v>
      </c>
      <c r="C146" s="57" t="inlineStr">
        <is>
          <t>Date of harvest</t>
        </is>
      </c>
      <c r="D146" s="57" t="inlineStr"/>
      <c r="E146" s="57" t="inlineStr">
        <is>
          <t>2026-08-03</t>
        </is>
      </c>
      <c r="F146" s="57" t="inlineStr">
        <is>
          <t>date_forced:Inferred: weekly HT cadence after Third (Mon 7/27 → Mon 8/3)</t>
        </is>
      </c>
    </row>
    <row r="147" ht="25" customHeight="1" s="55">
      <c r="A147" s="57" t="inlineStr">
        <is>
          <t>Fourth</t>
        </is>
      </c>
      <c r="B147" s="57" t="n">
        <v>16</v>
      </c>
      <c r="C147" s="57" t="inlineStr">
        <is>
          <t>Harvest</t>
        </is>
      </c>
      <c r="D147" s="57" t="inlineStr"/>
      <c r="E147" s="57" t="inlineStr">
        <is>
          <t>Fourth</t>
        </is>
      </c>
      <c r="F147" s="57" t="inlineStr">
        <is>
          <t>forced_from_sheet_name</t>
        </is>
      </c>
    </row>
    <row r="148" ht="25" customHeight="1" s="55">
      <c r="A148" s="57" t="inlineStr">
        <is>
          <t>Fourth</t>
        </is>
      </c>
      <c r="B148" s="57" t="n">
        <v>16</v>
      </c>
      <c r="C148" s="57" t="inlineStr">
        <is>
          <t>Date of harvest</t>
        </is>
      </c>
      <c r="D148" s="57" t="inlineStr"/>
      <c r="E148" s="57" t="inlineStr">
        <is>
          <t>2026-08-03</t>
        </is>
      </c>
      <c r="F148" s="57" t="inlineStr">
        <is>
          <t>date_forced:Inferred: weekly HT cadence after Third (Mon 7/27 → Mon 8/3)</t>
        </is>
      </c>
    </row>
    <row r="149" ht="25" customHeight="1" s="55">
      <c r="A149" s="57" t="inlineStr">
        <is>
          <t>Fourth</t>
        </is>
      </c>
      <c r="B149" s="57" t="n">
        <v>17</v>
      </c>
      <c r="C149" s="57" t="inlineStr">
        <is>
          <t>Harvest</t>
        </is>
      </c>
      <c r="D149" s="57" t="inlineStr"/>
      <c r="E149" s="57" t="inlineStr">
        <is>
          <t>Fourth</t>
        </is>
      </c>
      <c r="F149" s="57" t="inlineStr">
        <is>
          <t>forced_from_sheet_name</t>
        </is>
      </c>
    </row>
    <row r="150" ht="25" customHeight="1" s="55">
      <c r="A150" s="57" t="inlineStr">
        <is>
          <t>Fourth</t>
        </is>
      </c>
      <c r="B150" s="57" t="n">
        <v>17</v>
      </c>
      <c r="C150" s="57" t="inlineStr">
        <is>
          <t>Date of harvest</t>
        </is>
      </c>
      <c r="D150" s="57" t="inlineStr"/>
      <c r="E150" s="57" t="inlineStr">
        <is>
          <t>2026-08-03</t>
        </is>
      </c>
      <c r="F150" s="57" t="inlineStr">
        <is>
          <t>date_forced:Inferred: weekly HT cadence after Third (Mon 7/27 → Mon 8/3)</t>
        </is>
      </c>
    </row>
    <row r="151" ht="25" customHeight="1" s="55">
      <c r="A151" s="57" t="inlineStr">
        <is>
          <t>Fourth</t>
        </is>
      </c>
      <c r="B151" s="57" t="n">
        <v>18</v>
      </c>
      <c r="C151" s="57" t="inlineStr">
        <is>
          <t>Harvest</t>
        </is>
      </c>
      <c r="D151" s="57" t="inlineStr"/>
      <c r="E151" s="57" t="inlineStr">
        <is>
          <t>Fourth</t>
        </is>
      </c>
      <c r="F151" s="57" t="inlineStr">
        <is>
          <t>forced_from_sheet_name</t>
        </is>
      </c>
    </row>
    <row r="152" ht="25" customHeight="1" s="55">
      <c r="A152" s="57" t="inlineStr">
        <is>
          <t>Fourth</t>
        </is>
      </c>
      <c r="B152" s="57" t="n">
        <v>18</v>
      </c>
      <c r="C152" s="57" t="inlineStr">
        <is>
          <t>Date of harvest</t>
        </is>
      </c>
      <c r="D152" s="57" t="inlineStr"/>
      <c r="E152" s="57" t="inlineStr">
        <is>
          <t>2026-08-03</t>
        </is>
      </c>
      <c r="F152" s="57" t="inlineStr">
        <is>
          <t>date_forced:Inferred: weekly HT cadence after Third (Mon 7/27 → Mon 8/3)</t>
        </is>
      </c>
    </row>
    <row r="153" ht="25" customHeight="1" s="55">
      <c r="A153" s="57" t="inlineStr">
        <is>
          <t>Fourth</t>
        </is>
      </c>
      <c r="B153" s="57" t="n">
        <v>19</v>
      </c>
      <c r="C153" s="57" t="inlineStr">
        <is>
          <t>Harvest</t>
        </is>
      </c>
      <c r="D153" s="57" t="inlineStr"/>
      <c r="E153" s="57" t="inlineStr">
        <is>
          <t>Fourth</t>
        </is>
      </c>
      <c r="F153" s="57" t="inlineStr">
        <is>
          <t>forced_from_sheet_name</t>
        </is>
      </c>
    </row>
    <row r="154" ht="25" customHeight="1" s="55">
      <c r="A154" s="57" t="inlineStr">
        <is>
          <t>Fourth</t>
        </is>
      </c>
      <c r="B154" s="57" t="n">
        <v>19</v>
      </c>
      <c r="C154" s="57" t="inlineStr">
        <is>
          <t>Date of harvest</t>
        </is>
      </c>
      <c r="D154" s="57" t="inlineStr"/>
      <c r="E154" s="57" t="inlineStr">
        <is>
          <t>2026-08-03</t>
        </is>
      </c>
      <c r="F154" s="57" t="inlineStr">
        <is>
          <t>date_forced:Inferred: weekly HT cadence after Third (Mon 7/27 → Mon 8/3)</t>
        </is>
      </c>
    </row>
    <row r="155" ht="25" customHeight="1" s="55">
      <c r="A155" s="57" t="inlineStr">
        <is>
          <t>Fourth</t>
        </is>
      </c>
      <c r="B155" s="57" t="n">
        <v>20</v>
      </c>
      <c r="C155" s="57" t="inlineStr">
        <is>
          <t>Harvest</t>
        </is>
      </c>
      <c r="D155" s="57" t="inlineStr"/>
      <c r="E155" s="57" t="inlineStr">
        <is>
          <t>Fourth</t>
        </is>
      </c>
      <c r="F155" s="57" t="inlineStr">
        <is>
          <t>forced_from_sheet_name</t>
        </is>
      </c>
    </row>
    <row r="156" ht="25" customHeight="1" s="55">
      <c r="A156" s="57" t="inlineStr">
        <is>
          <t>Fourth</t>
        </is>
      </c>
      <c r="B156" s="57" t="n">
        <v>20</v>
      </c>
      <c r="C156" s="57" t="inlineStr">
        <is>
          <t>Date of harvest</t>
        </is>
      </c>
      <c r="D156" s="57" t="inlineStr"/>
      <c r="E156" s="57" t="inlineStr">
        <is>
          <t>2026-08-03</t>
        </is>
      </c>
      <c r="F156" s="57" t="inlineStr">
        <is>
          <t>date_forced:Inferred: weekly HT cadence after Third (Mon 7/27 → Mon 8/3)</t>
        </is>
      </c>
    </row>
    <row r="157" ht="25" customHeight="1" s="55">
      <c r="A157" s="57" t="inlineStr">
        <is>
          <t>Fourth</t>
        </is>
      </c>
      <c r="B157" s="57" t="n">
        <v>21</v>
      </c>
      <c r="C157" s="57" t="inlineStr">
        <is>
          <t>Harvest</t>
        </is>
      </c>
      <c r="D157" s="57" t="inlineStr"/>
      <c r="E157" s="57" t="inlineStr">
        <is>
          <t>Fourth</t>
        </is>
      </c>
      <c r="F157" s="57" t="inlineStr">
        <is>
          <t>forced_from_sheet_name</t>
        </is>
      </c>
    </row>
    <row r="158" ht="25" customHeight="1" s="55">
      <c r="A158" s="57" t="inlineStr">
        <is>
          <t>Fourth</t>
        </is>
      </c>
      <c r="B158" s="57" t="n">
        <v>21</v>
      </c>
      <c r="C158" s="57" t="inlineStr">
        <is>
          <t>Date of harvest</t>
        </is>
      </c>
      <c r="D158" s="57" t="inlineStr"/>
      <c r="E158" s="57" t="inlineStr">
        <is>
          <t>2026-08-03</t>
        </is>
      </c>
      <c r="F158" s="57" t="inlineStr">
        <is>
          <t>date_forced:Inferred: weekly HT cadence after Third (Mon 7/27 → Mon 8/3)</t>
        </is>
      </c>
    </row>
    <row r="159" ht="25" customHeight="1" s="55">
      <c r="A159" s="57" t="inlineStr">
        <is>
          <t>Fourth</t>
        </is>
      </c>
      <c r="B159" s="57" t="n">
        <v>22</v>
      </c>
      <c r="C159" s="57" t="inlineStr">
        <is>
          <t>Harvest</t>
        </is>
      </c>
      <c r="D159" s="57" t="inlineStr"/>
      <c r="E159" s="57" t="inlineStr">
        <is>
          <t>Fourth</t>
        </is>
      </c>
      <c r="F159" s="57" t="inlineStr">
        <is>
          <t>forced_from_sheet_name</t>
        </is>
      </c>
    </row>
    <row r="160" ht="25" customHeight="1" s="55">
      <c r="A160" s="57" t="inlineStr">
        <is>
          <t>Fourth</t>
        </is>
      </c>
      <c r="B160" s="57" t="n">
        <v>22</v>
      </c>
      <c r="C160" s="57" t="inlineStr">
        <is>
          <t>Date of harvest</t>
        </is>
      </c>
      <c r="D160" s="57" t="inlineStr"/>
      <c r="E160" s="57" t="inlineStr">
        <is>
          <t>2026-08-03</t>
        </is>
      </c>
      <c r="F160" s="57" t="inlineStr">
        <is>
          <t>date_forced:Inferred: weekly HT cadence after Third (Mon 7/27 → Mon 8/3)</t>
        </is>
      </c>
    </row>
    <row r="161" ht="25" customHeight="1" s="55">
      <c r="A161" s="57" t="inlineStr">
        <is>
          <t>Fourth</t>
        </is>
      </c>
      <c r="B161" s="57" t="n">
        <v>23</v>
      </c>
      <c r="C161" s="57" t="inlineStr">
        <is>
          <t>Harvest</t>
        </is>
      </c>
      <c r="D161" s="57" t="inlineStr"/>
      <c r="E161" s="57" t="inlineStr">
        <is>
          <t>Fourth</t>
        </is>
      </c>
      <c r="F161" s="57" t="inlineStr">
        <is>
          <t>forced_from_sheet_name</t>
        </is>
      </c>
    </row>
    <row r="162" ht="25" customHeight="1" s="55">
      <c r="A162" s="57" t="inlineStr">
        <is>
          <t>Fourth</t>
        </is>
      </c>
      <c r="B162" s="57" t="n">
        <v>23</v>
      </c>
      <c r="C162" s="57" t="inlineStr">
        <is>
          <t>Date of harvest</t>
        </is>
      </c>
      <c r="D162" s="57" t="inlineStr"/>
      <c r="E162" s="57" t="inlineStr">
        <is>
          <t>2026-08-03</t>
        </is>
      </c>
      <c r="F162" s="57" t="inlineStr">
        <is>
          <t>date_forced:Inferred: weekly HT cadence after Third (Mon 7/27 → Mon 8/3)</t>
        </is>
      </c>
    </row>
    <row r="163" ht="25" customHeight="1" s="55">
      <c r="A163" s="57" t="inlineStr">
        <is>
          <t>Fourth</t>
        </is>
      </c>
      <c r="B163" s="57" t="n">
        <v>24</v>
      </c>
      <c r="C163" s="57" t="inlineStr">
        <is>
          <t>Harvest</t>
        </is>
      </c>
      <c r="D163" s="57" t="inlineStr"/>
      <c r="E163" s="57" t="inlineStr">
        <is>
          <t>Fourth</t>
        </is>
      </c>
      <c r="F163" s="57" t="inlineStr">
        <is>
          <t>forced_from_sheet_name</t>
        </is>
      </c>
    </row>
    <row r="164" ht="25" customHeight="1" s="55">
      <c r="A164" s="57" t="inlineStr">
        <is>
          <t>Fourth</t>
        </is>
      </c>
      <c r="B164" s="57" t="n">
        <v>24</v>
      </c>
      <c r="C164" s="57" t="inlineStr">
        <is>
          <t>Date of harvest</t>
        </is>
      </c>
      <c r="D164" s="57" t="inlineStr"/>
      <c r="E164" s="57" t="inlineStr">
        <is>
          <t>2026-08-03</t>
        </is>
      </c>
      <c r="F164" s="57" t="inlineStr">
        <is>
          <t>date_forced:Inferred: weekly HT cadence after Third (Mon 7/27 → Mon 8/3)</t>
        </is>
      </c>
    </row>
    <row r="165" ht="25" customHeight="1" s="55">
      <c r="A165" s="57" t="inlineStr">
        <is>
          <t>Fourth</t>
        </is>
      </c>
      <c r="B165" s="57" t="n">
        <v>25</v>
      </c>
      <c r="C165" s="57" t="inlineStr">
        <is>
          <t>Harvest</t>
        </is>
      </c>
      <c r="D165" s="57" t="inlineStr"/>
      <c r="E165" s="57" t="inlineStr">
        <is>
          <t>Fourth</t>
        </is>
      </c>
      <c r="F165" s="57" t="inlineStr">
        <is>
          <t>forced_from_sheet_name</t>
        </is>
      </c>
    </row>
    <row r="166" ht="25" customHeight="1" s="55">
      <c r="A166" s="57" t="inlineStr">
        <is>
          <t>Fourth</t>
        </is>
      </c>
      <c r="B166" s="57" t="n">
        <v>25</v>
      </c>
      <c r="C166" s="57" t="inlineStr">
        <is>
          <t>Date of harvest</t>
        </is>
      </c>
      <c r="D166" s="57" t="inlineStr"/>
      <c r="E166" s="57" t="inlineStr">
        <is>
          <t>2026-08-03</t>
        </is>
      </c>
      <c r="F166" s="57" t="inlineStr">
        <is>
          <t>date_forced:Inferred: weekly HT cadence after Third (Mon 7/27 → Mon 8/3)</t>
        </is>
      </c>
    </row>
    <row r="167" ht="25" customHeight="1" s="55">
      <c r="A167" s="57" t="inlineStr">
        <is>
          <t>Fourth</t>
        </is>
      </c>
      <c r="B167" s="57" t="n">
        <v>26</v>
      </c>
      <c r="C167" s="57" t="inlineStr">
        <is>
          <t>Harvest</t>
        </is>
      </c>
      <c r="D167" s="57" t="inlineStr"/>
      <c r="E167" s="57" t="inlineStr">
        <is>
          <t>Fourth</t>
        </is>
      </c>
      <c r="F167" s="57" t="inlineStr">
        <is>
          <t>forced_from_sheet_name</t>
        </is>
      </c>
    </row>
    <row r="168" ht="25" customHeight="1" s="55">
      <c r="A168" s="57" t="inlineStr">
        <is>
          <t>Fourth</t>
        </is>
      </c>
      <c r="B168" s="57" t="n">
        <v>26</v>
      </c>
      <c r="C168" s="57" t="inlineStr">
        <is>
          <t>Date of harvest</t>
        </is>
      </c>
      <c r="D168" s="57" t="inlineStr"/>
      <c r="E168" s="57" t="inlineStr">
        <is>
          <t>2026-08-03</t>
        </is>
      </c>
      <c r="F168" s="57" t="inlineStr">
        <is>
          <t>date_forced:Inferred: weekly HT cadence after Third (Mon 7/27 → Mon 8/3)</t>
        </is>
      </c>
    </row>
    <row r="169" ht="25" customHeight="1" s="55">
      <c r="A169" s="57" t="inlineStr">
        <is>
          <t>Fourth</t>
        </is>
      </c>
      <c r="B169" s="57" t="n">
        <v>27</v>
      </c>
      <c r="C169" s="57" t="inlineStr">
        <is>
          <t>Harvest</t>
        </is>
      </c>
      <c r="D169" s="57" t="inlineStr"/>
      <c r="E169" s="57" t="inlineStr">
        <is>
          <t>Fourth</t>
        </is>
      </c>
      <c r="F169" s="57" t="inlineStr">
        <is>
          <t>forced_from_sheet_name</t>
        </is>
      </c>
    </row>
    <row r="170" ht="25" customHeight="1" s="55">
      <c r="A170" s="57" t="inlineStr">
        <is>
          <t>Fourth</t>
        </is>
      </c>
      <c r="B170" s="57" t="n">
        <v>27</v>
      </c>
      <c r="C170" s="57" t="inlineStr">
        <is>
          <t>Date of harvest</t>
        </is>
      </c>
      <c r="D170" s="57" t="inlineStr"/>
      <c r="E170" s="57" t="inlineStr">
        <is>
          <t>2026-08-03</t>
        </is>
      </c>
      <c r="F170" s="57" t="inlineStr">
        <is>
          <t>date_forced:Inferred: weekly HT cadence after Third (Mon 7/27 → Mon 8/3)</t>
        </is>
      </c>
    </row>
    <row r="171" ht="25" customHeight="1" s="55">
      <c r="A171" s="57" t="inlineStr">
        <is>
          <t>Fourth</t>
        </is>
      </c>
      <c r="B171" s="57" t="n">
        <v>28</v>
      </c>
      <c r="C171" s="57" t="inlineStr">
        <is>
          <t>Harvest</t>
        </is>
      </c>
      <c r="D171" s="57" t="inlineStr"/>
      <c r="E171" s="57" t="inlineStr">
        <is>
          <t>Fourth</t>
        </is>
      </c>
      <c r="F171" s="57" t="inlineStr">
        <is>
          <t>forced_from_sheet_name</t>
        </is>
      </c>
    </row>
    <row r="172" ht="25" customHeight="1" s="55">
      <c r="A172" s="57" t="inlineStr">
        <is>
          <t>Fourth</t>
        </is>
      </c>
      <c r="B172" s="57" t="n">
        <v>28</v>
      </c>
      <c r="C172" s="57" t="inlineStr">
        <is>
          <t>Date of harvest</t>
        </is>
      </c>
      <c r="D172" s="57" t="inlineStr"/>
      <c r="E172" s="57" t="inlineStr">
        <is>
          <t>2026-08-03</t>
        </is>
      </c>
      <c r="F172" s="57" t="inlineStr">
        <is>
          <t>date_forced:Inferred: weekly HT cadence after Third (Mon 7/27 → Mon 8/3)</t>
        </is>
      </c>
    </row>
    <row r="173" ht="25" customHeight="1" s="55">
      <c r="A173" s="57" t="inlineStr">
        <is>
          <t>Fourth</t>
        </is>
      </c>
      <c r="B173" s="57" t="n">
        <v>29</v>
      </c>
      <c r="C173" s="57" t="inlineStr">
        <is>
          <t>Harvest</t>
        </is>
      </c>
      <c r="D173" s="57" t="inlineStr"/>
      <c r="E173" s="57" t="inlineStr">
        <is>
          <t>Fourth</t>
        </is>
      </c>
      <c r="F173" s="57" t="inlineStr">
        <is>
          <t>forced_from_sheet_name</t>
        </is>
      </c>
    </row>
    <row r="174" ht="25" customHeight="1" s="55">
      <c r="A174" s="57" t="inlineStr">
        <is>
          <t>Fourth</t>
        </is>
      </c>
      <c r="B174" s="57" t="n">
        <v>29</v>
      </c>
      <c r="C174" s="57" t="inlineStr">
        <is>
          <t>Date of harvest</t>
        </is>
      </c>
      <c r="D174" s="57" t="inlineStr"/>
      <c r="E174" s="57" t="inlineStr">
        <is>
          <t>2026-08-03</t>
        </is>
      </c>
      <c r="F174" s="57" t="inlineStr">
        <is>
          <t>date_forced:Inferred: weekly HT cadence after Third (Mon 7/27 → Mon 8/3)</t>
        </is>
      </c>
    </row>
    <row r="175" ht="25" customHeight="1" s="55">
      <c r="A175" s="57" t="inlineStr">
        <is>
          <t>Fourth</t>
        </is>
      </c>
      <c r="B175" s="57" t="n">
        <v>30</v>
      </c>
      <c r="C175" s="57" t="inlineStr">
        <is>
          <t>Harvest</t>
        </is>
      </c>
      <c r="D175" s="57" t="inlineStr"/>
      <c r="E175" s="57" t="inlineStr">
        <is>
          <t>Fourth</t>
        </is>
      </c>
      <c r="F175" s="57" t="inlineStr">
        <is>
          <t>forced_from_sheet_name</t>
        </is>
      </c>
    </row>
    <row r="176" ht="25" customHeight="1" s="55">
      <c r="A176" s="57" t="inlineStr">
        <is>
          <t>Fourth</t>
        </is>
      </c>
      <c r="B176" s="57" t="n">
        <v>30</v>
      </c>
      <c r="C176" s="57" t="inlineStr">
        <is>
          <t>Date of harvest</t>
        </is>
      </c>
      <c r="D176" s="57" t="inlineStr"/>
      <c r="E176" s="57" t="inlineStr">
        <is>
          <t>2026-08-03</t>
        </is>
      </c>
      <c r="F176" s="57" t="inlineStr">
        <is>
          <t>date_forced:Inferred: weekly HT cadence after Third (Mon 7/27 → Mon 8/3)</t>
        </is>
      </c>
    </row>
    <row r="177" ht="25" customHeight="1" s="55">
      <c r="A177" s="57" t="inlineStr">
        <is>
          <t>Fourth</t>
        </is>
      </c>
      <c r="B177" s="57" t="n">
        <v>31</v>
      </c>
      <c r="C177" s="57" t="inlineStr">
        <is>
          <t>Harvest</t>
        </is>
      </c>
      <c r="D177" s="57" t="inlineStr"/>
      <c r="E177" s="57" t="inlineStr">
        <is>
          <t>Fourth</t>
        </is>
      </c>
      <c r="F177" s="57" t="inlineStr">
        <is>
          <t>forced_from_sheet_name</t>
        </is>
      </c>
    </row>
    <row r="178" ht="25" customHeight="1" s="55">
      <c r="A178" s="57" t="inlineStr">
        <is>
          <t>Fourth</t>
        </is>
      </c>
      <c r="B178" s="57" t="n">
        <v>31</v>
      </c>
      <c r="C178" s="57" t="inlineStr">
        <is>
          <t>Date of harvest</t>
        </is>
      </c>
      <c r="D178" s="57" t="inlineStr"/>
      <c r="E178" s="57" t="inlineStr">
        <is>
          <t>2026-08-03</t>
        </is>
      </c>
      <c r="F178" s="57" t="inlineStr">
        <is>
          <t>date_forced:Inferred: weekly HT cadence after Third (Mon 7/27 → Mon 8/3)</t>
        </is>
      </c>
    </row>
    <row r="179" ht="25" customHeight="1" s="55">
      <c r="A179" s="57" t="inlineStr">
        <is>
          <t>Fourth</t>
        </is>
      </c>
      <c r="B179" s="57" t="n">
        <v>32</v>
      </c>
      <c r="C179" s="57" t="inlineStr">
        <is>
          <t>Harvest</t>
        </is>
      </c>
      <c r="D179" s="57" t="inlineStr"/>
      <c r="E179" s="57" t="inlineStr">
        <is>
          <t>Fourth</t>
        </is>
      </c>
      <c r="F179" s="57" t="inlineStr">
        <is>
          <t>forced_from_sheet_name</t>
        </is>
      </c>
    </row>
    <row r="180" ht="25" customHeight="1" s="55">
      <c r="A180" s="57" t="inlineStr">
        <is>
          <t>Fourth</t>
        </is>
      </c>
      <c r="B180" s="57" t="n">
        <v>32</v>
      </c>
      <c r="C180" s="57" t="inlineStr">
        <is>
          <t>Date of harvest</t>
        </is>
      </c>
      <c r="D180" s="57" t="inlineStr"/>
      <c r="E180" s="57" t="inlineStr">
        <is>
          <t>2026-08-03</t>
        </is>
      </c>
      <c r="F180" s="57" t="inlineStr">
        <is>
          <t>date_forced:Inferred: weekly HT cadence after Third (Mon 7/27 → Mon 8/3)</t>
        </is>
      </c>
    </row>
    <row r="181" ht="25" customHeight="1" s="55">
      <c r="A181" s="57" t="inlineStr">
        <is>
          <t>Fourth</t>
        </is>
      </c>
      <c r="B181" s="57" t="n">
        <v>33</v>
      </c>
      <c r="C181" s="57" t="inlineStr">
        <is>
          <t>Harvest</t>
        </is>
      </c>
      <c r="D181" s="57" t="inlineStr"/>
      <c r="E181" s="57" t="inlineStr">
        <is>
          <t>Fourth</t>
        </is>
      </c>
      <c r="F181" s="57" t="inlineStr">
        <is>
          <t>forced_from_sheet_name</t>
        </is>
      </c>
    </row>
    <row r="182" ht="25" customHeight="1" s="55">
      <c r="A182" s="57" t="inlineStr">
        <is>
          <t>Fourth</t>
        </is>
      </c>
      <c r="B182" s="57" t="n">
        <v>33</v>
      </c>
      <c r="C182" s="57" t="inlineStr">
        <is>
          <t>Date of harvest</t>
        </is>
      </c>
      <c r="D182" s="57" t="inlineStr"/>
      <c r="E182" s="57" t="inlineStr">
        <is>
          <t>2026-08-03</t>
        </is>
      </c>
      <c r="F182" s="57" t="inlineStr">
        <is>
          <t>date_forced:Inferred: weekly HT cadence after Third (Mon 7/27 → Mon 8/3)</t>
        </is>
      </c>
    </row>
    <row r="183" ht="25" customHeight="1" s="55">
      <c r="A183" s="57" t="inlineStr">
        <is>
          <t>Fourth</t>
        </is>
      </c>
      <c r="B183" s="57" t="n">
        <v>34</v>
      </c>
      <c r="C183" s="57" t="inlineStr">
        <is>
          <t>Harvest</t>
        </is>
      </c>
      <c r="D183" s="57" t="inlineStr"/>
      <c r="E183" s="57" t="inlineStr">
        <is>
          <t>Fourth</t>
        </is>
      </c>
      <c r="F183" s="57" t="inlineStr">
        <is>
          <t>forced_from_sheet_name</t>
        </is>
      </c>
    </row>
    <row r="184" ht="25" customHeight="1" s="55">
      <c r="A184" s="57" t="inlineStr">
        <is>
          <t>Fourth</t>
        </is>
      </c>
      <c r="B184" s="57" t="n">
        <v>34</v>
      </c>
      <c r="C184" s="57" t="inlineStr">
        <is>
          <t>Date of harvest</t>
        </is>
      </c>
      <c r="D184" s="57" t="inlineStr"/>
      <c r="E184" s="57" t="inlineStr">
        <is>
          <t>2026-08-03</t>
        </is>
      </c>
      <c r="F184" s="57" t="inlineStr">
        <is>
          <t>date_forced:Inferred: weekly HT cadence after Third (Mon 7/27 → Mon 8/3)</t>
        </is>
      </c>
    </row>
    <row r="185" ht="25" customHeight="1" s="55">
      <c r="A185" s="57" t="inlineStr">
        <is>
          <t>Fourth</t>
        </is>
      </c>
      <c r="B185" s="57" t="n">
        <v>35</v>
      </c>
      <c r="C185" s="57" t="inlineStr">
        <is>
          <t>Harvest</t>
        </is>
      </c>
      <c r="D185" s="57" t="inlineStr"/>
      <c r="E185" s="57" t="inlineStr">
        <is>
          <t>Fourth</t>
        </is>
      </c>
      <c r="F185" s="57" t="inlineStr">
        <is>
          <t>forced_from_sheet_name</t>
        </is>
      </c>
    </row>
    <row r="186" ht="25" customHeight="1" s="55">
      <c r="A186" s="57" t="inlineStr">
        <is>
          <t>Fourth</t>
        </is>
      </c>
      <c r="B186" s="57" t="n">
        <v>35</v>
      </c>
      <c r="C186" s="57" t="inlineStr">
        <is>
          <t>Date of harvest</t>
        </is>
      </c>
      <c r="D186" s="57" t="inlineStr"/>
      <c r="E186" s="57" t="inlineStr">
        <is>
          <t>2026-08-03</t>
        </is>
      </c>
      <c r="F186" s="57" t="inlineStr">
        <is>
          <t>date_forced:Inferred: weekly HT cadence after Third (Mon 7/27 → Mon 8/3)</t>
        </is>
      </c>
    </row>
    <row r="187" ht="25" customHeight="1" s="55">
      <c r="A187" s="57" t="inlineStr">
        <is>
          <t>Fourth</t>
        </is>
      </c>
      <c r="B187" s="57" t="n">
        <v>36</v>
      </c>
      <c r="C187" s="57" t="inlineStr">
        <is>
          <t>Harvest</t>
        </is>
      </c>
      <c r="D187" s="57" t="inlineStr"/>
      <c r="E187" s="57" t="inlineStr">
        <is>
          <t>Fourth</t>
        </is>
      </c>
      <c r="F187" s="57" t="inlineStr">
        <is>
          <t>forced_from_sheet_name</t>
        </is>
      </c>
    </row>
    <row r="188" ht="25" customHeight="1" s="55">
      <c r="A188" s="57" t="inlineStr">
        <is>
          <t>Fourth</t>
        </is>
      </c>
      <c r="B188" s="57" t="n">
        <v>36</v>
      </c>
      <c r="C188" s="57" t="inlineStr">
        <is>
          <t>Date of harvest</t>
        </is>
      </c>
      <c r="D188" s="57" t="inlineStr"/>
      <c r="E188" s="57" t="inlineStr">
        <is>
          <t>2026-08-03</t>
        </is>
      </c>
      <c r="F188" s="57" t="inlineStr">
        <is>
          <t>date_forced:Inferred: weekly HT cadence after Third (Mon 7/27 → Mon 8/3)</t>
        </is>
      </c>
    </row>
    <row r="189" ht="25" customHeight="1" s="55">
      <c r="A189" s="57" t="inlineStr">
        <is>
          <t>Fourth</t>
        </is>
      </c>
      <c r="B189" s="57" t="n">
        <v>37</v>
      </c>
      <c r="C189" s="57" t="inlineStr">
        <is>
          <t>Harvest</t>
        </is>
      </c>
      <c r="D189" s="57" t="inlineStr"/>
      <c r="E189" s="57" t="inlineStr">
        <is>
          <t>Fourth</t>
        </is>
      </c>
      <c r="F189" s="57" t="inlineStr">
        <is>
          <t>forced_from_sheet_name</t>
        </is>
      </c>
    </row>
    <row r="190" ht="25" customHeight="1" s="55">
      <c r="A190" s="57" t="inlineStr">
        <is>
          <t>Fourth</t>
        </is>
      </c>
      <c r="B190" s="57" t="n">
        <v>37</v>
      </c>
      <c r="C190" s="57" t="inlineStr">
        <is>
          <t>Date of harvest</t>
        </is>
      </c>
      <c r="D190" s="57" t="inlineStr"/>
      <c r="E190" s="57" t="inlineStr">
        <is>
          <t>2026-08-03</t>
        </is>
      </c>
      <c r="F190" s="57" t="inlineStr">
        <is>
          <t>date_forced:Inferred: weekly HT cadence after Third (Mon 7/27 → Mon 8/3)</t>
        </is>
      </c>
    </row>
    <row r="191" ht="25" customHeight="1" s="55">
      <c r="A191" s="57" t="inlineStr">
        <is>
          <t>Fourth</t>
        </is>
      </c>
      <c r="B191" s="57" t="n">
        <v>38</v>
      </c>
      <c r="C191" s="57" t="inlineStr">
        <is>
          <t>Harvest</t>
        </is>
      </c>
      <c r="D191" s="57" t="inlineStr"/>
      <c r="E191" s="57" t="inlineStr">
        <is>
          <t>Fourth</t>
        </is>
      </c>
      <c r="F191" s="57" t="inlineStr">
        <is>
          <t>forced_from_sheet_name</t>
        </is>
      </c>
    </row>
    <row r="192" ht="25" customHeight="1" s="55">
      <c r="A192" s="57" t="inlineStr">
        <is>
          <t>Fourth</t>
        </is>
      </c>
      <c r="B192" s="57" t="n">
        <v>38</v>
      </c>
      <c r="C192" s="57" t="inlineStr">
        <is>
          <t>Date of harvest</t>
        </is>
      </c>
      <c r="D192" s="57" t="inlineStr"/>
      <c r="E192" s="57" t="inlineStr">
        <is>
          <t>2026-08-03</t>
        </is>
      </c>
      <c r="F192" s="57" t="inlineStr">
        <is>
          <t>date_forced:Inferred: weekly HT cadence after Third (Mon 7/27 → Mon 8/3)</t>
        </is>
      </c>
    </row>
    <row r="193" ht="25" customHeight="1" s="55">
      <c r="A193" s="57" t="inlineStr">
        <is>
          <t>Fourth</t>
        </is>
      </c>
      <c r="B193" s="57" t="n">
        <v>39</v>
      </c>
      <c r="C193" s="57" t="inlineStr">
        <is>
          <t>Harvest</t>
        </is>
      </c>
      <c r="D193" s="57" t="inlineStr"/>
      <c r="E193" s="57" t="inlineStr">
        <is>
          <t>Fourth</t>
        </is>
      </c>
      <c r="F193" s="57" t="inlineStr">
        <is>
          <t>forced_from_sheet_name</t>
        </is>
      </c>
    </row>
    <row r="194" ht="25" customHeight="1" s="55">
      <c r="A194" s="57" t="inlineStr">
        <is>
          <t>Fourth</t>
        </is>
      </c>
      <c r="B194" s="57" t="n">
        <v>39</v>
      </c>
      <c r="C194" s="57" t="inlineStr">
        <is>
          <t>Date of harvest</t>
        </is>
      </c>
      <c r="D194" s="57" t="inlineStr"/>
      <c r="E194" s="57" t="inlineStr">
        <is>
          <t>2026-08-03</t>
        </is>
      </c>
      <c r="F194" s="57" t="inlineStr">
        <is>
          <t>date_forced:Inferred: weekly HT cadence after Third (Mon 7/27 → Mon 8/3)</t>
        </is>
      </c>
    </row>
    <row r="195" ht="25" customHeight="1" s="55">
      <c r="A195" s="57" t="inlineStr">
        <is>
          <t>Fourth</t>
        </is>
      </c>
      <c r="B195" s="57" t="n">
        <v>40</v>
      </c>
      <c r="C195" s="57" t="inlineStr">
        <is>
          <t>Harvest</t>
        </is>
      </c>
      <c r="D195" s="57" t="inlineStr"/>
      <c r="E195" s="57" t="inlineStr">
        <is>
          <t>Fourth</t>
        </is>
      </c>
      <c r="F195" s="57" t="inlineStr">
        <is>
          <t>forced_from_sheet_name</t>
        </is>
      </c>
    </row>
    <row r="196" ht="25" customHeight="1" s="55">
      <c r="A196" s="57" t="inlineStr">
        <is>
          <t>Fourth</t>
        </is>
      </c>
      <c r="B196" s="57" t="n">
        <v>40</v>
      </c>
      <c r="C196" s="57" t="inlineStr">
        <is>
          <t>Date of harvest</t>
        </is>
      </c>
      <c r="D196" s="57" t="inlineStr"/>
      <c r="E196" s="57" t="inlineStr">
        <is>
          <t>2026-08-03</t>
        </is>
      </c>
      <c r="F196" s="57" t="inlineStr">
        <is>
          <t>date_forced:Inferred: weekly HT cadence after Third (Mon 7/27 → Mon 8/3)</t>
        </is>
      </c>
    </row>
    <row r="197" ht="25" customHeight="1" s="55">
      <c r="A197" s="57" t="inlineStr">
        <is>
          <t>Fourth</t>
        </is>
      </c>
      <c r="B197" s="57" t="n">
        <v>41</v>
      </c>
      <c r="C197" s="57" t="inlineStr">
        <is>
          <t>Harvest</t>
        </is>
      </c>
      <c r="D197" s="57" t="inlineStr"/>
      <c r="E197" s="57" t="inlineStr">
        <is>
          <t>Fourth</t>
        </is>
      </c>
      <c r="F197" s="57" t="inlineStr">
        <is>
          <t>forced_from_sheet_name</t>
        </is>
      </c>
    </row>
    <row r="198" ht="25" customHeight="1" s="55">
      <c r="A198" s="57" t="inlineStr">
        <is>
          <t>Fourth</t>
        </is>
      </c>
      <c r="B198" s="57" t="n">
        <v>41</v>
      </c>
      <c r="C198" s="57" t="inlineStr">
        <is>
          <t>Date of harvest</t>
        </is>
      </c>
      <c r="D198" s="57" t="inlineStr"/>
      <c r="E198" s="57" t="inlineStr">
        <is>
          <t>2026-08-03</t>
        </is>
      </c>
      <c r="F198" s="57" t="inlineStr">
        <is>
          <t>date_forced:Inferred: weekly HT cadence after Third (Mon 7/27 → Mon 8/3)</t>
        </is>
      </c>
    </row>
    <row r="199" ht="25" customHeight="1" s="55">
      <c r="A199" s="57" t="inlineStr">
        <is>
          <t>Fourth</t>
        </is>
      </c>
      <c r="B199" s="57" t="n">
        <v>42</v>
      </c>
      <c r="C199" s="57" t="inlineStr">
        <is>
          <t>Harvest</t>
        </is>
      </c>
      <c r="D199" s="57" t="inlineStr"/>
      <c r="E199" s="57" t="inlineStr">
        <is>
          <t>Fourth</t>
        </is>
      </c>
      <c r="F199" s="57" t="inlineStr">
        <is>
          <t>forced_from_sheet_name</t>
        </is>
      </c>
    </row>
    <row r="200" ht="25" customHeight="1" s="55">
      <c r="A200" s="57" t="inlineStr">
        <is>
          <t>Fourth</t>
        </is>
      </c>
      <c r="B200" s="57" t="n">
        <v>42</v>
      </c>
      <c r="C200" s="57" t="inlineStr">
        <is>
          <t>Date of harvest</t>
        </is>
      </c>
      <c r="D200" s="57" t="inlineStr"/>
      <c r="E200" s="57" t="inlineStr">
        <is>
          <t>2026-08-03</t>
        </is>
      </c>
      <c r="F200" s="57" t="inlineStr">
        <is>
          <t>date_forced:Inferred: weekly HT cadence after Third (Mon 7/27 → Mon 8/3)</t>
        </is>
      </c>
    </row>
    <row r="201" ht="25" customHeight="1" s="55">
      <c r="A201" s="57" t="inlineStr">
        <is>
          <t>Fourth</t>
        </is>
      </c>
      <c r="B201" s="57" t="n">
        <v>43</v>
      </c>
      <c r="C201" s="57" t="inlineStr">
        <is>
          <t>Harvest</t>
        </is>
      </c>
      <c r="D201" s="57" t="inlineStr"/>
      <c r="E201" s="57" t="inlineStr">
        <is>
          <t>Fourth</t>
        </is>
      </c>
      <c r="F201" s="57" t="inlineStr">
        <is>
          <t>forced_from_sheet_name</t>
        </is>
      </c>
    </row>
    <row r="202" ht="25" customHeight="1" s="55">
      <c r="A202" s="57" t="inlineStr">
        <is>
          <t>Fourth</t>
        </is>
      </c>
      <c r="B202" s="57" t="n">
        <v>43</v>
      </c>
      <c r="C202" s="57" t="inlineStr">
        <is>
          <t>Date of harvest</t>
        </is>
      </c>
      <c r="D202" s="57" t="inlineStr"/>
      <c r="E202" s="57" t="inlineStr">
        <is>
          <t>2026-08-03</t>
        </is>
      </c>
      <c r="F202" s="57" t="inlineStr">
        <is>
          <t>date_forced:Inferred: weekly HT cadence after Third (Mon 7/27 → Mon 8/3)</t>
        </is>
      </c>
    </row>
    <row r="203" ht="25" customHeight="1" s="55">
      <c r="A203" s="57" t="inlineStr">
        <is>
          <t>Fourth</t>
        </is>
      </c>
      <c r="B203" s="57" t="n">
        <v>44</v>
      </c>
      <c r="C203" s="57" t="inlineStr">
        <is>
          <t>Harvest</t>
        </is>
      </c>
      <c r="D203" s="57" t="inlineStr"/>
      <c r="E203" s="57" t="inlineStr">
        <is>
          <t>Fourth</t>
        </is>
      </c>
      <c r="F203" s="57" t="inlineStr">
        <is>
          <t>forced_from_sheet_name</t>
        </is>
      </c>
    </row>
    <row r="204" ht="25" customHeight="1" s="55">
      <c r="A204" s="57" t="inlineStr">
        <is>
          <t>Fourth</t>
        </is>
      </c>
      <c r="B204" s="57" t="n">
        <v>44</v>
      </c>
      <c r="C204" s="57" t="inlineStr">
        <is>
          <t>Date of harvest</t>
        </is>
      </c>
      <c r="D204" s="57" t="inlineStr"/>
      <c r="E204" s="57" t="inlineStr">
        <is>
          <t>2026-08-03</t>
        </is>
      </c>
      <c r="F204" s="57" t="inlineStr">
        <is>
          <t>date_forced:Inferred: weekly HT cadence after Third (Mon 7/27 → Mon 8/3)</t>
        </is>
      </c>
    </row>
    <row r="205" ht="25" customHeight="1" s="55">
      <c r="A205" s="57" t="inlineStr">
        <is>
          <t>Fourth</t>
        </is>
      </c>
      <c r="B205" s="57" t="n">
        <v>45</v>
      </c>
      <c r="C205" s="57" t="inlineStr">
        <is>
          <t>Harvest</t>
        </is>
      </c>
      <c r="D205" s="57" t="inlineStr"/>
      <c r="E205" s="57" t="inlineStr">
        <is>
          <t>Fourth</t>
        </is>
      </c>
      <c r="F205" s="57" t="inlineStr">
        <is>
          <t>forced_from_sheet_name</t>
        </is>
      </c>
    </row>
    <row r="206" ht="25" customHeight="1" s="55">
      <c r="A206" s="57" t="inlineStr">
        <is>
          <t>Fourth</t>
        </is>
      </c>
      <c r="B206" s="57" t="n">
        <v>45</v>
      </c>
      <c r="C206" s="57" t="inlineStr">
        <is>
          <t>Date of harvest</t>
        </is>
      </c>
      <c r="D206" s="57" t="inlineStr"/>
      <c r="E206" s="57" t="inlineStr">
        <is>
          <t>2026-08-03</t>
        </is>
      </c>
      <c r="F206" s="57" t="inlineStr">
        <is>
          <t>date_forced:Inferred: weekly HT cadence after Third (Mon 7/27 → Mon 8/3)</t>
        </is>
      </c>
    </row>
    <row r="207" ht="25" customHeight="1" s="55">
      <c r="A207" s="57" t="inlineStr">
        <is>
          <t>Fourth</t>
        </is>
      </c>
      <c r="B207" s="57" t="n">
        <v>46</v>
      </c>
      <c r="C207" s="57" t="inlineStr">
        <is>
          <t>Harvest</t>
        </is>
      </c>
      <c r="D207" s="57" t="inlineStr"/>
      <c r="E207" s="57" t="inlineStr">
        <is>
          <t>Fourth</t>
        </is>
      </c>
      <c r="F207" s="57" t="inlineStr">
        <is>
          <t>forced_from_sheet_name</t>
        </is>
      </c>
    </row>
    <row r="208" ht="25" customHeight="1" s="55">
      <c r="A208" s="57" t="inlineStr">
        <is>
          <t>Fourth</t>
        </is>
      </c>
      <c r="B208" s="57" t="n">
        <v>46</v>
      </c>
      <c r="C208" s="57" t="inlineStr">
        <is>
          <t>Date of harvest</t>
        </is>
      </c>
      <c r="D208" s="57" t="inlineStr"/>
      <c r="E208" s="57" t="inlineStr">
        <is>
          <t>2026-08-03</t>
        </is>
      </c>
      <c r="F208" s="57" t="inlineStr">
        <is>
          <t>date_forced:Inferred: weekly HT cadence after Third (Mon 7/27 → Mon 8/3)</t>
        </is>
      </c>
    </row>
    <row r="209" ht="25" customHeight="1" s="55">
      <c r="A209" s="57" t="inlineStr">
        <is>
          <t>Fourth</t>
        </is>
      </c>
      <c r="B209" s="57" t="n">
        <v>47</v>
      </c>
      <c r="C209" s="57" t="inlineStr">
        <is>
          <t>Harvest</t>
        </is>
      </c>
      <c r="D209" s="57" t="inlineStr"/>
      <c r="E209" s="57" t="inlineStr">
        <is>
          <t>Fourth</t>
        </is>
      </c>
      <c r="F209" s="57" t="inlineStr">
        <is>
          <t>forced_from_sheet_name</t>
        </is>
      </c>
    </row>
    <row r="210" ht="25" customHeight="1" s="55">
      <c r="A210" s="57" t="inlineStr">
        <is>
          <t>Fourth</t>
        </is>
      </c>
      <c r="B210" s="57" t="n">
        <v>47</v>
      </c>
      <c r="C210" s="57" t="inlineStr">
        <is>
          <t>Date of harvest</t>
        </is>
      </c>
      <c r="D210" s="57" t="inlineStr"/>
      <c r="E210" s="57" t="inlineStr">
        <is>
          <t>2026-08-03</t>
        </is>
      </c>
      <c r="F210" s="57" t="inlineStr">
        <is>
          <t>date_forced:Inferred: weekly HT cadence after Third (Mon 7/27 → Mon 8/3)</t>
        </is>
      </c>
    </row>
    <row r="211" ht="25" customHeight="1" s="55">
      <c r="A211" s="57" t="inlineStr">
        <is>
          <t>Fourth</t>
        </is>
      </c>
      <c r="B211" s="57" t="n">
        <v>48</v>
      </c>
      <c r="C211" s="57" t="inlineStr">
        <is>
          <t>Harvest</t>
        </is>
      </c>
      <c r="D211" s="57" t="inlineStr"/>
      <c r="E211" s="57" t="inlineStr">
        <is>
          <t>Fourth</t>
        </is>
      </c>
      <c r="F211" s="57" t="inlineStr">
        <is>
          <t>forced_from_sheet_name</t>
        </is>
      </c>
    </row>
    <row r="212" ht="25" customHeight="1" s="55">
      <c r="A212" s="57" t="inlineStr">
        <is>
          <t>Fourth</t>
        </is>
      </c>
      <c r="B212" s="57" t="n">
        <v>48</v>
      </c>
      <c r="C212" s="57" t="inlineStr">
        <is>
          <t>Date of harvest</t>
        </is>
      </c>
      <c r="D212" s="57" t="inlineStr"/>
      <c r="E212" s="57" t="inlineStr">
        <is>
          <t>2026-08-03</t>
        </is>
      </c>
      <c r="F212" s="57" t="inlineStr">
        <is>
          <t>date_forced:Inferred: weekly HT cadence after Third (Mon 7/27 → Mon 8/3)</t>
        </is>
      </c>
    </row>
    <row r="213" ht="25" customHeight="1" s="55">
      <c r="A213" s="57" t="inlineStr">
        <is>
          <t>Fourth</t>
        </is>
      </c>
      <c r="B213" s="57" t="n">
        <v>49</v>
      </c>
      <c r="C213" s="57" t="inlineStr">
        <is>
          <t>Harvest</t>
        </is>
      </c>
      <c r="D213" s="57" t="inlineStr"/>
      <c r="E213" s="57" t="inlineStr">
        <is>
          <t>Fourth</t>
        </is>
      </c>
      <c r="F213" s="57" t="inlineStr">
        <is>
          <t>forced_from_sheet_name</t>
        </is>
      </c>
    </row>
    <row r="214" ht="25" customHeight="1" s="55">
      <c r="A214" s="57" t="inlineStr">
        <is>
          <t>Fourth</t>
        </is>
      </c>
      <c r="B214" s="57" t="n">
        <v>49</v>
      </c>
      <c r="C214" s="57" t="inlineStr">
        <is>
          <t>Date of harvest</t>
        </is>
      </c>
      <c r="D214" s="57" t="inlineStr"/>
      <c r="E214" s="57" t="inlineStr">
        <is>
          <t>2026-08-03</t>
        </is>
      </c>
      <c r="F214" s="57" t="inlineStr">
        <is>
          <t>date_forced:Inferred: weekly HT cadence after Third (Mon 7/27 → Mon 8/3)</t>
        </is>
      </c>
    </row>
    <row r="215" ht="25" customHeight="1" s="55">
      <c r="A215" s="57" t="inlineStr">
        <is>
          <t>Fourth</t>
        </is>
      </c>
      <c r="B215" s="57" t="n">
        <v>50</v>
      </c>
      <c r="C215" s="57" t="inlineStr">
        <is>
          <t>Harvest</t>
        </is>
      </c>
      <c r="D215" s="57" t="inlineStr"/>
      <c r="E215" s="57" t="inlineStr">
        <is>
          <t>Fourth</t>
        </is>
      </c>
      <c r="F215" s="57" t="inlineStr">
        <is>
          <t>forced_from_sheet_name</t>
        </is>
      </c>
    </row>
    <row r="216" ht="25" customHeight="1" s="55">
      <c r="A216" s="57" t="inlineStr">
        <is>
          <t>Fourth</t>
        </is>
      </c>
      <c r="B216" s="57" t="n">
        <v>50</v>
      </c>
      <c r="C216" s="57" t="inlineStr">
        <is>
          <t>Date of harvest</t>
        </is>
      </c>
      <c r="D216" s="57" t="inlineStr"/>
      <c r="E216" s="57" t="inlineStr">
        <is>
          <t>2026-08-03</t>
        </is>
      </c>
      <c r="F216" s="57" t="inlineStr">
        <is>
          <t>date_forced:Inferred: weekly HT cadence after Third (Mon 7/27 → Mon 8/3)</t>
        </is>
      </c>
    </row>
    <row r="217" ht="25" customHeight="1" s="55">
      <c r="A217" s="57" t="inlineStr">
        <is>
          <t>Fourth</t>
        </is>
      </c>
      <c r="B217" s="57" t="n">
        <v>51</v>
      </c>
      <c r="C217" s="57" t="inlineStr">
        <is>
          <t>Harvest</t>
        </is>
      </c>
      <c r="D217" s="57" t="inlineStr"/>
      <c r="E217" s="57" t="inlineStr">
        <is>
          <t>Fourth</t>
        </is>
      </c>
      <c r="F217" s="57" t="inlineStr">
        <is>
          <t>forced_from_sheet_name</t>
        </is>
      </c>
    </row>
    <row r="218" ht="25" customHeight="1" s="55">
      <c r="A218" s="57" t="inlineStr">
        <is>
          <t>Fourth</t>
        </is>
      </c>
      <c r="B218" s="57" t="n">
        <v>51</v>
      </c>
      <c r="C218" s="57" t="inlineStr">
        <is>
          <t>Date of harvest</t>
        </is>
      </c>
      <c r="D218" s="57" t="inlineStr"/>
      <c r="E218" s="57" t="inlineStr">
        <is>
          <t>2026-08-03</t>
        </is>
      </c>
      <c r="F218" s="57" t="inlineStr">
        <is>
          <t>date_forced:Inferred: weekly HT cadence after Third (Mon 7/27 → Mon 8/3)</t>
        </is>
      </c>
    </row>
    <row r="219" ht="25" customHeight="1" s="55">
      <c r="A219" s="57" t="inlineStr">
        <is>
          <t>Fifth</t>
        </is>
      </c>
      <c r="B219" s="57" t="n">
        <v>2</v>
      </c>
      <c r="C219" s="57" t="inlineStr">
        <is>
          <t>Harvest</t>
        </is>
      </c>
      <c r="D219" s="57" t="inlineStr"/>
      <c r="E219" s="57" t="inlineStr">
        <is>
          <t>Fifth</t>
        </is>
      </c>
      <c r="F219" s="57" t="inlineStr">
        <is>
          <t>forced_from_sheet_name</t>
        </is>
      </c>
    </row>
    <row r="220" ht="25" customHeight="1" s="55">
      <c r="A220" s="57" t="inlineStr">
        <is>
          <t>Fifth</t>
        </is>
      </c>
      <c r="B220" s="57" t="n">
        <v>2</v>
      </c>
      <c r="C220" s="57" t="inlineStr">
        <is>
          <t>Date of harvest</t>
        </is>
      </c>
      <c r="D220" s="57" t="inlineStr"/>
      <c r="E220" s="57" t="inlineStr">
        <is>
          <t>2026-08-10</t>
        </is>
      </c>
      <c r="F220" s="57" t="inlineStr">
        <is>
          <t>date_forced:Inferred: weekly HT cadence; SG HT samples cluster on 8/11</t>
        </is>
      </c>
    </row>
    <row r="221" ht="25" customHeight="1" s="55">
      <c r="A221" s="57" t="inlineStr">
        <is>
          <t>Fifth</t>
        </is>
      </c>
      <c r="B221" s="57" t="n">
        <v>3</v>
      </c>
      <c r="C221" s="57" t="inlineStr">
        <is>
          <t>Harvest</t>
        </is>
      </c>
      <c r="D221" s="57" t="inlineStr"/>
      <c r="E221" s="57" t="inlineStr">
        <is>
          <t>Fifth</t>
        </is>
      </c>
      <c r="F221" s="57" t="inlineStr">
        <is>
          <t>forced_from_sheet_name</t>
        </is>
      </c>
    </row>
    <row r="222" ht="25" customHeight="1" s="55">
      <c r="A222" s="57" t="inlineStr">
        <is>
          <t>Fifth</t>
        </is>
      </c>
      <c r="B222" s="57" t="n">
        <v>3</v>
      </c>
      <c r="C222" s="57" t="inlineStr">
        <is>
          <t>Date of harvest</t>
        </is>
      </c>
      <c r="D222" s="57" t="inlineStr"/>
      <c r="E222" s="57" t="inlineStr">
        <is>
          <t>2026-08-10</t>
        </is>
      </c>
      <c r="F222" s="57" t="inlineStr">
        <is>
          <t>date_forced:Inferred: weekly HT cadence; SG HT samples cluster on 8/11</t>
        </is>
      </c>
    </row>
    <row r="223" ht="25" customHeight="1" s="55">
      <c r="A223" s="57" t="inlineStr">
        <is>
          <t>Fifth</t>
        </is>
      </c>
      <c r="B223" s="57" t="n">
        <v>4</v>
      </c>
      <c r="C223" s="57" t="inlineStr">
        <is>
          <t>Harvest</t>
        </is>
      </c>
      <c r="D223" s="57" t="inlineStr"/>
      <c r="E223" s="57" t="inlineStr">
        <is>
          <t>Fifth</t>
        </is>
      </c>
      <c r="F223" s="57" t="inlineStr">
        <is>
          <t>forced_from_sheet_name</t>
        </is>
      </c>
    </row>
    <row r="224" ht="25" customHeight="1" s="55">
      <c r="A224" s="57" t="inlineStr">
        <is>
          <t>Fifth</t>
        </is>
      </c>
      <c r="B224" s="57" t="n">
        <v>4</v>
      </c>
      <c r="C224" s="57" t="inlineStr">
        <is>
          <t>Date of harvest</t>
        </is>
      </c>
      <c r="D224" s="57" t="inlineStr"/>
      <c r="E224" s="57" t="inlineStr">
        <is>
          <t>2026-08-10</t>
        </is>
      </c>
      <c r="F224" s="57" t="inlineStr">
        <is>
          <t>date_forced:Inferred: weekly HT cadence; SG HT samples cluster on 8/11</t>
        </is>
      </c>
    </row>
    <row r="225" ht="25" customHeight="1" s="55">
      <c r="A225" s="57" t="inlineStr">
        <is>
          <t>Fifth</t>
        </is>
      </c>
      <c r="B225" s="57" t="n">
        <v>5</v>
      </c>
      <c r="C225" s="57" t="inlineStr">
        <is>
          <t>Harvest</t>
        </is>
      </c>
      <c r="D225" s="57" t="inlineStr"/>
      <c r="E225" s="57" t="inlineStr">
        <is>
          <t>Fifth</t>
        </is>
      </c>
      <c r="F225" s="57" t="inlineStr">
        <is>
          <t>forced_from_sheet_name</t>
        </is>
      </c>
    </row>
    <row r="226" ht="25" customHeight="1" s="55">
      <c r="A226" s="57" t="inlineStr">
        <is>
          <t>Fifth</t>
        </is>
      </c>
      <c r="B226" s="57" t="n">
        <v>5</v>
      </c>
      <c r="C226" s="57" t="inlineStr">
        <is>
          <t>Date of harvest</t>
        </is>
      </c>
      <c r="D226" s="57" t="inlineStr"/>
      <c r="E226" s="57" t="inlineStr">
        <is>
          <t>2026-08-10</t>
        </is>
      </c>
      <c r="F226" s="57" t="inlineStr">
        <is>
          <t>date_forced:Inferred: weekly HT cadence; SG HT samples cluster on 8/11</t>
        </is>
      </c>
    </row>
    <row r="227" ht="25" customHeight="1" s="55">
      <c r="A227" s="57" t="inlineStr">
        <is>
          <t>Fifth</t>
        </is>
      </c>
      <c r="B227" s="57" t="n">
        <v>6</v>
      </c>
      <c r="C227" s="57" t="inlineStr">
        <is>
          <t>Harvest</t>
        </is>
      </c>
      <c r="D227" s="57" t="inlineStr"/>
      <c r="E227" s="57" t="inlineStr">
        <is>
          <t>Fifth</t>
        </is>
      </c>
      <c r="F227" s="57" t="inlineStr">
        <is>
          <t>forced_from_sheet_name</t>
        </is>
      </c>
    </row>
    <row r="228" ht="25" customHeight="1" s="55">
      <c r="A228" s="57" t="inlineStr">
        <is>
          <t>Fifth</t>
        </is>
      </c>
      <c r="B228" s="57" t="n">
        <v>6</v>
      </c>
      <c r="C228" s="57" t="inlineStr">
        <is>
          <t>Date of harvest</t>
        </is>
      </c>
      <c r="D228" s="57" t="inlineStr"/>
      <c r="E228" s="57" t="inlineStr">
        <is>
          <t>2026-08-10</t>
        </is>
      </c>
      <c r="F228" s="57" t="inlineStr">
        <is>
          <t>date_forced:Inferred: weekly HT cadence; SG HT samples cluster on 8/11</t>
        </is>
      </c>
    </row>
    <row r="229" ht="25" customHeight="1" s="55">
      <c r="A229" s="57" t="inlineStr">
        <is>
          <t>Fifth</t>
        </is>
      </c>
      <c r="B229" s="57" t="n">
        <v>7</v>
      </c>
      <c r="C229" s="57" t="inlineStr">
        <is>
          <t>Harvest</t>
        </is>
      </c>
      <c r="D229" s="57" t="inlineStr"/>
      <c r="E229" s="57" t="inlineStr">
        <is>
          <t>Fifth</t>
        </is>
      </c>
      <c r="F229" s="57" t="inlineStr">
        <is>
          <t>forced_from_sheet_name</t>
        </is>
      </c>
    </row>
    <row r="230" ht="25" customHeight="1" s="55">
      <c r="A230" s="57" t="inlineStr">
        <is>
          <t>Fifth</t>
        </is>
      </c>
      <c r="B230" s="57" t="n">
        <v>7</v>
      </c>
      <c r="C230" s="57" t="inlineStr">
        <is>
          <t>Date of harvest</t>
        </is>
      </c>
      <c r="D230" s="57" t="inlineStr"/>
      <c r="E230" s="57" t="inlineStr">
        <is>
          <t>2026-08-10</t>
        </is>
      </c>
      <c r="F230" s="57" t="inlineStr">
        <is>
          <t>date_forced:Inferred: weekly HT cadence; SG HT samples cluster on 8/11</t>
        </is>
      </c>
    </row>
    <row r="231" ht="25" customHeight="1" s="55">
      <c r="A231" s="57" t="inlineStr">
        <is>
          <t>Fifth</t>
        </is>
      </c>
      <c r="B231" s="57" t="n">
        <v>8</v>
      </c>
      <c r="C231" s="57" t="inlineStr">
        <is>
          <t>Harvest</t>
        </is>
      </c>
      <c r="D231" s="57" t="inlineStr"/>
      <c r="E231" s="57" t="inlineStr">
        <is>
          <t>Fifth</t>
        </is>
      </c>
      <c r="F231" s="57" t="inlineStr">
        <is>
          <t>forced_from_sheet_name</t>
        </is>
      </c>
    </row>
    <row r="232" ht="25" customHeight="1" s="55">
      <c r="A232" s="57" t="inlineStr">
        <is>
          <t>Fifth</t>
        </is>
      </c>
      <c r="B232" s="57" t="n">
        <v>8</v>
      </c>
      <c r="C232" s="57" t="inlineStr">
        <is>
          <t>Date of harvest</t>
        </is>
      </c>
      <c r="D232" s="57" t="inlineStr"/>
      <c r="E232" s="57" t="inlineStr">
        <is>
          <t>2026-08-10</t>
        </is>
      </c>
      <c r="F232" s="57" t="inlineStr">
        <is>
          <t>date_forced:Inferred: weekly HT cadence; SG HT samples cluster on 8/11</t>
        </is>
      </c>
    </row>
    <row r="233" ht="25" customHeight="1" s="55">
      <c r="A233" s="57" t="inlineStr">
        <is>
          <t>Fifth</t>
        </is>
      </c>
      <c r="B233" s="57" t="n">
        <v>9</v>
      </c>
      <c r="C233" s="57" t="inlineStr">
        <is>
          <t>Harvest</t>
        </is>
      </c>
      <c r="D233" s="57" t="inlineStr"/>
      <c r="E233" s="57" t="inlineStr">
        <is>
          <t>Fifth</t>
        </is>
      </c>
      <c r="F233" s="57" t="inlineStr">
        <is>
          <t>forced_from_sheet_name</t>
        </is>
      </c>
    </row>
    <row r="234" ht="25" customHeight="1" s="55">
      <c r="A234" s="57" t="inlineStr">
        <is>
          <t>Fifth</t>
        </is>
      </c>
      <c r="B234" s="57" t="n">
        <v>9</v>
      </c>
      <c r="C234" s="57" t="inlineStr">
        <is>
          <t>Date of harvest</t>
        </is>
      </c>
      <c r="D234" s="57" t="inlineStr"/>
      <c r="E234" s="57" t="inlineStr">
        <is>
          <t>2026-08-10</t>
        </is>
      </c>
      <c r="F234" s="57" t="inlineStr">
        <is>
          <t>date_forced:Inferred: weekly HT cadence; SG HT samples cluster on 8/11</t>
        </is>
      </c>
    </row>
    <row r="235" ht="25" customHeight="1" s="55">
      <c r="A235" s="57" t="inlineStr">
        <is>
          <t>Fifth</t>
        </is>
      </c>
      <c r="B235" s="57" t="n">
        <v>10</v>
      </c>
      <c r="C235" s="57" t="inlineStr">
        <is>
          <t>Harvest</t>
        </is>
      </c>
      <c r="D235" s="57" t="inlineStr"/>
      <c r="E235" s="57" t="inlineStr">
        <is>
          <t>Fifth</t>
        </is>
      </c>
      <c r="F235" s="57" t="inlineStr">
        <is>
          <t>forced_from_sheet_name</t>
        </is>
      </c>
    </row>
    <row r="236" ht="25" customHeight="1" s="55">
      <c r="A236" s="57" t="inlineStr">
        <is>
          <t>Fifth</t>
        </is>
      </c>
      <c r="B236" s="57" t="n">
        <v>10</v>
      </c>
      <c r="C236" s="57" t="inlineStr">
        <is>
          <t>Date of harvest</t>
        </is>
      </c>
      <c r="D236" s="57" t="inlineStr"/>
      <c r="E236" s="57" t="inlineStr">
        <is>
          <t>2026-08-10</t>
        </is>
      </c>
      <c r="F236" s="57" t="inlineStr">
        <is>
          <t>date_forced:Inferred: weekly HT cadence; SG HT samples cluster on 8/11</t>
        </is>
      </c>
    </row>
    <row r="237" ht="25" customHeight="1" s="55">
      <c r="A237" s="57" t="inlineStr">
        <is>
          <t>Fifth</t>
        </is>
      </c>
      <c r="B237" s="57" t="n">
        <v>11</v>
      </c>
      <c r="C237" s="57" t="inlineStr">
        <is>
          <t>Harvest</t>
        </is>
      </c>
      <c r="D237" s="57" t="inlineStr"/>
      <c r="E237" s="57" t="inlineStr">
        <is>
          <t>Fifth</t>
        </is>
      </c>
      <c r="F237" s="57" t="inlineStr">
        <is>
          <t>forced_from_sheet_name</t>
        </is>
      </c>
    </row>
    <row r="238" ht="25" customHeight="1" s="55">
      <c r="A238" s="57" t="inlineStr">
        <is>
          <t>Fifth</t>
        </is>
      </c>
      <c r="B238" s="57" t="n">
        <v>11</v>
      </c>
      <c r="C238" s="57" t="inlineStr">
        <is>
          <t>Date of harvest</t>
        </is>
      </c>
      <c r="D238" s="57" t="inlineStr"/>
      <c r="E238" s="57" t="inlineStr">
        <is>
          <t>2026-08-10</t>
        </is>
      </c>
      <c r="F238" s="57" t="inlineStr">
        <is>
          <t>date_forced:Inferred: weekly HT cadence; SG HT samples cluster on 8/11</t>
        </is>
      </c>
    </row>
    <row r="239" ht="25" customHeight="1" s="55">
      <c r="A239" s="57" t="inlineStr">
        <is>
          <t>Fifth</t>
        </is>
      </c>
      <c r="B239" s="57" t="n">
        <v>12</v>
      </c>
      <c r="C239" s="57" t="inlineStr">
        <is>
          <t>Harvest</t>
        </is>
      </c>
      <c r="D239" s="57" t="inlineStr"/>
      <c r="E239" s="57" t="inlineStr">
        <is>
          <t>Fifth</t>
        </is>
      </c>
      <c r="F239" s="57" t="inlineStr">
        <is>
          <t>forced_from_sheet_name</t>
        </is>
      </c>
    </row>
    <row r="240" ht="25" customHeight="1" s="55">
      <c r="A240" s="57" t="inlineStr">
        <is>
          <t>Fifth</t>
        </is>
      </c>
      <c r="B240" s="57" t="n">
        <v>12</v>
      </c>
      <c r="C240" s="57" t="inlineStr">
        <is>
          <t>Date of harvest</t>
        </is>
      </c>
      <c r="D240" s="57" t="inlineStr"/>
      <c r="E240" s="57" t="inlineStr">
        <is>
          <t>2026-08-10</t>
        </is>
      </c>
      <c r="F240" s="57" t="inlineStr">
        <is>
          <t>date_forced:Inferred: weekly HT cadence; SG HT samples cluster on 8/11</t>
        </is>
      </c>
    </row>
    <row r="241" ht="25" customHeight="1" s="55">
      <c r="A241" s="57" t="inlineStr">
        <is>
          <t>Fifth</t>
        </is>
      </c>
      <c r="B241" s="57" t="n">
        <v>13</v>
      </c>
      <c r="C241" s="57" t="inlineStr">
        <is>
          <t>Harvest</t>
        </is>
      </c>
      <c r="D241" s="57" t="inlineStr"/>
      <c r="E241" s="57" t="inlineStr">
        <is>
          <t>Fifth</t>
        </is>
      </c>
      <c r="F241" s="57" t="inlineStr">
        <is>
          <t>forced_from_sheet_name</t>
        </is>
      </c>
    </row>
    <row r="242" ht="25" customHeight="1" s="55">
      <c r="A242" s="57" t="inlineStr">
        <is>
          <t>Fifth</t>
        </is>
      </c>
      <c r="B242" s="57" t="n">
        <v>13</v>
      </c>
      <c r="C242" s="57" t="inlineStr">
        <is>
          <t>Date of harvest</t>
        </is>
      </c>
      <c r="D242" s="57" t="inlineStr"/>
      <c r="E242" s="57" t="inlineStr">
        <is>
          <t>2026-08-10</t>
        </is>
      </c>
      <c r="F242" s="57" t="inlineStr">
        <is>
          <t>date_forced:Inferred: weekly HT cadence; SG HT samples cluster on 8/11</t>
        </is>
      </c>
    </row>
    <row r="243" ht="25" customHeight="1" s="55">
      <c r="A243" s="57" t="inlineStr">
        <is>
          <t>Fifth</t>
        </is>
      </c>
      <c r="B243" s="57" t="n">
        <v>14</v>
      </c>
      <c r="C243" s="57" t="inlineStr">
        <is>
          <t>Harvest</t>
        </is>
      </c>
      <c r="D243" s="57" t="inlineStr"/>
      <c r="E243" s="57" t="inlineStr">
        <is>
          <t>Fifth</t>
        </is>
      </c>
      <c r="F243" s="57" t="inlineStr">
        <is>
          <t>forced_from_sheet_name</t>
        </is>
      </c>
    </row>
    <row r="244" ht="25" customHeight="1" s="55">
      <c r="A244" s="57" t="inlineStr">
        <is>
          <t>Fifth</t>
        </is>
      </c>
      <c r="B244" s="57" t="n">
        <v>14</v>
      </c>
      <c r="C244" s="57" t="inlineStr">
        <is>
          <t>Date of harvest</t>
        </is>
      </c>
      <c r="D244" s="57" t="inlineStr"/>
      <c r="E244" s="57" t="inlineStr">
        <is>
          <t>2026-08-10</t>
        </is>
      </c>
      <c r="F244" s="57" t="inlineStr">
        <is>
          <t>date_forced:Inferred: weekly HT cadence; SG HT samples cluster on 8/11</t>
        </is>
      </c>
    </row>
    <row r="245" ht="25" customHeight="1" s="55">
      <c r="A245" s="57" t="inlineStr">
        <is>
          <t>Fifth</t>
        </is>
      </c>
      <c r="B245" s="57" t="n">
        <v>15</v>
      </c>
      <c r="C245" s="57" t="inlineStr">
        <is>
          <t>Harvest</t>
        </is>
      </c>
      <c r="D245" s="57" t="inlineStr"/>
      <c r="E245" s="57" t="inlineStr">
        <is>
          <t>Fifth</t>
        </is>
      </c>
      <c r="F245" s="57" t="inlineStr">
        <is>
          <t>forced_from_sheet_name</t>
        </is>
      </c>
    </row>
    <row r="246" ht="25" customHeight="1" s="55">
      <c r="A246" s="57" t="inlineStr">
        <is>
          <t>Fifth</t>
        </is>
      </c>
      <c r="B246" s="57" t="n">
        <v>15</v>
      </c>
      <c r="C246" s="57" t="inlineStr">
        <is>
          <t>Date of harvest</t>
        </is>
      </c>
      <c r="D246" s="57" t="inlineStr"/>
      <c r="E246" s="57" t="inlineStr">
        <is>
          <t>2026-08-10</t>
        </is>
      </c>
      <c r="F246" s="57" t="inlineStr">
        <is>
          <t>date_forced:Inferred: weekly HT cadence; SG HT samples cluster on 8/11</t>
        </is>
      </c>
    </row>
    <row r="247" ht="25" customHeight="1" s="55">
      <c r="A247" s="57" t="inlineStr">
        <is>
          <t>Fifth</t>
        </is>
      </c>
      <c r="B247" s="57" t="n">
        <v>16</v>
      </c>
      <c r="C247" s="57" t="inlineStr">
        <is>
          <t>Harvest</t>
        </is>
      </c>
      <c r="D247" s="57" t="inlineStr"/>
      <c r="E247" s="57" t="inlineStr">
        <is>
          <t>Fifth</t>
        </is>
      </c>
      <c r="F247" s="57" t="inlineStr">
        <is>
          <t>forced_from_sheet_name</t>
        </is>
      </c>
    </row>
    <row r="248" ht="25" customHeight="1" s="55">
      <c r="A248" s="57" t="inlineStr">
        <is>
          <t>Fifth</t>
        </is>
      </c>
      <c r="B248" s="57" t="n">
        <v>16</v>
      </c>
      <c r="C248" s="57" t="inlineStr">
        <is>
          <t>Date of harvest</t>
        </is>
      </c>
      <c r="D248" s="57" t="inlineStr"/>
      <c r="E248" s="57" t="inlineStr">
        <is>
          <t>2026-08-10</t>
        </is>
      </c>
      <c r="F248" s="57" t="inlineStr">
        <is>
          <t>date_forced:Inferred: weekly HT cadence; SG HT samples cluster on 8/11</t>
        </is>
      </c>
    </row>
    <row r="249" ht="25" customHeight="1" s="55">
      <c r="A249" s="57" t="inlineStr">
        <is>
          <t>Fifth</t>
        </is>
      </c>
      <c r="B249" s="57" t="n">
        <v>17</v>
      </c>
      <c r="C249" s="57" t="inlineStr">
        <is>
          <t>Harvest</t>
        </is>
      </c>
      <c r="D249" s="57" t="inlineStr"/>
      <c r="E249" s="57" t="inlineStr">
        <is>
          <t>Fifth</t>
        </is>
      </c>
      <c r="F249" s="57" t="inlineStr">
        <is>
          <t>forced_from_sheet_name</t>
        </is>
      </c>
    </row>
    <row r="250" ht="25" customHeight="1" s="55">
      <c r="A250" s="57" t="inlineStr">
        <is>
          <t>Fifth</t>
        </is>
      </c>
      <c r="B250" s="57" t="n">
        <v>17</v>
      </c>
      <c r="C250" s="57" t="inlineStr">
        <is>
          <t>Date of harvest</t>
        </is>
      </c>
      <c r="D250" s="57" t="inlineStr"/>
      <c r="E250" s="57" t="inlineStr">
        <is>
          <t>2026-08-10</t>
        </is>
      </c>
      <c r="F250" s="57" t="inlineStr">
        <is>
          <t>date_forced:Inferred: weekly HT cadence; SG HT samples cluster on 8/11</t>
        </is>
      </c>
    </row>
    <row r="251" ht="25" customHeight="1" s="55">
      <c r="A251" s="57" t="inlineStr">
        <is>
          <t>Fifth</t>
        </is>
      </c>
      <c r="B251" s="57" t="n">
        <v>18</v>
      </c>
      <c r="C251" s="57" t="inlineStr">
        <is>
          <t>Harvest</t>
        </is>
      </c>
      <c r="D251" s="57" t="inlineStr"/>
      <c r="E251" s="57" t="inlineStr">
        <is>
          <t>Fifth</t>
        </is>
      </c>
      <c r="F251" s="57" t="inlineStr">
        <is>
          <t>forced_from_sheet_name</t>
        </is>
      </c>
    </row>
    <row r="252" ht="25" customHeight="1" s="55">
      <c r="A252" s="57" t="inlineStr">
        <is>
          <t>Fifth</t>
        </is>
      </c>
      <c r="B252" s="57" t="n">
        <v>18</v>
      </c>
      <c r="C252" s="57" t="inlineStr">
        <is>
          <t>Date of harvest</t>
        </is>
      </c>
      <c r="D252" s="57" t="inlineStr"/>
      <c r="E252" s="57" t="inlineStr">
        <is>
          <t>2026-08-10</t>
        </is>
      </c>
      <c r="F252" s="57" t="inlineStr">
        <is>
          <t>date_forced:Inferred: weekly HT cadence; SG HT samples cluster on 8/11</t>
        </is>
      </c>
    </row>
    <row r="253" ht="25" customHeight="1" s="55">
      <c r="A253" s="57" t="inlineStr">
        <is>
          <t>Fifth</t>
        </is>
      </c>
      <c r="B253" s="57" t="n">
        <v>19</v>
      </c>
      <c r="C253" s="57" t="inlineStr">
        <is>
          <t>Harvest</t>
        </is>
      </c>
      <c r="D253" s="57" t="inlineStr"/>
      <c r="E253" s="57" t="inlineStr">
        <is>
          <t>Fifth</t>
        </is>
      </c>
      <c r="F253" s="57" t="inlineStr">
        <is>
          <t>forced_from_sheet_name</t>
        </is>
      </c>
    </row>
    <row r="254" ht="25" customHeight="1" s="55">
      <c r="A254" s="57" t="inlineStr">
        <is>
          <t>Fifth</t>
        </is>
      </c>
      <c r="B254" s="57" t="n">
        <v>19</v>
      </c>
      <c r="C254" s="57" t="inlineStr">
        <is>
          <t>Date of harvest</t>
        </is>
      </c>
      <c r="D254" s="57" t="inlineStr"/>
      <c r="E254" s="57" t="inlineStr">
        <is>
          <t>2026-08-10</t>
        </is>
      </c>
      <c r="F254" s="57" t="inlineStr">
        <is>
          <t>date_forced:Inferred: weekly HT cadence; SG HT samples cluster on 8/11</t>
        </is>
      </c>
    </row>
    <row r="255" ht="25" customHeight="1" s="55">
      <c r="A255" s="57" t="inlineStr">
        <is>
          <t>Fifth</t>
        </is>
      </c>
      <c r="B255" s="57" t="n">
        <v>20</v>
      </c>
      <c r="C255" s="57" t="inlineStr">
        <is>
          <t>Harvest</t>
        </is>
      </c>
      <c r="D255" s="57" t="inlineStr"/>
      <c r="E255" s="57" t="inlineStr">
        <is>
          <t>Fifth</t>
        </is>
      </c>
      <c r="F255" s="57" t="inlineStr">
        <is>
          <t>forced_from_sheet_name</t>
        </is>
      </c>
    </row>
    <row r="256" ht="25" customHeight="1" s="55">
      <c r="A256" s="57" t="inlineStr">
        <is>
          <t>Fifth</t>
        </is>
      </c>
      <c r="B256" s="57" t="n">
        <v>20</v>
      </c>
      <c r="C256" s="57" t="inlineStr">
        <is>
          <t>Date of harvest</t>
        </is>
      </c>
      <c r="D256" s="57" t="inlineStr"/>
      <c r="E256" s="57" t="inlineStr">
        <is>
          <t>2026-08-10</t>
        </is>
      </c>
      <c r="F256" s="57" t="inlineStr">
        <is>
          <t>date_forced:Inferred: weekly HT cadence; SG HT samples cluster on 8/11</t>
        </is>
      </c>
    </row>
    <row r="257" ht="25" customHeight="1" s="55">
      <c r="A257" s="57" t="inlineStr">
        <is>
          <t>Fifth</t>
        </is>
      </c>
      <c r="B257" s="57" t="n">
        <v>21</v>
      </c>
      <c r="C257" s="57" t="inlineStr">
        <is>
          <t>Harvest</t>
        </is>
      </c>
      <c r="D257" s="57" t="inlineStr"/>
      <c r="E257" s="57" t="inlineStr">
        <is>
          <t>Fifth</t>
        </is>
      </c>
      <c r="F257" s="57" t="inlineStr">
        <is>
          <t>forced_from_sheet_name</t>
        </is>
      </c>
    </row>
    <row r="258" ht="25" customHeight="1" s="55">
      <c r="A258" s="57" t="inlineStr">
        <is>
          <t>Fifth</t>
        </is>
      </c>
      <c r="B258" s="57" t="n">
        <v>21</v>
      </c>
      <c r="C258" s="57" t="inlineStr">
        <is>
          <t>Date of harvest</t>
        </is>
      </c>
      <c r="D258" s="57" t="inlineStr"/>
      <c r="E258" s="57" t="inlineStr">
        <is>
          <t>2026-08-10</t>
        </is>
      </c>
      <c r="F258" s="57" t="inlineStr">
        <is>
          <t>date_forced:Inferred: weekly HT cadence; SG HT samples cluster on 8/11</t>
        </is>
      </c>
    </row>
    <row r="259" ht="25" customHeight="1" s="55">
      <c r="A259" s="57" t="inlineStr">
        <is>
          <t>Fifth</t>
        </is>
      </c>
      <c r="B259" s="57" t="n">
        <v>22</v>
      </c>
      <c r="C259" s="57" t="inlineStr">
        <is>
          <t>Harvest</t>
        </is>
      </c>
      <c r="D259" s="57" t="inlineStr"/>
      <c r="E259" s="57" t="inlineStr">
        <is>
          <t>Fifth</t>
        </is>
      </c>
      <c r="F259" s="57" t="inlineStr">
        <is>
          <t>forced_from_sheet_name</t>
        </is>
      </c>
    </row>
    <row r="260" ht="25" customHeight="1" s="55">
      <c r="A260" s="57" t="inlineStr">
        <is>
          <t>Fifth</t>
        </is>
      </c>
      <c r="B260" s="57" t="n">
        <v>22</v>
      </c>
      <c r="C260" s="57" t="inlineStr">
        <is>
          <t>Date of harvest</t>
        </is>
      </c>
      <c r="D260" s="57" t="inlineStr"/>
      <c r="E260" s="57" t="inlineStr">
        <is>
          <t>2026-08-10</t>
        </is>
      </c>
      <c r="F260" s="57" t="inlineStr">
        <is>
          <t>date_forced:Inferred: weekly HT cadence; SG HT samples cluster on 8/11</t>
        </is>
      </c>
    </row>
    <row r="261" ht="25" customHeight="1" s="55">
      <c r="A261" s="57" t="inlineStr">
        <is>
          <t>Fifth</t>
        </is>
      </c>
      <c r="B261" s="57" t="n">
        <v>23</v>
      </c>
      <c r="C261" s="57" t="inlineStr">
        <is>
          <t>Harvest</t>
        </is>
      </c>
      <c r="D261" s="57" t="inlineStr"/>
      <c r="E261" s="57" t="inlineStr">
        <is>
          <t>Fifth</t>
        </is>
      </c>
      <c r="F261" s="57" t="inlineStr">
        <is>
          <t>forced_from_sheet_name</t>
        </is>
      </c>
    </row>
    <row r="262" ht="25" customHeight="1" s="55">
      <c r="A262" s="57" t="inlineStr">
        <is>
          <t>Fifth</t>
        </is>
      </c>
      <c r="B262" s="57" t="n">
        <v>23</v>
      </c>
      <c r="C262" s="57" t="inlineStr">
        <is>
          <t>Date of harvest</t>
        </is>
      </c>
      <c r="D262" s="57" t="inlineStr"/>
      <c r="E262" s="57" t="inlineStr">
        <is>
          <t>2026-08-10</t>
        </is>
      </c>
      <c r="F262" s="57" t="inlineStr">
        <is>
          <t>date_forced:Inferred: weekly HT cadence; SG HT samples cluster on 8/11</t>
        </is>
      </c>
    </row>
    <row r="263" ht="25" customHeight="1" s="55">
      <c r="A263" s="57" t="inlineStr">
        <is>
          <t>Fifth</t>
        </is>
      </c>
      <c r="B263" s="57" t="n">
        <v>24</v>
      </c>
      <c r="C263" s="57" t="inlineStr">
        <is>
          <t>Harvest</t>
        </is>
      </c>
      <c r="D263" s="57" t="inlineStr"/>
      <c r="E263" s="57" t="inlineStr">
        <is>
          <t>Fifth</t>
        </is>
      </c>
      <c r="F263" s="57" t="inlineStr">
        <is>
          <t>forced_from_sheet_name</t>
        </is>
      </c>
    </row>
    <row r="264" ht="25" customHeight="1" s="55">
      <c r="A264" s="57" t="inlineStr">
        <is>
          <t>Fifth</t>
        </is>
      </c>
      <c r="B264" s="57" t="n">
        <v>24</v>
      </c>
      <c r="C264" s="57" t="inlineStr">
        <is>
          <t>Date of harvest</t>
        </is>
      </c>
      <c r="D264" s="57" t="inlineStr"/>
      <c r="E264" s="57" t="inlineStr">
        <is>
          <t>2026-08-10</t>
        </is>
      </c>
      <c r="F264" s="57" t="inlineStr">
        <is>
          <t>date_forced:Inferred: weekly HT cadence; SG HT samples cluster on 8/11</t>
        </is>
      </c>
    </row>
    <row r="265" ht="25" customHeight="1" s="55">
      <c r="A265" s="57" t="inlineStr">
        <is>
          <t>Fifth</t>
        </is>
      </c>
      <c r="B265" s="57" t="n">
        <v>25</v>
      </c>
      <c r="C265" s="57" t="inlineStr">
        <is>
          <t>Harvest</t>
        </is>
      </c>
      <c r="D265" s="57" t="inlineStr"/>
      <c r="E265" s="57" t="inlineStr">
        <is>
          <t>Fifth</t>
        </is>
      </c>
      <c r="F265" s="57" t="inlineStr">
        <is>
          <t>forced_from_sheet_name</t>
        </is>
      </c>
    </row>
    <row r="266" ht="25" customHeight="1" s="55">
      <c r="A266" s="57" t="inlineStr">
        <is>
          <t>Fifth</t>
        </is>
      </c>
      <c r="B266" s="57" t="n">
        <v>25</v>
      </c>
      <c r="C266" s="57" t="inlineStr">
        <is>
          <t>Date of harvest</t>
        </is>
      </c>
      <c r="D266" s="57" t="inlineStr"/>
      <c r="E266" s="57" t="inlineStr">
        <is>
          <t>2026-08-10</t>
        </is>
      </c>
      <c r="F266" s="57" t="inlineStr">
        <is>
          <t>date_forced:Inferred: weekly HT cadence; SG HT samples cluster on 8/11</t>
        </is>
      </c>
    </row>
    <row r="267" ht="25" customHeight="1" s="55">
      <c r="A267" s="57" t="inlineStr">
        <is>
          <t>Fifth</t>
        </is>
      </c>
      <c r="B267" s="57" t="n">
        <v>26</v>
      </c>
      <c r="C267" s="57" t="inlineStr">
        <is>
          <t>Harvest</t>
        </is>
      </c>
      <c r="D267" s="57" t="inlineStr"/>
      <c r="E267" s="57" t="inlineStr">
        <is>
          <t>Fifth</t>
        </is>
      </c>
      <c r="F267" s="57" t="inlineStr">
        <is>
          <t>forced_from_sheet_name</t>
        </is>
      </c>
    </row>
    <row r="268" ht="25" customHeight="1" s="55">
      <c r="A268" s="57" t="inlineStr">
        <is>
          <t>Fifth</t>
        </is>
      </c>
      <c r="B268" s="57" t="n">
        <v>26</v>
      </c>
      <c r="C268" s="57" t="inlineStr">
        <is>
          <t>Date of harvest</t>
        </is>
      </c>
      <c r="D268" s="57" t="inlineStr"/>
      <c r="E268" s="57" t="inlineStr">
        <is>
          <t>2026-08-10</t>
        </is>
      </c>
      <c r="F268" s="57" t="inlineStr">
        <is>
          <t>date_forced:Inferred: weekly HT cadence; SG HT samples cluster on 8/11</t>
        </is>
      </c>
    </row>
    <row r="269" ht="25" customHeight="1" s="55">
      <c r="A269" s="57" t="inlineStr">
        <is>
          <t>Fifth</t>
        </is>
      </c>
      <c r="B269" s="57" t="n">
        <v>27</v>
      </c>
      <c r="C269" s="57" t="inlineStr">
        <is>
          <t>Harvest</t>
        </is>
      </c>
      <c r="D269" s="57" t="inlineStr"/>
      <c r="E269" s="57" t="inlineStr">
        <is>
          <t>Fifth</t>
        </is>
      </c>
      <c r="F269" s="57" t="inlineStr">
        <is>
          <t>forced_from_sheet_name</t>
        </is>
      </c>
    </row>
    <row r="270" ht="25" customHeight="1" s="55">
      <c r="A270" s="57" t="inlineStr">
        <is>
          <t>Fifth</t>
        </is>
      </c>
      <c r="B270" s="57" t="n">
        <v>27</v>
      </c>
      <c r="C270" s="57" t="inlineStr">
        <is>
          <t>Date of harvest</t>
        </is>
      </c>
      <c r="D270" s="57" t="inlineStr"/>
      <c r="E270" s="57" t="inlineStr">
        <is>
          <t>2026-08-10</t>
        </is>
      </c>
      <c r="F270" s="57" t="inlineStr">
        <is>
          <t>date_forced:Inferred: weekly HT cadence; SG HT samples cluster on 8/11</t>
        </is>
      </c>
    </row>
    <row r="271" ht="25" customHeight="1" s="55">
      <c r="A271" s="57" t="inlineStr">
        <is>
          <t>Fifth</t>
        </is>
      </c>
      <c r="B271" s="57" t="n">
        <v>28</v>
      </c>
      <c r="C271" s="57" t="inlineStr">
        <is>
          <t>Harvest</t>
        </is>
      </c>
      <c r="D271" s="57" t="inlineStr"/>
      <c r="E271" s="57" t="inlineStr">
        <is>
          <t>Fifth</t>
        </is>
      </c>
      <c r="F271" s="57" t="inlineStr">
        <is>
          <t>forced_from_sheet_name</t>
        </is>
      </c>
    </row>
    <row r="272" ht="25" customHeight="1" s="55">
      <c r="A272" s="57" t="inlineStr">
        <is>
          <t>Fifth</t>
        </is>
      </c>
      <c r="B272" s="57" t="n">
        <v>28</v>
      </c>
      <c r="C272" s="57" t="inlineStr">
        <is>
          <t>Date of harvest</t>
        </is>
      </c>
      <c r="D272" s="57" t="inlineStr"/>
      <c r="E272" s="57" t="inlineStr">
        <is>
          <t>2026-08-10</t>
        </is>
      </c>
      <c r="F272" s="57" t="inlineStr">
        <is>
          <t>date_forced:Inferred: weekly HT cadence; SG HT samples cluster on 8/11</t>
        </is>
      </c>
    </row>
    <row r="273" ht="25" customHeight="1" s="55">
      <c r="A273" s="57" t="inlineStr">
        <is>
          <t>Fifth</t>
        </is>
      </c>
      <c r="B273" s="57" t="n">
        <v>29</v>
      </c>
      <c r="C273" s="57" t="inlineStr">
        <is>
          <t>Harvest</t>
        </is>
      </c>
      <c r="D273" s="57" t="inlineStr"/>
      <c r="E273" s="57" t="inlineStr">
        <is>
          <t>Fifth</t>
        </is>
      </c>
      <c r="F273" s="57" t="inlineStr">
        <is>
          <t>forced_from_sheet_name</t>
        </is>
      </c>
    </row>
    <row r="274" ht="25" customHeight="1" s="55">
      <c r="A274" s="57" t="inlineStr">
        <is>
          <t>Fifth</t>
        </is>
      </c>
      <c r="B274" s="57" t="n">
        <v>29</v>
      </c>
      <c r="C274" s="57" t="inlineStr">
        <is>
          <t>Date of harvest</t>
        </is>
      </c>
      <c r="D274" s="57" t="inlineStr"/>
      <c r="E274" s="57" t="inlineStr">
        <is>
          <t>2026-08-10</t>
        </is>
      </c>
      <c r="F274" s="57" t="inlineStr">
        <is>
          <t>date_forced:Inferred: weekly HT cadence; SG HT samples cluster on 8/11</t>
        </is>
      </c>
    </row>
    <row r="275" ht="25" customHeight="1" s="55">
      <c r="A275" s="57" t="inlineStr">
        <is>
          <t>Fifth</t>
        </is>
      </c>
      <c r="B275" s="57" t="n">
        <v>30</v>
      </c>
      <c r="C275" s="57" t="inlineStr">
        <is>
          <t>Harvest</t>
        </is>
      </c>
      <c r="D275" s="57" t="inlineStr"/>
      <c r="E275" s="57" t="inlineStr">
        <is>
          <t>Fifth</t>
        </is>
      </c>
      <c r="F275" s="57" t="inlineStr">
        <is>
          <t>forced_from_sheet_name</t>
        </is>
      </c>
    </row>
    <row r="276" ht="25" customHeight="1" s="55">
      <c r="A276" s="57" t="inlineStr">
        <is>
          <t>Fifth</t>
        </is>
      </c>
      <c r="B276" s="57" t="n">
        <v>30</v>
      </c>
      <c r="C276" s="57" t="inlineStr">
        <is>
          <t>Date of harvest</t>
        </is>
      </c>
      <c r="D276" s="57" t="inlineStr"/>
      <c r="E276" s="57" t="inlineStr">
        <is>
          <t>2026-08-10</t>
        </is>
      </c>
      <c r="F276" s="57" t="inlineStr">
        <is>
          <t>date_forced:Inferred: weekly HT cadence; SG HT samples cluster on 8/11</t>
        </is>
      </c>
    </row>
    <row r="277" ht="25" customHeight="1" s="55">
      <c r="A277" s="57" t="inlineStr">
        <is>
          <t>Fifth</t>
        </is>
      </c>
      <c r="B277" s="57" t="n">
        <v>31</v>
      </c>
      <c r="C277" s="57" t="inlineStr">
        <is>
          <t>Harvest</t>
        </is>
      </c>
      <c r="D277" s="57" t="inlineStr"/>
      <c r="E277" s="57" t="inlineStr">
        <is>
          <t>Fifth</t>
        </is>
      </c>
      <c r="F277" s="57" t="inlineStr">
        <is>
          <t>forced_from_sheet_name</t>
        </is>
      </c>
    </row>
    <row r="278" ht="25" customHeight="1" s="55">
      <c r="A278" s="57" t="inlineStr">
        <is>
          <t>Fifth</t>
        </is>
      </c>
      <c r="B278" s="57" t="n">
        <v>31</v>
      </c>
      <c r="C278" s="57" t="inlineStr">
        <is>
          <t>Date of harvest</t>
        </is>
      </c>
      <c r="D278" s="57" t="inlineStr"/>
      <c r="E278" s="57" t="inlineStr">
        <is>
          <t>2026-08-10</t>
        </is>
      </c>
      <c r="F278" s="57" t="inlineStr">
        <is>
          <t>date_forced:Inferred: weekly HT cadence; SG HT samples cluster on 8/11</t>
        </is>
      </c>
    </row>
    <row r="279" ht="25" customHeight="1" s="55">
      <c r="A279" s="57" t="inlineStr">
        <is>
          <t>Fifth</t>
        </is>
      </c>
      <c r="B279" s="57" t="n">
        <v>32</v>
      </c>
      <c r="C279" s="57" t="inlineStr">
        <is>
          <t>Harvest</t>
        </is>
      </c>
      <c r="D279" s="57" t="inlineStr"/>
      <c r="E279" s="57" t="inlineStr">
        <is>
          <t>Fifth</t>
        </is>
      </c>
      <c r="F279" s="57" t="inlineStr">
        <is>
          <t>forced_from_sheet_name</t>
        </is>
      </c>
    </row>
    <row r="280" ht="25" customHeight="1" s="55">
      <c r="A280" s="57" t="inlineStr">
        <is>
          <t>Fifth</t>
        </is>
      </c>
      <c r="B280" s="57" t="n">
        <v>32</v>
      </c>
      <c r="C280" s="57" t="inlineStr">
        <is>
          <t>Date of harvest</t>
        </is>
      </c>
      <c r="D280" s="57" t="inlineStr"/>
      <c r="E280" s="57" t="inlineStr">
        <is>
          <t>2026-08-10</t>
        </is>
      </c>
      <c r="F280" s="57" t="inlineStr">
        <is>
          <t>date_forced:Inferred: weekly HT cadence; SG HT samples cluster on 8/11</t>
        </is>
      </c>
    </row>
    <row r="281" ht="25" customHeight="1" s="55">
      <c r="A281" s="57" t="inlineStr">
        <is>
          <t>Fifth</t>
        </is>
      </c>
      <c r="B281" s="57" t="n">
        <v>33</v>
      </c>
      <c r="C281" s="57" t="inlineStr">
        <is>
          <t>Harvest</t>
        </is>
      </c>
      <c r="D281" s="57" t="inlineStr"/>
      <c r="E281" s="57" t="inlineStr">
        <is>
          <t>Fifth</t>
        </is>
      </c>
      <c r="F281" s="57" t="inlineStr">
        <is>
          <t>forced_from_sheet_name</t>
        </is>
      </c>
    </row>
    <row r="282" ht="25" customHeight="1" s="55">
      <c r="A282" s="57" t="inlineStr">
        <is>
          <t>Fifth</t>
        </is>
      </c>
      <c r="B282" s="57" t="n">
        <v>33</v>
      </c>
      <c r="C282" s="57" t="inlineStr">
        <is>
          <t>Date of harvest</t>
        </is>
      </c>
      <c r="D282" s="57" t="inlineStr"/>
      <c r="E282" s="57" t="inlineStr">
        <is>
          <t>2026-08-10</t>
        </is>
      </c>
      <c r="F282" s="57" t="inlineStr">
        <is>
          <t>date_forced:Inferred: weekly HT cadence; SG HT samples cluster on 8/11</t>
        </is>
      </c>
    </row>
    <row r="283" ht="25" customHeight="1" s="55">
      <c r="A283" s="57" t="inlineStr">
        <is>
          <t>Fifth</t>
        </is>
      </c>
      <c r="B283" s="57" t="n">
        <v>34</v>
      </c>
      <c r="C283" s="57" t="inlineStr">
        <is>
          <t>Harvest</t>
        </is>
      </c>
      <c r="D283" s="57" t="inlineStr"/>
      <c r="E283" s="57" t="inlineStr">
        <is>
          <t>Fifth</t>
        </is>
      </c>
      <c r="F283" s="57" t="inlineStr">
        <is>
          <t>forced_from_sheet_name</t>
        </is>
      </c>
    </row>
    <row r="284" ht="25" customHeight="1" s="55">
      <c r="A284" s="57" t="inlineStr">
        <is>
          <t>Fifth</t>
        </is>
      </c>
      <c r="B284" s="57" t="n">
        <v>34</v>
      </c>
      <c r="C284" s="57" t="inlineStr">
        <is>
          <t>Date of harvest</t>
        </is>
      </c>
      <c r="D284" s="57" t="inlineStr"/>
      <c r="E284" s="57" t="inlineStr">
        <is>
          <t>2026-08-10</t>
        </is>
      </c>
      <c r="F284" s="57" t="inlineStr">
        <is>
          <t>date_forced:Inferred: weekly HT cadence; SG HT samples cluster on 8/11</t>
        </is>
      </c>
    </row>
    <row r="285" ht="25" customHeight="1" s="55">
      <c r="A285" s="57" t="inlineStr">
        <is>
          <t>Fifth</t>
        </is>
      </c>
      <c r="B285" s="57" t="n">
        <v>35</v>
      </c>
      <c r="C285" s="57" t="inlineStr">
        <is>
          <t>Harvest</t>
        </is>
      </c>
      <c r="D285" s="57" t="inlineStr"/>
      <c r="E285" s="57" t="inlineStr">
        <is>
          <t>Fifth</t>
        </is>
      </c>
      <c r="F285" s="57" t="inlineStr">
        <is>
          <t>forced_from_sheet_name</t>
        </is>
      </c>
    </row>
    <row r="286" ht="25" customHeight="1" s="55">
      <c r="A286" s="57" t="inlineStr">
        <is>
          <t>Fifth</t>
        </is>
      </c>
      <c r="B286" s="57" t="n">
        <v>35</v>
      </c>
      <c r="C286" s="57" t="inlineStr">
        <is>
          <t>Date of harvest</t>
        </is>
      </c>
      <c r="D286" s="57" t="inlineStr"/>
      <c r="E286" s="57" t="inlineStr">
        <is>
          <t>2026-08-10</t>
        </is>
      </c>
      <c r="F286" s="57" t="inlineStr">
        <is>
          <t>date_forced:Inferred: weekly HT cadence; SG HT samples cluster on 8/11</t>
        </is>
      </c>
    </row>
    <row r="287" ht="25" customHeight="1" s="55">
      <c r="A287" s="57" t="inlineStr">
        <is>
          <t>Fifth</t>
        </is>
      </c>
      <c r="B287" s="57" t="n">
        <v>36</v>
      </c>
      <c r="C287" s="57" t="inlineStr">
        <is>
          <t>Harvest</t>
        </is>
      </c>
      <c r="D287" s="57" t="inlineStr"/>
      <c r="E287" s="57" t="inlineStr">
        <is>
          <t>Fifth</t>
        </is>
      </c>
      <c r="F287" s="57" t="inlineStr">
        <is>
          <t>forced_from_sheet_name</t>
        </is>
      </c>
    </row>
    <row r="288" ht="25" customHeight="1" s="55">
      <c r="A288" s="57" t="inlineStr">
        <is>
          <t>Fifth</t>
        </is>
      </c>
      <c r="B288" s="57" t="n">
        <v>36</v>
      </c>
      <c r="C288" s="57" t="inlineStr">
        <is>
          <t>Date of harvest</t>
        </is>
      </c>
      <c r="D288" s="57" t="inlineStr"/>
      <c r="E288" s="57" t="inlineStr">
        <is>
          <t>2026-08-10</t>
        </is>
      </c>
      <c r="F288" s="57" t="inlineStr">
        <is>
          <t>date_forced:Inferred: weekly HT cadence; SG HT samples cluster on 8/11</t>
        </is>
      </c>
    </row>
    <row r="289" ht="25" customHeight="1" s="55">
      <c r="A289" s="57" t="inlineStr">
        <is>
          <t>Fifth</t>
        </is>
      </c>
      <c r="B289" s="57" t="n">
        <v>37</v>
      </c>
      <c r="C289" s="57" t="inlineStr">
        <is>
          <t>Harvest</t>
        </is>
      </c>
      <c r="D289" s="57" t="inlineStr"/>
      <c r="E289" s="57" t="inlineStr">
        <is>
          <t>Fifth</t>
        </is>
      </c>
      <c r="F289" s="57" t="inlineStr">
        <is>
          <t>forced_from_sheet_name</t>
        </is>
      </c>
    </row>
    <row r="290" ht="25" customHeight="1" s="55">
      <c r="A290" s="57" t="inlineStr">
        <is>
          <t>Fifth</t>
        </is>
      </c>
      <c r="B290" s="57" t="n">
        <v>37</v>
      </c>
      <c r="C290" s="57" t="inlineStr">
        <is>
          <t>Date of harvest</t>
        </is>
      </c>
      <c r="D290" s="57" t="inlineStr"/>
      <c r="E290" s="57" t="inlineStr">
        <is>
          <t>2026-08-10</t>
        </is>
      </c>
      <c r="F290" s="57" t="inlineStr">
        <is>
          <t>date_forced:Inferred: weekly HT cadence; SG HT samples cluster on 8/11</t>
        </is>
      </c>
    </row>
    <row r="291" ht="25" customHeight="1" s="55">
      <c r="A291" s="57" t="inlineStr">
        <is>
          <t>Fifth</t>
        </is>
      </c>
      <c r="B291" s="57" t="n">
        <v>38</v>
      </c>
      <c r="C291" s="57" t="inlineStr">
        <is>
          <t>Harvest</t>
        </is>
      </c>
      <c r="D291" s="57" t="inlineStr"/>
      <c r="E291" s="57" t="inlineStr">
        <is>
          <t>Fifth</t>
        </is>
      </c>
      <c r="F291" s="57" t="inlineStr">
        <is>
          <t>forced_from_sheet_name</t>
        </is>
      </c>
    </row>
    <row r="292" ht="25" customHeight="1" s="55">
      <c r="A292" s="57" t="inlineStr">
        <is>
          <t>Fifth</t>
        </is>
      </c>
      <c r="B292" s="57" t="n">
        <v>38</v>
      </c>
      <c r="C292" s="57" t="inlineStr">
        <is>
          <t>Date of harvest</t>
        </is>
      </c>
      <c r="D292" s="57" t="inlineStr"/>
      <c r="E292" s="57" t="inlineStr">
        <is>
          <t>2026-08-10</t>
        </is>
      </c>
      <c r="F292" s="57" t="inlineStr">
        <is>
          <t>date_forced:Inferred: weekly HT cadence; SG HT samples cluster on 8/11</t>
        </is>
      </c>
    </row>
    <row r="293" ht="25" customHeight="1" s="55">
      <c r="A293" s="57" t="inlineStr">
        <is>
          <t>Fifth</t>
        </is>
      </c>
      <c r="B293" s="57" t="n">
        <v>39</v>
      </c>
      <c r="C293" s="57" t="inlineStr">
        <is>
          <t>Harvest</t>
        </is>
      </c>
      <c r="D293" s="57" t="inlineStr"/>
      <c r="E293" s="57" t="inlineStr">
        <is>
          <t>Fifth</t>
        </is>
      </c>
      <c r="F293" s="57" t="inlineStr">
        <is>
          <t>forced_from_sheet_name</t>
        </is>
      </c>
    </row>
    <row r="294" ht="25" customHeight="1" s="55">
      <c r="A294" s="57" t="inlineStr">
        <is>
          <t>Fifth</t>
        </is>
      </c>
      <c r="B294" s="57" t="n">
        <v>39</v>
      </c>
      <c r="C294" s="57" t="inlineStr">
        <is>
          <t>Date of harvest</t>
        </is>
      </c>
      <c r="D294" s="57" t="inlineStr"/>
      <c r="E294" s="57" t="inlineStr">
        <is>
          <t>2026-08-10</t>
        </is>
      </c>
      <c r="F294" s="57" t="inlineStr">
        <is>
          <t>date_forced:Inferred: weekly HT cadence; SG HT samples cluster on 8/11</t>
        </is>
      </c>
    </row>
    <row r="295" ht="25" customHeight="1" s="55">
      <c r="A295" s="57" t="inlineStr">
        <is>
          <t>Fifth</t>
        </is>
      </c>
      <c r="B295" s="57" t="n">
        <v>40</v>
      </c>
      <c r="C295" s="57" t="inlineStr">
        <is>
          <t>Harvest</t>
        </is>
      </c>
      <c r="D295" s="57" t="inlineStr"/>
      <c r="E295" s="57" t="inlineStr">
        <is>
          <t>Fifth</t>
        </is>
      </c>
      <c r="F295" s="57" t="inlineStr">
        <is>
          <t>forced_from_sheet_name</t>
        </is>
      </c>
    </row>
    <row r="296" ht="25" customHeight="1" s="55">
      <c r="A296" s="57" t="inlineStr">
        <is>
          <t>Fifth</t>
        </is>
      </c>
      <c r="B296" s="57" t="n">
        <v>40</v>
      </c>
      <c r="C296" s="57" t="inlineStr">
        <is>
          <t>Date of harvest</t>
        </is>
      </c>
      <c r="D296" s="57" t="inlineStr"/>
      <c r="E296" s="57" t="inlineStr">
        <is>
          <t>2026-08-10</t>
        </is>
      </c>
      <c r="F296" s="57" t="inlineStr">
        <is>
          <t>date_forced:Inferred: weekly HT cadence; SG HT samples cluster on 8/11</t>
        </is>
      </c>
    </row>
    <row r="297" ht="25" customHeight="1" s="55">
      <c r="A297" s="57" t="inlineStr">
        <is>
          <t>Fifth</t>
        </is>
      </c>
      <c r="B297" s="57" t="n">
        <v>41</v>
      </c>
      <c r="C297" s="57" t="inlineStr">
        <is>
          <t>Harvest</t>
        </is>
      </c>
      <c r="D297" s="57" t="inlineStr"/>
      <c r="E297" s="57" t="inlineStr">
        <is>
          <t>Fifth</t>
        </is>
      </c>
      <c r="F297" s="57" t="inlineStr">
        <is>
          <t>forced_from_sheet_name</t>
        </is>
      </c>
    </row>
    <row r="298" ht="25" customHeight="1" s="55">
      <c r="A298" s="57" t="inlineStr">
        <is>
          <t>Fifth</t>
        </is>
      </c>
      <c r="B298" s="57" t="n">
        <v>41</v>
      </c>
      <c r="C298" s="57" t="inlineStr">
        <is>
          <t>Date of harvest</t>
        </is>
      </c>
      <c r="D298" s="57" t="inlineStr"/>
      <c r="E298" s="57" t="inlineStr">
        <is>
          <t>2026-08-10</t>
        </is>
      </c>
      <c r="F298" s="57" t="inlineStr">
        <is>
          <t>date_forced:Inferred: weekly HT cadence; SG HT samples cluster on 8/11</t>
        </is>
      </c>
    </row>
    <row r="299" ht="25" customHeight="1" s="55">
      <c r="A299" s="57" t="inlineStr">
        <is>
          <t>Fifth</t>
        </is>
      </c>
      <c r="B299" s="57" t="n">
        <v>42</v>
      </c>
      <c r="C299" s="57" t="inlineStr">
        <is>
          <t>Harvest</t>
        </is>
      </c>
      <c r="D299" s="57" t="inlineStr"/>
      <c r="E299" s="57" t="inlineStr">
        <is>
          <t>Fifth</t>
        </is>
      </c>
      <c r="F299" s="57" t="inlineStr">
        <is>
          <t>forced_from_sheet_name</t>
        </is>
      </c>
    </row>
    <row r="300" ht="25" customHeight="1" s="55">
      <c r="A300" s="57" t="inlineStr">
        <is>
          <t>Fifth</t>
        </is>
      </c>
      <c r="B300" s="57" t="n">
        <v>42</v>
      </c>
      <c r="C300" s="57" t="inlineStr">
        <is>
          <t>Date of harvest</t>
        </is>
      </c>
      <c r="D300" s="57" t="inlineStr"/>
      <c r="E300" s="57" t="inlineStr">
        <is>
          <t>2026-08-10</t>
        </is>
      </c>
      <c r="F300" s="57" t="inlineStr">
        <is>
          <t>date_forced:Inferred: weekly HT cadence; SG HT samples cluster on 8/11</t>
        </is>
      </c>
    </row>
    <row r="301" ht="25" customHeight="1" s="55">
      <c r="A301" s="57" t="inlineStr">
        <is>
          <t>Fifth</t>
        </is>
      </c>
      <c r="B301" s="57" t="n">
        <v>43</v>
      </c>
      <c r="C301" s="57" t="inlineStr">
        <is>
          <t>Harvest</t>
        </is>
      </c>
      <c r="D301" s="57" t="inlineStr"/>
      <c r="E301" s="57" t="inlineStr">
        <is>
          <t>Fifth</t>
        </is>
      </c>
      <c r="F301" s="57" t="inlineStr">
        <is>
          <t>forced_from_sheet_name</t>
        </is>
      </c>
    </row>
    <row r="302" ht="25" customHeight="1" s="55">
      <c r="A302" s="57" t="inlineStr">
        <is>
          <t>Fifth</t>
        </is>
      </c>
      <c r="B302" s="57" t="n">
        <v>43</v>
      </c>
      <c r="C302" s="57" t="inlineStr">
        <is>
          <t>Date of harvest</t>
        </is>
      </c>
      <c r="D302" s="57" t="inlineStr"/>
      <c r="E302" s="57" t="inlineStr">
        <is>
          <t>2026-08-10</t>
        </is>
      </c>
      <c r="F302" s="57" t="inlineStr">
        <is>
          <t>date_forced:Inferred: weekly HT cadence; SG HT samples cluster on 8/11</t>
        </is>
      </c>
    </row>
    <row r="303" ht="25" customHeight="1" s="55">
      <c r="A303" s="57" t="inlineStr">
        <is>
          <t>Fifth</t>
        </is>
      </c>
      <c r="B303" s="57" t="n">
        <v>44</v>
      </c>
      <c r="C303" s="57" t="inlineStr">
        <is>
          <t>Harvest</t>
        </is>
      </c>
      <c r="D303" s="57" t="inlineStr"/>
      <c r="E303" s="57" t="inlineStr">
        <is>
          <t>Fifth</t>
        </is>
      </c>
      <c r="F303" s="57" t="inlineStr">
        <is>
          <t>forced_from_sheet_name</t>
        </is>
      </c>
    </row>
    <row r="304" ht="25" customHeight="1" s="55">
      <c r="A304" s="57" t="inlineStr">
        <is>
          <t>Fifth</t>
        </is>
      </c>
      <c r="B304" s="57" t="n">
        <v>44</v>
      </c>
      <c r="C304" s="57" t="inlineStr">
        <is>
          <t>Date of harvest</t>
        </is>
      </c>
      <c r="D304" s="57" t="inlineStr"/>
      <c r="E304" s="57" t="inlineStr">
        <is>
          <t>2026-08-10</t>
        </is>
      </c>
      <c r="F304" s="57" t="inlineStr">
        <is>
          <t>date_forced:Inferred: weekly HT cadence; SG HT samples cluster on 8/11</t>
        </is>
      </c>
    </row>
    <row r="305" ht="25" customHeight="1" s="55">
      <c r="A305" s="57" t="inlineStr">
        <is>
          <t>Fifth</t>
        </is>
      </c>
      <c r="B305" s="57" t="n">
        <v>45</v>
      </c>
      <c r="C305" s="57" t="inlineStr">
        <is>
          <t>Harvest</t>
        </is>
      </c>
      <c r="D305" s="57" t="inlineStr"/>
      <c r="E305" s="57" t="inlineStr">
        <is>
          <t>Fifth</t>
        </is>
      </c>
      <c r="F305" s="57" t="inlineStr">
        <is>
          <t>forced_from_sheet_name</t>
        </is>
      </c>
    </row>
    <row r="306" ht="25" customHeight="1" s="55">
      <c r="A306" s="57" t="inlineStr">
        <is>
          <t>Fifth</t>
        </is>
      </c>
      <c r="B306" s="57" t="n">
        <v>45</v>
      </c>
      <c r="C306" s="57" t="inlineStr">
        <is>
          <t>Date of harvest</t>
        </is>
      </c>
      <c r="D306" s="57" t="inlineStr"/>
      <c r="E306" s="57" t="inlineStr">
        <is>
          <t>2026-08-10</t>
        </is>
      </c>
      <c r="F306" s="57" t="inlineStr">
        <is>
          <t>date_forced:Inferred: weekly HT cadence; SG HT samples cluster on 8/11</t>
        </is>
      </c>
    </row>
    <row r="307" ht="25" customHeight="1" s="55">
      <c r="A307" s="57" t="inlineStr">
        <is>
          <t>Fifth</t>
        </is>
      </c>
      <c r="B307" s="57" t="n">
        <v>46</v>
      </c>
      <c r="C307" s="57" t="inlineStr">
        <is>
          <t>Harvest</t>
        </is>
      </c>
      <c r="D307" s="57" t="inlineStr"/>
      <c r="E307" s="57" t="inlineStr">
        <is>
          <t>Fifth</t>
        </is>
      </c>
      <c r="F307" s="57" t="inlineStr">
        <is>
          <t>forced_from_sheet_name</t>
        </is>
      </c>
    </row>
    <row r="308" ht="25" customHeight="1" s="55">
      <c r="A308" s="57" t="inlineStr">
        <is>
          <t>Fifth</t>
        </is>
      </c>
      <c r="B308" s="57" t="n">
        <v>46</v>
      </c>
      <c r="C308" s="57" t="inlineStr">
        <is>
          <t>Date of harvest</t>
        </is>
      </c>
      <c r="D308" s="57" t="inlineStr"/>
      <c r="E308" s="57" t="inlineStr">
        <is>
          <t>2026-08-10</t>
        </is>
      </c>
      <c r="F308" s="57" t="inlineStr">
        <is>
          <t>date_forced:Inferred: weekly HT cadence; SG HT samples cluster on 8/11</t>
        </is>
      </c>
    </row>
    <row r="309" ht="25" customHeight="1" s="55">
      <c r="A309" s="57" t="inlineStr">
        <is>
          <t>Fifth</t>
        </is>
      </c>
      <c r="B309" s="57" t="n">
        <v>47</v>
      </c>
      <c r="C309" s="57" t="inlineStr">
        <is>
          <t>Harvest</t>
        </is>
      </c>
      <c r="D309" s="57" t="inlineStr"/>
      <c r="E309" s="57" t="inlineStr">
        <is>
          <t>Fifth</t>
        </is>
      </c>
      <c r="F309" s="57" t="inlineStr">
        <is>
          <t>forced_from_sheet_name</t>
        </is>
      </c>
    </row>
    <row r="310" ht="25" customHeight="1" s="55">
      <c r="A310" s="57" t="inlineStr">
        <is>
          <t>Fifth</t>
        </is>
      </c>
      <c r="B310" s="57" t="n">
        <v>47</v>
      </c>
      <c r="C310" s="57" t="inlineStr">
        <is>
          <t>Date of harvest</t>
        </is>
      </c>
      <c r="D310" s="57" t="inlineStr"/>
      <c r="E310" s="57" t="inlineStr">
        <is>
          <t>2026-08-10</t>
        </is>
      </c>
      <c r="F310" s="57" t="inlineStr">
        <is>
          <t>date_forced:Inferred: weekly HT cadence; SG HT samples cluster on 8/11</t>
        </is>
      </c>
    </row>
    <row r="311" ht="25" customHeight="1" s="55">
      <c r="A311" s="57" t="inlineStr">
        <is>
          <t>Fifth</t>
        </is>
      </c>
      <c r="B311" s="57" t="n">
        <v>48</v>
      </c>
      <c r="C311" s="57" t="inlineStr">
        <is>
          <t>Harvest</t>
        </is>
      </c>
      <c r="D311" s="57" t="inlineStr"/>
      <c r="E311" s="57" t="inlineStr">
        <is>
          <t>Fifth</t>
        </is>
      </c>
      <c r="F311" s="57" t="inlineStr">
        <is>
          <t>forced_from_sheet_name</t>
        </is>
      </c>
    </row>
    <row r="312" ht="25" customHeight="1" s="55">
      <c r="A312" s="57" t="inlineStr">
        <is>
          <t>Fifth</t>
        </is>
      </c>
      <c r="B312" s="57" t="n">
        <v>48</v>
      </c>
      <c r="C312" s="57" t="inlineStr">
        <is>
          <t>Date of harvest</t>
        </is>
      </c>
      <c r="D312" s="57" t="inlineStr"/>
      <c r="E312" s="57" t="inlineStr">
        <is>
          <t>2026-08-10</t>
        </is>
      </c>
      <c r="F312" s="57" t="inlineStr">
        <is>
          <t>date_forced:Inferred: weekly HT cadence; SG HT samples cluster on 8/11</t>
        </is>
      </c>
    </row>
    <row r="313" ht="25" customHeight="1" s="55">
      <c r="A313" s="57" t="inlineStr">
        <is>
          <t>Fifth</t>
        </is>
      </c>
      <c r="B313" s="57" t="n">
        <v>49</v>
      </c>
      <c r="C313" s="57" t="inlineStr">
        <is>
          <t>Harvest</t>
        </is>
      </c>
      <c r="D313" s="57" t="inlineStr"/>
      <c r="E313" s="57" t="inlineStr">
        <is>
          <t>Fifth</t>
        </is>
      </c>
      <c r="F313" s="57" t="inlineStr">
        <is>
          <t>forced_from_sheet_name</t>
        </is>
      </c>
    </row>
    <row r="314" ht="25" customHeight="1" s="55">
      <c r="A314" s="57" t="inlineStr">
        <is>
          <t>Fifth</t>
        </is>
      </c>
      <c r="B314" s="57" t="n">
        <v>49</v>
      </c>
      <c r="C314" s="57" t="inlineStr">
        <is>
          <t>Date of harvest</t>
        </is>
      </c>
      <c r="D314" s="57" t="inlineStr"/>
      <c r="E314" s="57" t="inlineStr">
        <is>
          <t>2026-08-10</t>
        </is>
      </c>
      <c r="F314" s="57" t="inlineStr">
        <is>
          <t>date_forced:Inferred: weekly HT cadence; SG HT samples cluster on 8/11</t>
        </is>
      </c>
    </row>
    <row r="315" ht="25" customHeight="1" s="55">
      <c r="A315" s="57" t="inlineStr">
        <is>
          <t>Fifth</t>
        </is>
      </c>
      <c r="B315" s="57" t="n">
        <v>50</v>
      </c>
      <c r="C315" s="57" t="inlineStr">
        <is>
          <t>Harvest</t>
        </is>
      </c>
      <c r="D315" s="57" t="inlineStr"/>
      <c r="E315" s="57" t="inlineStr">
        <is>
          <t>Fifth</t>
        </is>
      </c>
      <c r="F315" s="57" t="inlineStr">
        <is>
          <t>forced_from_sheet_name</t>
        </is>
      </c>
    </row>
    <row r="316" ht="25" customHeight="1" s="55">
      <c r="A316" s="57" t="inlineStr">
        <is>
          <t>Fifth</t>
        </is>
      </c>
      <c r="B316" s="57" t="n">
        <v>50</v>
      </c>
      <c r="C316" s="57" t="inlineStr">
        <is>
          <t>Date of harvest</t>
        </is>
      </c>
      <c r="D316" s="57" t="inlineStr"/>
      <c r="E316" s="57" t="inlineStr">
        <is>
          <t>2026-08-10</t>
        </is>
      </c>
      <c r="F316" s="57" t="inlineStr">
        <is>
          <t>date_forced:Inferred: weekly HT cadence; SG HT samples cluster on 8/11</t>
        </is>
      </c>
    </row>
    <row r="317" ht="25" customHeight="1" s="55">
      <c r="A317" s="57" t="inlineStr">
        <is>
          <t>Fifth</t>
        </is>
      </c>
      <c r="B317" s="57" t="n">
        <v>51</v>
      </c>
      <c r="C317" s="57" t="inlineStr">
        <is>
          <t>Harvest</t>
        </is>
      </c>
      <c r="D317" s="57" t="inlineStr"/>
      <c r="E317" s="57" t="inlineStr">
        <is>
          <t>Fifth</t>
        </is>
      </c>
      <c r="F317" s="57" t="inlineStr">
        <is>
          <t>forced_from_sheet_name</t>
        </is>
      </c>
    </row>
    <row r="318" ht="25" customHeight="1" s="55">
      <c r="A318" s="57" t="inlineStr">
        <is>
          <t>Fifth</t>
        </is>
      </c>
      <c r="B318" s="57" t="n">
        <v>51</v>
      </c>
      <c r="C318" s="57" t="inlineStr">
        <is>
          <t>Date of harvest</t>
        </is>
      </c>
      <c r="D318" s="57" t="inlineStr"/>
      <c r="E318" s="57" t="inlineStr">
        <is>
          <t>2026-08-10</t>
        </is>
      </c>
      <c r="F318" s="57" t="inlineStr">
        <is>
          <t>date_forced:Inferred: weekly HT cadence; SG HT samples cluster on 8/11</t>
        </is>
      </c>
    </row>
    <row r="319" ht="25" customHeight="1" s="55">
      <c r="A319" s="57" t="inlineStr">
        <is>
          <t>High Tunnel Harvest Sixth</t>
        </is>
      </c>
      <c r="B319" s="57" t="n">
        <v>2</v>
      </c>
      <c r="C319" s="57" t="inlineStr">
        <is>
          <t>Genotypes</t>
        </is>
      </c>
      <c r="D319" s="57" t="inlineStr">
        <is>
          <t>UKYT 26-032</t>
        </is>
      </c>
      <c r="E319" s="57" t="inlineStr">
        <is>
          <t>UKYT-26-032</t>
        </is>
      </c>
      <c r="F319" s="57" t="inlineStr"/>
    </row>
    <row r="320" ht="25" customHeight="1" s="55">
      <c r="A320" s="57" t="inlineStr">
        <is>
          <t>High Tunnel Harvest Sixth</t>
        </is>
      </c>
      <c r="B320" s="57" t="n">
        <v>2</v>
      </c>
      <c r="C320" s="57" t="inlineStr">
        <is>
          <t>Location</t>
        </is>
      </c>
      <c r="D320" s="57" t="inlineStr">
        <is>
          <t xml:space="preserve">High Tunnel </t>
        </is>
      </c>
      <c r="E320" s="57" t="inlineStr">
        <is>
          <t>High tunnel</t>
        </is>
      </c>
      <c r="F320" s="57" t="inlineStr">
        <is>
          <t>forced_from_sheet_name</t>
        </is>
      </c>
    </row>
    <row r="321" ht="25" customHeight="1" s="55">
      <c r="A321" s="57" t="inlineStr">
        <is>
          <t>High Tunnel Harvest Sixth</t>
        </is>
      </c>
      <c r="B321" s="57" t="n">
        <v>2</v>
      </c>
      <c r="C321" s="57" t="inlineStr">
        <is>
          <t>Harvest</t>
        </is>
      </c>
      <c r="D321" s="57" t="inlineStr"/>
      <c r="E321" s="57" t="inlineStr">
        <is>
          <t>Sixth</t>
        </is>
      </c>
      <c r="F321" s="57" t="inlineStr">
        <is>
          <t>forced_from_sheet_name</t>
        </is>
      </c>
    </row>
    <row r="322" ht="25" customHeight="1" s="55">
      <c r="A322" s="57" t="inlineStr">
        <is>
          <t>High Tunnel Harvest Sixth</t>
        </is>
      </c>
      <c r="B322" s="57" t="n">
        <v>3</v>
      </c>
      <c r="C322" s="57" t="inlineStr">
        <is>
          <t>Genotypes</t>
        </is>
      </c>
      <c r="D322" s="57" t="inlineStr">
        <is>
          <t>UKYT 26-039</t>
        </is>
      </c>
      <c r="E322" s="57" t="inlineStr">
        <is>
          <t>UKYT-26-039</t>
        </is>
      </c>
      <c r="F322" s="57" t="inlineStr"/>
    </row>
    <row r="323" ht="25" customHeight="1" s="55">
      <c r="A323" s="57" t="inlineStr">
        <is>
          <t>High Tunnel Harvest Sixth</t>
        </is>
      </c>
      <c r="B323" s="57" t="n">
        <v>3</v>
      </c>
      <c r="C323" s="57" t="inlineStr">
        <is>
          <t>Location</t>
        </is>
      </c>
      <c r="D323" s="57" t="inlineStr">
        <is>
          <t xml:space="preserve">High Tunnel </t>
        </is>
      </c>
      <c r="E323" s="57" t="inlineStr">
        <is>
          <t>High tunnel</t>
        </is>
      </c>
      <c r="F323" s="57" t="inlineStr">
        <is>
          <t>forced_from_sheet_name</t>
        </is>
      </c>
    </row>
    <row r="324" ht="25" customHeight="1" s="55">
      <c r="A324" s="57" t="inlineStr">
        <is>
          <t>High Tunnel Harvest Sixth</t>
        </is>
      </c>
      <c r="B324" s="57" t="n">
        <v>3</v>
      </c>
      <c r="C324" s="57" t="inlineStr">
        <is>
          <t>Harvest</t>
        </is>
      </c>
      <c r="D324" s="57" t="inlineStr"/>
      <c r="E324" s="57" t="inlineStr">
        <is>
          <t>Sixth</t>
        </is>
      </c>
      <c r="F324" s="57" t="inlineStr">
        <is>
          <t>forced_from_sheet_name</t>
        </is>
      </c>
    </row>
    <row r="325" ht="25" customHeight="1" s="55">
      <c r="A325" s="57" t="inlineStr">
        <is>
          <t>High Tunnel Harvest Sixth</t>
        </is>
      </c>
      <c r="B325" s="57" t="n">
        <v>3</v>
      </c>
      <c r="C325" s="57" t="inlineStr">
        <is>
          <t>Date of harvest</t>
        </is>
      </c>
      <c r="D325" s="57" t="inlineStr"/>
      <c r="E325" s="57" t="inlineStr">
        <is>
          <t>2026-08-18</t>
        </is>
      </c>
      <c r="F325" s="57" t="inlineStr">
        <is>
          <t>date_forced:Recorded on sheet (first row); applied to all rows</t>
        </is>
      </c>
    </row>
    <row r="326" ht="25" customHeight="1" s="55">
      <c r="A326" s="57" t="inlineStr">
        <is>
          <t>High Tunnel Harvest Sixth</t>
        </is>
      </c>
      <c r="B326" s="57" t="n">
        <v>4</v>
      </c>
      <c r="C326" s="57" t="inlineStr">
        <is>
          <t>Genotypes</t>
        </is>
      </c>
      <c r="D326" s="57" t="inlineStr">
        <is>
          <t>UKYT 26-038</t>
        </is>
      </c>
      <c r="E326" s="57" t="inlineStr">
        <is>
          <t>UKYT-26-038</t>
        </is>
      </c>
      <c r="F326" s="57" t="inlineStr"/>
    </row>
    <row r="327" ht="25" customHeight="1" s="55">
      <c r="A327" s="57" t="inlineStr">
        <is>
          <t>High Tunnel Harvest Sixth</t>
        </is>
      </c>
      <c r="B327" s="57" t="n">
        <v>4</v>
      </c>
      <c r="C327" s="57" t="inlineStr">
        <is>
          <t>Location</t>
        </is>
      </c>
      <c r="D327" s="57" t="inlineStr">
        <is>
          <t xml:space="preserve">High Tunnel </t>
        </is>
      </c>
      <c r="E327" s="57" t="inlineStr">
        <is>
          <t>High tunnel</t>
        </is>
      </c>
      <c r="F327" s="57" t="inlineStr">
        <is>
          <t>forced_from_sheet_name</t>
        </is>
      </c>
    </row>
    <row r="328" ht="25" customHeight="1" s="55">
      <c r="A328" s="57" t="inlineStr">
        <is>
          <t>High Tunnel Harvest Sixth</t>
        </is>
      </c>
      <c r="B328" s="57" t="n">
        <v>4</v>
      </c>
      <c r="C328" s="57" t="inlineStr">
        <is>
          <t>Harvest</t>
        </is>
      </c>
      <c r="D328" s="57" t="inlineStr"/>
      <c r="E328" s="57" t="inlineStr">
        <is>
          <t>Sixth</t>
        </is>
      </c>
      <c r="F328" s="57" t="inlineStr">
        <is>
          <t>forced_from_sheet_name</t>
        </is>
      </c>
    </row>
    <row r="329" ht="25" customHeight="1" s="55">
      <c r="A329" s="57" t="inlineStr">
        <is>
          <t>High Tunnel Harvest Sixth</t>
        </is>
      </c>
      <c r="B329" s="57" t="n">
        <v>4</v>
      </c>
      <c r="C329" s="57" t="inlineStr">
        <is>
          <t>Date of harvest</t>
        </is>
      </c>
      <c r="D329" s="57" t="inlineStr"/>
      <c r="E329" s="57" t="inlineStr">
        <is>
          <t>2026-08-18</t>
        </is>
      </c>
      <c r="F329" s="57" t="inlineStr">
        <is>
          <t>date_forced:Recorded on sheet (first row); applied to all rows</t>
        </is>
      </c>
    </row>
    <row r="330" ht="25" customHeight="1" s="55">
      <c r="A330" s="57" t="inlineStr">
        <is>
          <t>High Tunnel Harvest Sixth</t>
        </is>
      </c>
      <c r="B330" s="57" t="n">
        <v>5</v>
      </c>
      <c r="C330" s="57" t="inlineStr">
        <is>
          <t>Genotypes</t>
        </is>
      </c>
      <c r="D330" s="57" t="inlineStr">
        <is>
          <t>UKYT 26-037</t>
        </is>
      </c>
      <c r="E330" s="57" t="inlineStr">
        <is>
          <t>UKYT-26-037</t>
        </is>
      </c>
      <c r="F330" s="57" t="inlineStr"/>
    </row>
    <row r="331" ht="25" customHeight="1" s="55">
      <c r="A331" s="57" t="inlineStr">
        <is>
          <t>High Tunnel Harvest Sixth</t>
        </is>
      </c>
      <c r="B331" s="57" t="n">
        <v>5</v>
      </c>
      <c r="C331" s="57" t="inlineStr">
        <is>
          <t>Location</t>
        </is>
      </c>
      <c r="D331" s="57" t="inlineStr">
        <is>
          <t xml:space="preserve">High Tunnel </t>
        </is>
      </c>
      <c r="E331" s="57" t="inlineStr">
        <is>
          <t>High tunnel</t>
        </is>
      </c>
      <c r="F331" s="57" t="inlineStr">
        <is>
          <t>forced_from_sheet_name</t>
        </is>
      </c>
    </row>
    <row r="332" ht="25" customHeight="1" s="55">
      <c r="A332" s="57" t="inlineStr">
        <is>
          <t>High Tunnel Harvest Sixth</t>
        </is>
      </c>
      <c r="B332" s="57" t="n">
        <v>5</v>
      </c>
      <c r="C332" s="57" t="inlineStr">
        <is>
          <t>Harvest</t>
        </is>
      </c>
      <c r="D332" s="57" t="inlineStr"/>
      <c r="E332" s="57" t="inlineStr">
        <is>
          <t>Sixth</t>
        </is>
      </c>
      <c r="F332" s="57" t="inlineStr">
        <is>
          <t>forced_from_sheet_name</t>
        </is>
      </c>
    </row>
    <row r="333" ht="25" customHeight="1" s="55">
      <c r="A333" s="57" t="inlineStr">
        <is>
          <t>High Tunnel Harvest Sixth</t>
        </is>
      </c>
      <c r="B333" s="57" t="n">
        <v>5</v>
      </c>
      <c r="C333" s="57" t="inlineStr">
        <is>
          <t>Date of harvest</t>
        </is>
      </c>
      <c r="D333" s="57" t="inlineStr"/>
      <c r="E333" s="57" t="inlineStr">
        <is>
          <t>2026-08-18</t>
        </is>
      </c>
      <c r="F333" s="57" t="inlineStr">
        <is>
          <t>date_forced:Recorded on sheet (first row); applied to all rows</t>
        </is>
      </c>
    </row>
    <row r="334" ht="25" customHeight="1" s="55">
      <c r="A334" s="57" t="inlineStr">
        <is>
          <t>High Tunnel Harvest Sixth</t>
        </is>
      </c>
      <c r="B334" s="57" t="n">
        <v>6</v>
      </c>
      <c r="C334" s="57" t="inlineStr">
        <is>
          <t>Genotypes</t>
        </is>
      </c>
      <c r="D334" s="57" t="inlineStr">
        <is>
          <t>UKYT 26-017</t>
        </is>
      </c>
      <c r="E334" s="57" t="inlineStr">
        <is>
          <t>UKYT-26-017</t>
        </is>
      </c>
      <c r="F334" s="57" t="inlineStr"/>
    </row>
    <row r="335" ht="25" customHeight="1" s="55">
      <c r="A335" s="57" t="inlineStr">
        <is>
          <t>High Tunnel Harvest Sixth</t>
        </is>
      </c>
      <c r="B335" s="57" t="n">
        <v>6</v>
      </c>
      <c r="C335" s="57" t="inlineStr">
        <is>
          <t>Location</t>
        </is>
      </c>
      <c r="D335" s="57" t="inlineStr">
        <is>
          <t xml:space="preserve">High Tunnel </t>
        </is>
      </c>
      <c r="E335" s="57" t="inlineStr">
        <is>
          <t>High tunnel</t>
        </is>
      </c>
      <c r="F335" s="57" t="inlineStr">
        <is>
          <t>forced_from_sheet_name</t>
        </is>
      </c>
    </row>
    <row r="336" ht="25" customHeight="1" s="55">
      <c r="A336" s="57" t="inlineStr">
        <is>
          <t>High Tunnel Harvest Sixth</t>
        </is>
      </c>
      <c r="B336" s="57" t="n">
        <v>6</v>
      </c>
      <c r="C336" s="57" t="inlineStr">
        <is>
          <t>Harvest</t>
        </is>
      </c>
      <c r="D336" s="57" t="inlineStr"/>
      <c r="E336" s="57" t="inlineStr">
        <is>
          <t>Sixth</t>
        </is>
      </c>
      <c r="F336" s="57" t="inlineStr">
        <is>
          <t>forced_from_sheet_name</t>
        </is>
      </c>
    </row>
    <row r="337" ht="25" customHeight="1" s="55">
      <c r="A337" s="57" t="inlineStr">
        <is>
          <t>High Tunnel Harvest Sixth</t>
        </is>
      </c>
      <c r="B337" s="57" t="n">
        <v>6</v>
      </c>
      <c r="C337" s="57" t="inlineStr">
        <is>
          <t>Date of harvest</t>
        </is>
      </c>
      <c r="D337" s="57" t="inlineStr"/>
      <c r="E337" s="57" t="inlineStr">
        <is>
          <t>2026-08-18</t>
        </is>
      </c>
      <c r="F337" s="57" t="inlineStr">
        <is>
          <t>date_forced:Recorded on sheet (first row); applied to all rows</t>
        </is>
      </c>
    </row>
    <row r="338" ht="25" customHeight="1" s="55">
      <c r="A338" s="57" t="inlineStr">
        <is>
          <t>High Tunnel Harvest Sixth</t>
        </is>
      </c>
      <c r="B338" s="57" t="n">
        <v>7</v>
      </c>
      <c r="C338" s="57" t="inlineStr">
        <is>
          <t>Genotypes</t>
        </is>
      </c>
      <c r="D338" s="57" t="inlineStr">
        <is>
          <t>UKYT 26-016</t>
        </is>
      </c>
      <c r="E338" s="57" t="inlineStr">
        <is>
          <t>UKYT-26-016</t>
        </is>
      </c>
      <c r="F338" s="57" t="inlineStr"/>
    </row>
    <row r="339" ht="25" customHeight="1" s="55">
      <c r="A339" s="57" t="inlineStr">
        <is>
          <t>High Tunnel Harvest Sixth</t>
        </is>
      </c>
      <c r="B339" s="57" t="n">
        <v>7</v>
      </c>
      <c r="C339" s="57" t="inlineStr">
        <is>
          <t>Location</t>
        </is>
      </c>
      <c r="D339" s="57" t="inlineStr">
        <is>
          <t xml:space="preserve">High Tunnel </t>
        </is>
      </c>
      <c r="E339" s="57" t="inlineStr">
        <is>
          <t>High tunnel</t>
        </is>
      </c>
      <c r="F339" s="57" t="inlineStr">
        <is>
          <t>forced_from_sheet_name</t>
        </is>
      </c>
    </row>
    <row r="340" ht="25" customHeight="1" s="55">
      <c r="A340" s="57" t="inlineStr">
        <is>
          <t>High Tunnel Harvest Sixth</t>
        </is>
      </c>
      <c r="B340" s="57" t="n">
        <v>7</v>
      </c>
      <c r="C340" s="57" t="inlineStr">
        <is>
          <t>Harvest</t>
        </is>
      </c>
      <c r="D340" s="57" t="inlineStr"/>
      <c r="E340" s="57" t="inlineStr">
        <is>
          <t>Sixth</t>
        </is>
      </c>
      <c r="F340" s="57" t="inlineStr">
        <is>
          <t>forced_from_sheet_name</t>
        </is>
      </c>
    </row>
    <row r="341" ht="25" customHeight="1" s="55">
      <c r="A341" s="57" t="inlineStr">
        <is>
          <t>High Tunnel Harvest Sixth</t>
        </is>
      </c>
      <c r="B341" s="57" t="n">
        <v>7</v>
      </c>
      <c r="C341" s="57" t="inlineStr">
        <is>
          <t>Date of harvest</t>
        </is>
      </c>
      <c r="D341" s="57" t="inlineStr"/>
      <c r="E341" s="57" t="inlineStr">
        <is>
          <t>2026-08-18</t>
        </is>
      </c>
      <c r="F341" s="57" t="inlineStr">
        <is>
          <t>date_forced:Recorded on sheet (first row); applied to all rows</t>
        </is>
      </c>
    </row>
    <row r="342" ht="25" customHeight="1" s="55">
      <c r="A342" s="57" t="inlineStr">
        <is>
          <t>High Tunnel Harvest Sixth</t>
        </is>
      </c>
      <c r="B342" s="57" t="n">
        <v>8</v>
      </c>
      <c r="C342" s="57" t="inlineStr">
        <is>
          <t>Genotypes</t>
        </is>
      </c>
      <c r="D342" s="57" t="inlineStr">
        <is>
          <t>UKYT 26-018</t>
        </is>
      </c>
      <c r="E342" s="57" t="inlineStr">
        <is>
          <t>UKYT-26-018</t>
        </is>
      </c>
      <c r="F342" s="57" t="inlineStr"/>
    </row>
    <row r="343" ht="25" customHeight="1" s="55">
      <c r="A343" s="57" t="inlineStr">
        <is>
          <t>High Tunnel Harvest Sixth</t>
        </is>
      </c>
      <c r="B343" s="57" t="n">
        <v>8</v>
      </c>
      <c r="C343" s="57" t="inlineStr">
        <is>
          <t>Location</t>
        </is>
      </c>
      <c r="D343" s="57" t="inlineStr">
        <is>
          <t xml:space="preserve">High Tunnel </t>
        </is>
      </c>
      <c r="E343" s="57" t="inlineStr">
        <is>
          <t>High tunnel</t>
        </is>
      </c>
      <c r="F343" s="57" t="inlineStr">
        <is>
          <t>forced_from_sheet_name</t>
        </is>
      </c>
    </row>
    <row r="344" ht="25" customHeight="1" s="55">
      <c r="A344" s="57" t="inlineStr">
        <is>
          <t>High Tunnel Harvest Sixth</t>
        </is>
      </c>
      <c r="B344" s="57" t="n">
        <v>8</v>
      </c>
      <c r="C344" s="57" t="inlineStr">
        <is>
          <t>Harvest</t>
        </is>
      </c>
      <c r="D344" s="57" t="inlineStr"/>
      <c r="E344" s="57" t="inlineStr">
        <is>
          <t>Sixth</t>
        </is>
      </c>
      <c r="F344" s="57" t="inlineStr">
        <is>
          <t>forced_from_sheet_name</t>
        </is>
      </c>
    </row>
    <row r="345" ht="25" customHeight="1" s="55">
      <c r="A345" s="57" t="inlineStr">
        <is>
          <t>High Tunnel Harvest Sixth</t>
        </is>
      </c>
      <c r="B345" s="57" t="n">
        <v>8</v>
      </c>
      <c r="C345" s="57" t="inlineStr">
        <is>
          <t>Date of harvest</t>
        </is>
      </c>
      <c r="D345" s="57" t="inlineStr"/>
      <c r="E345" s="57" t="inlineStr">
        <is>
          <t>2026-08-18</t>
        </is>
      </c>
      <c r="F345" s="57" t="inlineStr">
        <is>
          <t>date_forced:Recorded on sheet (first row); applied to all rows</t>
        </is>
      </c>
    </row>
    <row r="346" ht="25" customHeight="1" s="55">
      <c r="A346" s="57" t="inlineStr">
        <is>
          <t>High Tunnel Harvest Sixth</t>
        </is>
      </c>
      <c r="B346" s="57" t="n">
        <v>9</v>
      </c>
      <c r="C346" s="57" t="inlineStr">
        <is>
          <t>Genotypes</t>
        </is>
      </c>
      <c r="D346" s="57" t="inlineStr">
        <is>
          <t>UKyt 26-024</t>
        </is>
      </c>
      <c r="E346" s="57" t="inlineStr">
        <is>
          <t>UKYT-26-024</t>
        </is>
      </c>
      <c r="F346" s="57" t="inlineStr"/>
    </row>
    <row r="347" ht="25" customHeight="1" s="55">
      <c r="A347" s="57" t="inlineStr">
        <is>
          <t>High Tunnel Harvest Sixth</t>
        </is>
      </c>
      <c r="B347" s="57" t="n">
        <v>9</v>
      </c>
      <c r="C347" s="57" t="inlineStr">
        <is>
          <t>Location</t>
        </is>
      </c>
      <c r="D347" s="57" t="inlineStr">
        <is>
          <t xml:space="preserve">High Tunnel </t>
        </is>
      </c>
      <c r="E347" s="57" t="inlineStr">
        <is>
          <t>High tunnel</t>
        </is>
      </c>
      <c r="F347" s="57" t="inlineStr">
        <is>
          <t>forced_from_sheet_name</t>
        </is>
      </c>
    </row>
    <row r="348" ht="25" customHeight="1" s="55">
      <c r="A348" s="57" t="inlineStr">
        <is>
          <t>High Tunnel Harvest Sixth</t>
        </is>
      </c>
      <c r="B348" s="57" t="n">
        <v>9</v>
      </c>
      <c r="C348" s="57" t="inlineStr">
        <is>
          <t>Harvest</t>
        </is>
      </c>
      <c r="D348" s="57" t="inlineStr"/>
      <c r="E348" s="57" t="inlineStr">
        <is>
          <t>Sixth</t>
        </is>
      </c>
      <c r="F348" s="57" t="inlineStr">
        <is>
          <t>forced_from_sheet_name</t>
        </is>
      </c>
    </row>
    <row r="349" ht="25" customHeight="1" s="55">
      <c r="A349" s="57" t="inlineStr">
        <is>
          <t>High Tunnel Harvest Sixth</t>
        </is>
      </c>
      <c r="B349" s="57" t="n">
        <v>9</v>
      </c>
      <c r="C349" s="57" t="inlineStr">
        <is>
          <t>Date of harvest</t>
        </is>
      </c>
      <c r="D349" s="57" t="inlineStr"/>
      <c r="E349" s="57" t="inlineStr">
        <is>
          <t>2026-08-18</t>
        </is>
      </c>
      <c r="F349" s="57" t="inlineStr">
        <is>
          <t>date_forced:Recorded on sheet (first row); applied to all rows</t>
        </is>
      </c>
    </row>
    <row r="350" ht="25" customHeight="1" s="55">
      <c r="A350" s="57" t="inlineStr">
        <is>
          <t>High Tunnel Harvest Sixth</t>
        </is>
      </c>
      <c r="B350" s="57" t="n">
        <v>10</v>
      </c>
      <c r="C350" s="57" t="inlineStr">
        <is>
          <t>Genotypes</t>
        </is>
      </c>
      <c r="D350" s="57" t="inlineStr">
        <is>
          <t>UKYT 26-019</t>
        </is>
      </c>
      <c r="E350" s="57" t="inlineStr">
        <is>
          <t>UKYT-26-019</t>
        </is>
      </c>
      <c r="F350" s="57" t="inlineStr"/>
    </row>
    <row r="351" ht="25" customHeight="1" s="55">
      <c r="A351" s="57" t="inlineStr">
        <is>
          <t>High Tunnel Harvest Sixth</t>
        </is>
      </c>
      <c r="B351" s="57" t="n">
        <v>10</v>
      </c>
      <c r="C351" s="57" t="inlineStr">
        <is>
          <t>Location</t>
        </is>
      </c>
      <c r="D351" s="57" t="inlineStr">
        <is>
          <t xml:space="preserve">High Tunnel </t>
        </is>
      </c>
      <c r="E351" s="57" t="inlineStr">
        <is>
          <t>High tunnel</t>
        </is>
      </c>
      <c r="F351" s="57" t="inlineStr">
        <is>
          <t>forced_from_sheet_name</t>
        </is>
      </c>
    </row>
    <row r="352" ht="25" customHeight="1" s="55">
      <c r="A352" s="57" t="inlineStr">
        <is>
          <t>High Tunnel Harvest Sixth</t>
        </is>
      </c>
      <c r="B352" s="57" t="n">
        <v>10</v>
      </c>
      <c r="C352" s="57" t="inlineStr">
        <is>
          <t>Harvest</t>
        </is>
      </c>
      <c r="D352" s="57" t="inlineStr"/>
      <c r="E352" s="57" t="inlineStr">
        <is>
          <t>Sixth</t>
        </is>
      </c>
      <c r="F352" s="57" t="inlineStr">
        <is>
          <t>forced_from_sheet_name</t>
        </is>
      </c>
    </row>
    <row r="353" ht="25" customHeight="1" s="55">
      <c r="A353" s="57" t="inlineStr">
        <is>
          <t>High Tunnel Harvest Sixth</t>
        </is>
      </c>
      <c r="B353" s="57" t="n">
        <v>10</v>
      </c>
      <c r="C353" s="57" t="inlineStr">
        <is>
          <t>Date of harvest</t>
        </is>
      </c>
      <c r="D353" s="57" t="inlineStr"/>
      <c r="E353" s="57" t="inlineStr">
        <is>
          <t>2026-08-18</t>
        </is>
      </c>
      <c r="F353" s="57" t="inlineStr">
        <is>
          <t>date_forced:Recorded on sheet (first row); applied to all rows</t>
        </is>
      </c>
    </row>
    <row r="354" ht="25" customHeight="1" s="55">
      <c r="A354" s="57" t="inlineStr">
        <is>
          <t>High Tunnel Harvest Sixth</t>
        </is>
      </c>
      <c r="B354" s="57" t="n">
        <v>11</v>
      </c>
      <c r="C354" s="57" t="inlineStr">
        <is>
          <t>Genotypes</t>
        </is>
      </c>
      <c r="D354" s="57" t="inlineStr">
        <is>
          <t>UKYT 26-020</t>
        </is>
      </c>
      <c r="E354" s="57" t="inlineStr">
        <is>
          <t>UKYT-26-020</t>
        </is>
      </c>
      <c r="F354" s="57" t="inlineStr"/>
    </row>
    <row r="355" ht="25" customHeight="1" s="55">
      <c r="A355" s="57" t="inlineStr">
        <is>
          <t>High Tunnel Harvest Sixth</t>
        </is>
      </c>
      <c r="B355" s="57" t="n">
        <v>11</v>
      </c>
      <c r="C355" s="57" t="inlineStr">
        <is>
          <t>Location</t>
        </is>
      </c>
      <c r="D355" s="57" t="inlineStr">
        <is>
          <t xml:space="preserve">High Tunnel </t>
        </is>
      </c>
      <c r="E355" s="57" t="inlineStr">
        <is>
          <t>High tunnel</t>
        </is>
      </c>
      <c r="F355" s="57" t="inlineStr">
        <is>
          <t>forced_from_sheet_name</t>
        </is>
      </c>
    </row>
    <row r="356" ht="25" customHeight="1" s="55">
      <c r="A356" s="57" t="inlineStr">
        <is>
          <t>High Tunnel Harvest Sixth</t>
        </is>
      </c>
      <c r="B356" s="57" t="n">
        <v>11</v>
      </c>
      <c r="C356" s="57" t="inlineStr">
        <is>
          <t>Harvest</t>
        </is>
      </c>
      <c r="D356" s="57" t="inlineStr"/>
      <c r="E356" s="57" t="inlineStr">
        <is>
          <t>Sixth</t>
        </is>
      </c>
      <c r="F356" s="57" t="inlineStr">
        <is>
          <t>forced_from_sheet_name</t>
        </is>
      </c>
    </row>
    <row r="357" ht="25" customHeight="1" s="55">
      <c r="A357" s="57" t="inlineStr">
        <is>
          <t>High Tunnel Harvest Sixth</t>
        </is>
      </c>
      <c r="B357" s="57" t="n">
        <v>11</v>
      </c>
      <c r="C357" s="57" t="inlineStr">
        <is>
          <t>Date of harvest</t>
        </is>
      </c>
      <c r="D357" s="57" t="inlineStr"/>
      <c r="E357" s="57" t="inlineStr">
        <is>
          <t>2026-08-18</t>
        </is>
      </c>
      <c r="F357" s="57" t="inlineStr">
        <is>
          <t>date_forced:Recorded on sheet (first row); applied to all rows</t>
        </is>
      </c>
    </row>
    <row r="358" ht="25" customHeight="1" s="55">
      <c r="A358" s="57" t="inlineStr">
        <is>
          <t>High Tunnel Harvest Sixth</t>
        </is>
      </c>
      <c r="B358" s="57" t="n">
        <v>12</v>
      </c>
      <c r="C358" s="57" t="inlineStr">
        <is>
          <t>Genotypes</t>
        </is>
      </c>
      <c r="D358" s="57" t="inlineStr">
        <is>
          <t>UKYT 26-023</t>
        </is>
      </c>
      <c r="E358" s="57" t="inlineStr">
        <is>
          <t>UKYT-26-023</t>
        </is>
      </c>
      <c r="F358" s="57" t="inlineStr"/>
    </row>
    <row r="359" ht="25" customHeight="1" s="55">
      <c r="A359" s="57" t="inlineStr">
        <is>
          <t>High Tunnel Harvest Sixth</t>
        </is>
      </c>
      <c r="B359" s="57" t="n">
        <v>12</v>
      </c>
      <c r="C359" s="57" t="inlineStr">
        <is>
          <t>Location</t>
        </is>
      </c>
      <c r="D359" s="57" t="inlineStr">
        <is>
          <t xml:space="preserve">High Tunnel </t>
        </is>
      </c>
      <c r="E359" s="57" t="inlineStr">
        <is>
          <t>High tunnel</t>
        </is>
      </c>
      <c r="F359" s="57" t="inlineStr">
        <is>
          <t>forced_from_sheet_name</t>
        </is>
      </c>
    </row>
    <row r="360" ht="25" customHeight="1" s="55">
      <c r="A360" s="57" t="inlineStr">
        <is>
          <t>High Tunnel Harvest Sixth</t>
        </is>
      </c>
      <c r="B360" s="57" t="n">
        <v>12</v>
      </c>
      <c r="C360" s="57" t="inlineStr">
        <is>
          <t>Harvest</t>
        </is>
      </c>
      <c r="D360" s="57" t="inlineStr"/>
      <c r="E360" s="57" t="inlineStr">
        <is>
          <t>Sixth</t>
        </is>
      </c>
      <c r="F360" s="57" t="inlineStr">
        <is>
          <t>forced_from_sheet_name</t>
        </is>
      </c>
    </row>
    <row r="361" ht="25" customHeight="1" s="55">
      <c r="A361" s="57" t="inlineStr">
        <is>
          <t>High Tunnel Harvest Sixth</t>
        </is>
      </c>
      <c r="B361" s="57" t="n">
        <v>12</v>
      </c>
      <c r="C361" s="57" t="inlineStr">
        <is>
          <t>Date of harvest</t>
        </is>
      </c>
      <c r="D361" s="57" t="inlineStr"/>
      <c r="E361" s="57" t="inlineStr">
        <is>
          <t>2026-08-18</t>
        </is>
      </c>
      <c r="F361" s="57" t="inlineStr">
        <is>
          <t>date_forced:Recorded on sheet (first row); applied to all rows</t>
        </is>
      </c>
    </row>
    <row r="362" ht="25" customHeight="1" s="55">
      <c r="A362" s="57" t="inlineStr">
        <is>
          <t>High Tunnel Harvest Sixth</t>
        </is>
      </c>
      <c r="B362" s="57" t="n">
        <v>13</v>
      </c>
      <c r="C362" s="57" t="inlineStr">
        <is>
          <t>Genotypes</t>
        </is>
      </c>
      <c r="D362" s="57" t="inlineStr">
        <is>
          <t>UKYT 26-022</t>
        </is>
      </c>
      <c r="E362" s="57" t="inlineStr">
        <is>
          <t>UKYT-26-022</t>
        </is>
      </c>
      <c r="F362" s="57" t="inlineStr"/>
    </row>
    <row r="363" ht="25" customHeight="1" s="55">
      <c r="A363" s="57" t="inlineStr">
        <is>
          <t>High Tunnel Harvest Sixth</t>
        </is>
      </c>
      <c r="B363" s="57" t="n">
        <v>13</v>
      </c>
      <c r="C363" s="57" t="inlineStr">
        <is>
          <t>Location</t>
        </is>
      </c>
      <c r="D363" s="57" t="inlineStr">
        <is>
          <t xml:space="preserve">High Tunnel </t>
        </is>
      </c>
      <c r="E363" s="57" t="inlineStr">
        <is>
          <t>High tunnel</t>
        </is>
      </c>
      <c r="F363" s="57" t="inlineStr">
        <is>
          <t>forced_from_sheet_name</t>
        </is>
      </c>
    </row>
    <row r="364" ht="25" customHeight="1" s="55">
      <c r="A364" s="57" t="inlineStr">
        <is>
          <t>High Tunnel Harvest Sixth</t>
        </is>
      </c>
      <c r="B364" s="57" t="n">
        <v>13</v>
      </c>
      <c r="C364" s="57" t="inlineStr">
        <is>
          <t>Harvest</t>
        </is>
      </c>
      <c r="D364" s="57" t="inlineStr"/>
      <c r="E364" s="57" t="inlineStr">
        <is>
          <t>Sixth</t>
        </is>
      </c>
      <c r="F364" s="57" t="inlineStr">
        <is>
          <t>forced_from_sheet_name</t>
        </is>
      </c>
    </row>
    <row r="365" ht="25" customHeight="1" s="55">
      <c r="A365" s="57" t="inlineStr">
        <is>
          <t>High Tunnel Harvest Sixth</t>
        </is>
      </c>
      <c r="B365" s="57" t="n">
        <v>13</v>
      </c>
      <c r="C365" s="57" t="inlineStr">
        <is>
          <t>Date of harvest</t>
        </is>
      </c>
      <c r="D365" s="57" t="inlineStr"/>
      <c r="E365" s="57" t="inlineStr">
        <is>
          <t>2026-08-18</t>
        </is>
      </c>
      <c r="F365" s="57" t="inlineStr">
        <is>
          <t>date_forced:Recorded on sheet (first row); applied to all rows</t>
        </is>
      </c>
    </row>
    <row r="366" ht="25" customHeight="1" s="55">
      <c r="A366" s="57" t="inlineStr">
        <is>
          <t>High Tunnel Harvest Sixth</t>
        </is>
      </c>
      <c r="B366" s="57" t="n">
        <v>14</v>
      </c>
      <c r="C366" s="57" t="inlineStr">
        <is>
          <t>Genotypes</t>
        </is>
      </c>
      <c r="D366" s="57" t="inlineStr">
        <is>
          <t>UKYT 26-027</t>
        </is>
      </c>
      <c r="E366" s="57" t="inlineStr">
        <is>
          <t>UKYT-26-027</t>
        </is>
      </c>
      <c r="F366" s="57" t="inlineStr"/>
    </row>
    <row r="367" ht="25" customHeight="1" s="55">
      <c r="A367" s="57" t="inlineStr">
        <is>
          <t>High Tunnel Harvest Sixth</t>
        </is>
      </c>
      <c r="B367" s="57" t="n">
        <v>14</v>
      </c>
      <c r="C367" s="57" t="inlineStr">
        <is>
          <t>Location</t>
        </is>
      </c>
      <c r="D367" s="57" t="inlineStr">
        <is>
          <t xml:space="preserve">High Tunnel </t>
        </is>
      </c>
      <c r="E367" s="57" t="inlineStr">
        <is>
          <t>High tunnel</t>
        </is>
      </c>
      <c r="F367" s="57" t="inlineStr">
        <is>
          <t>forced_from_sheet_name</t>
        </is>
      </c>
    </row>
    <row r="368" ht="25" customHeight="1" s="55">
      <c r="A368" s="57" t="inlineStr">
        <is>
          <t>High Tunnel Harvest Sixth</t>
        </is>
      </c>
      <c r="B368" s="57" t="n">
        <v>14</v>
      </c>
      <c r="C368" s="57" t="inlineStr">
        <is>
          <t>Harvest</t>
        </is>
      </c>
      <c r="D368" s="57" t="inlineStr"/>
      <c r="E368" s="57" t="inlineStr">
        <is>
          <t>Sixth</t>
        </is>
      </c>
      <c r="F368" s="57" t="inlineStr">
        <is>
          <t>forced_from_sheet_name</t>
        </is>
      </c>
    </row>
    <row r="369" ht="25" customHeight="1" s="55">
      <c r="A369" s="57" t="inlineStr">
        <is>
          <t>High Tunnel Harvest Sixth</t>
        </is>
      </c>
      <c r="B369" s="57" t="n">
        <v>14</v>
      </c>
      <c r="C369" s="57" t="inlineStr">
        <is>
          <t>Date of harvest</t>
        </is>
      </c>
      <c r="D369" s="57" t="inlineStr"/>
      <c r="E369" s="57" t="inlineStr">
        <is>
          <t>2026-08-18</t>
        </is>
      </c>
      <c r="F369" s="57" t="inlineStr">
        <is>
          <t>date_forced:Recorded on sheet (first row); applied to all rows</t>
        </is>
      </c>
    </row>
    <row r="370" ht="25" customHeight="1" s="55">
      <c r="A370" s="57" t="inlineStr">
        <is>
          <t>High Tunnel Harvest Sixth</t>
        </is>
      </c>
      <c r="B370" s="57" t="n">
        <v>15</v>
      </c>
      <c r="C370" s="57" t="inlineStr">
        <is>
          <t>Location</t>
        </is>
      </c>
      <c r="D370" s="57" t="inlineStr">
        <is>
          <t xml:space="preserve">High Tunnel </t>
        </is>
      </c>
      <c r="E370" s="57" t="inlineStr">
        <is>
          <t>High tunnel</t>
        </is>
      </c>
      <c r="F370" s="57" t="inlineStr">
        <is>
          <t>forced_from_sheet_name</t>
        </is>
      </c>
    </row>
    <row r="371" ht="25" customHeight="1" s="55">
      <c r="A371" s="57" t="inlineStr">
        <is>
          <t>High Tunnel Harvest Sixth</t>
        </is>
      </c>
      <c r="B371" s="57" t="n">
        <v>15</v>
      </c>
      <c r="C371" s="57" t="inlineStr">
        <is>
          <t>Harvest</t>
        </is>
      </c>
      <c r="D371" s="57" t="inlineStr"/>
      <c r="E371" s="57" t="inlineStr">
        <is>
          <t>Sixth</t>
        </is>
      </c>
      <c r="F371" s="57" t="inlineStr">
        <is>
          <t>forced_from_sheet_name</t>
        </is>
      </c>
    </row>
    <row r="372" ht="25" customHeight="1" s="55">
      <c r="A372" s="57" t="inlineStr">
        <is>
          <t>High Tunnel Harvest Sixth</t>
        </is>
      </c>
      <c r="B372" s="57" t="n">
        <v>15</v>
      </c>
      <c r="C372" s="57" t="inlineStr">
        <is>
          <t>Date of harvest</t>
        </is>
      </c>
      <c r="D372" s="57" t="inlineStr"/>
      <c r="E372" s="57" t="inlineStr">
        <is>
          <t>2026-08-18</t>
        </is>
      </c>
      <c r="F372" s="57" t="inlineStr">
        <is>
          <t>date_forced:Recorded on sheet (first row); applied to all rows</t>
        </is>
      </c>
    </row>
    <row r="373" ht="25" customHeight="1" s="55">
      <c r="A373" s="57" t="inlineStr">
        <is>
          <t>High Tunnel Harvest Sixth</t>
        </is>
      </c>
      <c r="B373" s="57" t="n">
        <v>16</v>
      </c>
      <c r="C373" s="57" t="inlineStr">
        <is>
          <t>Genotypes</t>
        </is>
      </c>
      <c r="D373" s="57" t="inlineStr">
        <is>
          <t>UKYT 26-026</t>
        </is>
      </c>
      <c r="E373" s="57" t="inlineStr">
        <is>
          <t>UKYT-26-026</t>
        </is>
      </c>
      <c r="F373" s="57" t="inlineStr"/>
    </row>
    <row r="374" ht="25" customHeight="1" s="55">
      <c r="A374" s="57" t="inlineStr">
        <is>
          <t>High Tunnel Harvest Sixth</t>
        </is>
      </c>
      <c r="B374" s="57" t="n">
        <v>16</v>
      </c>
      <c r="C374" s="57" t="inlineStr">
        <is>
          <t>Location</t>
        </is>
      </c>
      <c r="D374" s="57" t="inlineStr">
        <is>
          <t xml:space="preserve">High Tunnel </t>
        </is>
      </c>
      <c r="E374" s="57" t="inlineStr">
        <is>
          <t>High tunnel</t>
        </is>
      </c>
      <c r="F374" s="57" t="inlineStr">
        <is>
          <t>forced_from_sheet_name</t>
        </is>
      </c>
    </row>
    <row r="375" ht="25" customHeight="1" s="55">
      <c r="A375" s="57" t="inlineStr">
        <is>
          <t>High Tunnel Harvest Sixth</t>
        </is>
      </c>
      <c r="B375" s="57" t="n">
        <v>16</v>
      </c>
      <c r="C375" s="57" t="inlineStr">
        <is>
          <t>Harvest</t>
        </is>
      </c>
      <c r="D375" s="57" t="inlineStr"/>
      <c r="E375" s="57" t="inlineStr">
        <is>
          <t>Sixth</t>
        </is>
      </c>
      <c r="F375" s="57" t="inlineStr">
        <is>
          <t>forced_from_sheet_name</t>
        </is>
      </c>
    </row>
    <row r="376" ht="25" customHeight="1" s="55">
      <c r="A376" s="57" t="inlineStr">
        <is>
          <t>High Tunnel Harvest Sixth</t>
        </is>
      </c>
      <c r="B376" s="57" t="n">
        <v>16</v>
      </c>
      <c r="C376" s="57" t="inlineStr">
        <is>
          <t>Date of harvest</t>
        </is>
      </c>
      <c r="D376" s="57" t="inlineStr"/>
      <c r="E376" s="57" t="inlineStr">
        <is>
          <t>2026-08-18</t>
        </is>
      </c>
      <c r="F376" s="57" t="inlineStr">
        <is>
          <t>date_forced:Recorded on sheet (first row); applied to all rows</t>
        </is>
      </c>
    </row>
    <row r="377" ht="25" customHeight="1" s="55">
      <c r="A377" s="57" t="inlineStr">
        <is>
          <t>High Tunnel Harvest Sixth</t>
        </is>
      </c>
      <c r="B377" s="57" t="n">
        <v>17</v>
      </c>
      <c r="C377" s="57" t="inlineStr">
        <is>
          <t>Genotypes</t>
        </is>
      </c>
      <c r="D377" s="57" t="inlineStr">
        <is>
          <t>UKYT 26-033</t>
        </is>
      </c>
      <c r="E377" s="57" t="inlineStr">
        <is>
          <t>UKYT-26-033</t>
        </is>
      </c>
      <c r="F377" s="57" t="inlineStr"/>
    </row>
    <row r="378" ht="25" customHeight="1" s="55">
      <c r="A378" s="57" t="inlineStr">
        <is>
          <t>High Tunnel Harvest Sixth</t>
        </is>
      </c>
      <c r="B378" s="57" t="n">
        <v>17</v>
      </c>
      <c r="C378" s="57" t="inlineStr">
        <is>
          <t>Location</t>
        </is>
      </c>
      <c r="D378" s="57" t="inlineStr">
        <is>
          <t xml:space="preserve">High Tunnel </t>
        </is>
      </c>
      <c r="E378" s="57" t="inlineStr">
        <is>
          <t>High tunnel</t>
        </is>
      </c>
      <c r="F378" s="57" t="inlineStr">
        <is>
          <t>forced_from_sheet_name</t>
        </is>
      </c>
    </row>
    <row r="379" ht="25" customHeight="1" s="55">
      <c r="A379" s="57" t="inlineStr">
        <is>
          <t>High Tunnel Harvest Sixth</t>
        </is>
      </c>
      <c r="B379" s="57" t="n">
        <v>17</v>
      </c>
      <c r="C379" s="57" t="inlineStr">
        <is>
          <t>Harvest</t>
        </is>
      </c>
      <c r="D379" s="57" t="inlineStr"/>
      <c r="E379" s="57" t="inlineStr">
        <is>
          <t>Sixth</t>
        </is>
      </c>
      <c r="F379" s="57" t="inlineStr">
        <is>
          <t>forced_from_sheet_name</t>
        </is>
      </c>
    </row>
    <row r="380" ht="25" customHeight="1" s="55">
      <c r="A380" s="57" t="inlineStr">
        <is>
          <t>High Tunnel Harvest Sixth</t>
        </is>
      </c>
      <c r="B380" s="57" t="n">
        <v>17</v>
      </c>
      <c r="C380" s="57" t="inlineStr">
        <is>
          <t>Date of harvest</t>
        </is>
      </c>
      <c r="D380" s="57" t="inlineStr"/>
      <c r="E380" s="57" t="inlineStr">
        <is>
          <t>2026-08-18</t>
        </is>
      </c>
      <c r="F380" s="57" t="inlineStr">
        <is>
          <t>date_forced:Recorded on sheet (first row); applied to all rows</t>
        </is>
      </c>
    </row>
    <row r="381" ht="25" customHeight="1" s="55">
      <c r="A381" s="57" t="inlineStr">
        <is>
          <t>High Tunnel Harvest Sixth</t>
        </is>
      </c>
      <c r="B381" s="57" t="n">
        <v>18</v>
      </c>
      <c r="C381" s="57" t="inlineStr">
        <is>
          <t>Genotypes</t>
        </is>
      </c>
      <c r="D381" s="57" t="inlineStr">
        <is>
          <t>UKYT 26-028</t>
        </is>
      </c>
      <c r="E381" s="57" t="inlineStr">
        <is>
          <t>UKYT-26-028</t>
        </is>
      </c>
      <c r="F381" s="57" t="inlineStr"/>
    </row>
    <row r="382" ht="25" customHeight="1" s="55">
      <c r="A382" s="57" t="inlineStr">
        <is>
          <t>High Tunnel Harvest Sixth</t>
        </is>
      </c>
      <c r="B382" s="57" t="n">
        <v>18</v>
      </c>
      <c r="C382" s="57" t="inlineStr">
        <is>
          <t>Location</t>
        </is>
      </c>
      <c r="D382" s="57" t="inlineStr">
        <is>
          <t xml:space="preserve">High Tunnel </t>
        </is>
      </c>
      <c r="E382" s="57" t="inlineStr">
        <is>
          <t>High tunnel</t>
        </is>
      </c>
      <c r="F382" s="57" t="inlineStr">
        <is>
          <t>forced_from_sheet_name</t>
        </is>
      </c>
    </row>
    <row r="383" ht="25" customHeight="1" s="55">
      <c r="A383" s="57" t="inlineStr">
        <is>
          <t>High Tunnel Harvest Sixth</t>
        </is>
      </c>
      <c r="B383" s="57" t="n">
        <v>18</v>
      </c>
      <c r="C383" s="57" t="inlineStr">
        <is>
          <t>Harvest</t>
        </is>
      </c>
      <c r="D383" s="57" t="inlineStr"/>
      <c r="E383" s="57" t="inlineStr">
        <is>
          <t>Sixth</t>
        </is>
      </c>
      <c r="F383" s="57" t="inlineStr">
        <is>
          <t>forced_from_sheet_name</t>
        </is>
      </c>
    </row>
    <row r="384" ht="25" customHeight="1" s="55">
      <c r="A384" s="57" t="inlineStr">
        <is>
          <t>High Tunnel Harvest Sixth</t>
        </is>
      </c>
      <c r="B384" s="57" t="n">
        <v>18</v>
      </c>
      <c r="C384" s="57" t="inlineStr">
        <is>
          <t>Date of harvest</t>
        </is>
      </c>
      <c r="D384" s="57" t="inlineStr"/>
      <c r="E384" s="57" t="inlineStr">
        <is>
          <t>2026-08-18</t>
        </is>
      </c>
      <c r="F384" s="57" t="inlineStr">
        <is>
          <t>date_forced:Recorded on sheet (first row); applied to all rows</t>
        </is>
      </c>
    </row>
    <row r="385" ht="25" customHeight="1" s="55">
      <c r="A385" s="57" t="inlineStr">
        <is>
          <t>High Tunnel Harvest Sixth</t>
        </is>
      </c>
      <c r="B385" s="57" t="n">
        <v>19</v>
      </c>
      <c r="C385" s="57" t="inlineStr">
        <is>
          <t>Genotypes</t>
        </is>
      </c>
      <c r="D385" s="57" t="inlineStr">
        <is>
          <t>UKYT 26-029</t>
        </is>
      </c>
      <c r="E385" s="57" t="inlineStr">
        <is>
          <t>UKYT-26-029</t>
        </is>
      </c>
      <c r="F385" s="57" t="inlineStr"/>
    </row>
    <row r="386" ht="25" customHeight="1" s="55">
      <c r="A386" s="57" t="inlineStr">
        <is>
          <t>High Tunnel Harvest Sixth</t>
        </is>
      </c>
      <c r="B386" s="57" t="n">
        <v>19</v>
      </c>
      <c r="C386" s="57" t="inlineStr">
        <is>
          <t>Location</t>
        </is>
      </c>
      <c r="D386" s="57" t="inlineStr">
        <is>
          <t xml:space="preserve">High Tunnel </t>
        </is>
      </c>
      <c r="E386" s="57" t="inlineStr">
        <is>
          <t>High tunnel</t>
        </is>
      </c>
      <c r="F386" s="57" t="inlineStr">
        <is>
          <t>forced_from_sheet_name</t>
        </is>
      </c>
    </row>
    <row r="387" ht="25" customHeight="1" s="55">
      <c r="A387" s="57" t="inlineStr">
        <is>
          <t>High Tunnel Harvest Sixth</t>
        </is>
      </c>
      <c r="B387" s="57" t="n">
        <v>19</v>
      </c>
      <c r="C387" s="57" t="inlineStr">
        <is>
          <t>Harvest</t>
        </is>
      </c>
      <c r="D387" s="57" t="inlineStr"/>
      <c r="E387" s="57" t="inlineStr">
        <is>
          <t>Sixth</t>
        </is>
      </c>
      <c r="F387" s="57" t="inlineStr">
        <is>
          <t>forced_from_sheet_name</t>
        </is>
      </c>
    </row>
    <row r="388" ht="25" customHeight="1" s="55">
      <c r="A388" s="57" t="inlineStr">
        <is>
          <t>High Tunnel Harvest Sixth</t>
        </is>
      </c>
      <c r="B388" s="57" t="n">
        <v>19</v>
      </c>
      <c r="C388" s="57" t="inlineStr">
        <is>
          <t>Date of harvest</t>
        </is>
      </c>
      <c r="D388" s="57" t="inlineStr"/>
      <c r="E388" s="57" t="inlineStr">
        <is>
          <t>2026-08-18</t>
        </is>
      </c>
      <c r="F388" s="57" t="inlineStr">
        <is>
          <t>date_forced:Recorded on sheet (first row); applied to all rows</t>
        </is>
      </c>
    </row>
    <row r="389" ht="25" customHeight="1" s="55">
      <c r="A389" s="57" t="inlineStr">
        <is>
          <t>High Tunnel Harvest Sixth</t>
        </is>
      </c>
      <c r="B389" s="57" t="n">
        <v>20</v>
      </c>
      <c r="C389" s="57" t="inlineStr">
        <is>
          <t>Genotypes</t>
        </is>
      </c>
      <c r="D389" s="57" t="inlineStr">
        <is>
          <t>UKYT 26-035</t>
        </is>
      </c>
      <c r="E389" s="57" t="inlineStr">
        <is>
          <t>UKYT-26-035</t>
        </is>
      </c>
      <c r="F389" s="57" t="inlineStr"/>
    </row>
    <row r="390" ht="25" customHeight="1" s="55">
      <c r="A390" s="57" t="inlineStr">
        <is>
          <t>High Tunnel Harvest Sixth</t>
        </is>
      </c>
      <c r="B390" s="57" t="n">
        <v>20</v>
      </c>
      <c r="C390" s="57" t="inlineStr">
        <is>
          <t>Location</t>
        </is>
      </c>
      <c r="D390" s="57" t="inlineStr">
        <is>
          <t xml:space="preserve">High Tunnel </t>
        </is>
      </c>
      <c r="E390" s="57" t="inlineStr">
        <is>
          <t>High tunnel</t>
        </is>
      </c>
      <c r="F390" s="57" t="inlineStr">
        <is>
          <t>forced_from_sheet_name</t>
        </is>
      </c>
    </row>
    <row r="391" ht="25" customHeight="1" s="55">
      <c r="A391" s="57" t="inlineStr">
        <is>
          <t>High Tunnel Harvest Sixth</t>
        </is>
      </c>
      <c r="B391" s="57" t="n">
        <v>20</v>
      </c>
      <c r="C391" s="57" t="inlineStr">
        <is>
          <t>Harvest</t>
        </is>
      </c>
      <c r="D391" s="57" t="inlineStr"/>
      <c r="E391" s="57" t="inlineStr">
        <is>
          <t>Sixth</t>
        </is>
      </c>
      <c r="F391" s="57" t="inlineStr">
        <is>
          <t>forced_from_sheet_name</t>
        </is>
      </c>
    </row>
    <row r="392" ht="25" customHeight="1" s="55">
      <c r="A392" s="57" t="inlineStr">
        <is>
          <t>High Tunnel Harvest Sixth</t>
        </is>
      </c>
      <c r="B392" s="57" t="n">
        <v>20</v>
      </c>
      <c r="C392" s="57" t="inlineStr">
        <is>
          <t>Date of harvest</t>
        </is>
      </c>
      <c r="D392" s="57" t="inlineStr"/>
      <c r="E392" s="57" t="inlineStr">
        <is>
          <t>2026-08-18</t>
        </is>
      </c>
      <c r="F392" s="57" t="inlineStr">
        <is>
          <t>date_forced:Recorded on sheet (first row); applied to all rows</t>
        </is>
      </c>
    </row>
    <row r="393" ht="25" customHeight="1" s="55">
      <c r="A393" s="57" t="inlineStr">
        <is>
          <t>High Tunnel Harvest Sixth</t>
        </is>
      </c>
      <c r="B393" s="57" t="n">
        <v>21</v>
      </c>
      <c r="C393" s="57" t="inlineStr">
        <is>
          <t>Genotypes</t>
        </is>
      </c>
      <c r="D393" s="57" t="inlineStr">
        <is>
          <t>UKYT 26-031</t>
        </is>
      </c>
      <c r="E393" s="57" t="inlineStr">
        <is>
          <t>UKYT-26-031</t>
        </is>
      </c>
      <c r="F393" s="57" t="inlineStr"/>
    </row>
    <row r="394" ht="25" customHeight="1" s="55">
      <c r="A394" s="57" t="inlineStr">
        <is>
          <t>High Tunnel Harvest Sixth</t>
        </is>
      </c>
      <c r="B394" s="57" t="n">
        <v>21</v>
      </c>
      <c r="C394" s="57" t="inlineStr">
        <is>
          <t>Location</t>
        </is>
      </c>
      <c r="D394" s="57" t="inlineStr">
        <is>
          <t xml:space="preserve">High Tunnel </t>
        </is>
      </c>
      <c r="E394" s="57" t="inlineStr">
        <is>
          <t>High tunnel</t>
        </is>
      </c>
      <c r="F394" s="57" t="inlineStr">
        <is>
          <t>forced_from_sheet_name</t>
        </is>
      </c>
    </row>
    <row r="395" ht="25" customHeight="1" s="55">
      <c r="A395" s="57" t="inlineStr">
        <is>
          <t>High Tunnel Harvest Sixth</t>
        </is>
      </c>
      <c r="B395" s="57" t="n">
        <v>21</v>
      </c>
      <c r="C395" s="57" t="inlineStr">
        <is>
          <t>Harvest</t>
        </is>
      </c>
      <c r="D395" s="57" t="inlineStr"/>
      <c r="E395" s="57" t="inlineStr">
        <is>
          <t>Sixth</t>
        </is>
      </c>
      <c r="F395" s="57" t="inlineStr">
        <is>
          <t>forced_from_sheet_name</t>
        </is>
      </c>
    </row>
    <row r="396" ht="25" customHeight="1" s="55">
      <c r="A396" s="57" t="inlineStr">
        <is>
          <t>High Tunnel Harvest Sixth</t>
        </is>
      </c>
      <c r="B396" s="57" t="n">
        <v>21</v>
      </c>
      <c r="C396" s="57" t="inlineStr">
        <is>
          <t>Date of harvest</t>
        </is>
      </c>
      <c r="D396" s="57" t="inlineStr"/>
      <c r="E396" s="57" t="inlineStr">
        <is>
          <t>2026-08-18</t>
        </is>
      </c>
      <c r="F396" s="57" t="inlineStr">
        <is>
          <t>date_forced:Recorded on sheet (first row); applied to all rows</t>
        </is>
      </c>
    </row>
    <row r="397" ht="25" customHeight="1" s="55">
      <c r="A397" s="57" t="inlineStr">
        <is>
          <t>High Tunnel Harvest Sixth</t>
        </is>
      </c>
      <c r="B397" s="57" t="n">
        <v>22</v>
      </c>
      <c r="C397" s="57" t="inlineStr">
        <is>
          <t>Genotypes</t>
        </is>
      </c>
      <c r="D397" s="57" t="inlineStr">
        <is>
          <t>UKYT 26-030</t>
        </is>
      </c>
      <c r="E397" s="57" t="inlineStr">
        <is>
          <t>UKYT-26-030</t>
        </is>
      </c>
      <c r="F397" s="57" t="inlineStr"/>
    </row>
    <row r="398" ht="25" customHeight="1" s="55">
      <c r="A398" s="57" t="inlineStr">
        <is>
          <t>High Tunnel Harvest Sixth</t>
        </is>
      </c>
      <c r="B398" s="57" t="n">
        <v>22</v>
      </c>
      <c r="C398" s="57" t="inlineStr">
        <is>
          <t>Location</t>
        </is>
      </c>
      <c r="D398" s="57" t="inlineStr">
        <is>
          <t xml:space="preserve">High Tunnel </t>
        </is>
      </c>
      <c r="E398" s="57" t="inlineStr">
        <is>
          <t>High tunnel</t>
        </is>
      </c>
      <c r="F398" s="57" t="inlineStr">
        <is>
          <t>forced_from_sheet_name</t>
        </is>
      </c>
    </row>
    <row r="399" ht="25" customHeight="1" s="55">
      <c r="A399" s="57" t="inlineStr">
        <is>
          <t>High Tunnel Harvest Sixth</t>
        </is>
      </c>
      <c r="B399" s="57" t="n">
        <v>22</v>
      </c>
      <c r="C399" s="57" t="inlineStr">
        <is>
          <t>Harvest</t>
        </is>
      </c>
      <c r="D399" s="57" t="inlineStr"/>
      <c r="E399" s="57" t="inlineStr">
        <is>
          <t>Sixth</t>
        </is>
      </c>
      <c r="F399" s="57" t="inlineStr">
        <is>
          <t>forced_from_sheet_name</t>
        </is>
      </c>
    </row>
    <row r="400" ht="25" customHeight="1" s="55">
      <c r="A400" s="57" t="inlineStr">
        <is>
          <t>High Tunnel Harvest Sixth</t>
        </is>
      </c>
      <c r="B400" s="57" t="n">
        <v>22</v>
      </c>
      <c r="C400" s="57" t="inlineStr">
        <is>
          <t>Date of harvest</t>
        </is>
      </c>
      <c r="D400" s="57" t="inlineStr"/>
      <c r="E400" s="57" t="inlineStr">
        <is>
          <t>2026-08-18</t>
        </is>
      </c>
      <c r="F400" s="57" t="inlineStr">
        <is>
          <t>date_forced:Recorded on sheet (first row); applied to all rows</t>
        </is>
      </c>
    </row>
    <row r="401" ht="25" customHeight="1" s="55">
      <c r="A401" s="57" t="inlineStr">
        <is>
          <t>High Tunnel Harvest Sixth</t>
        </is>
      </c>
      <c r="B401" s="57" t="n">
        <v>23</v>
      </c>
      <c r="C401" s="57" t="inlineStr">
        <is>
          <t>Genotypes</t>
        </is>
      </c>
      <c r="D401" s="57" t="inlineStr">
        <is>
          <t>UKYT 26-034</t>
        </is>
      </c>
      <c r="E401" s="57" t="inlineStr">
        <is>
          <t>UKYT-26-034</t>
        </is>
      </c>
      <c r="F401" s="57" t="inlineStr"/>
    </row>
    <row r="402" ht="25" customHeight="1" s="55">
      <c r="A402" s="57" t="inlineStr">
        <is>
          <t>High Tunnel Harvest Sixth</t>
        </is>
      </c>
      <c r="B402" s="57" t="n">
        <v>23</v>
      </c>
      <c r="C402" s="57" t="inlineStr">
        <is>
          <t>Location</t>
        </is>
      </c>
      <c r="D402" s="57" t="inlineStr">
        <is>
          <t xml:space="preserve">High Tunnel </t>
        </is>
      </c>
      <c r="E402" s="57" t="inlineStr">
        <is>
          <t>High tunnel</t>
        </is>
      </c>
      <c r="F402" s="57" t="inlineStr">
        <is>
          <t>forced_from_sheet_name</t>
        </is>
      </c>
    </row>
    <row r="403" ht="25" customHeight="1" s="55">
      <c r="A403" s="57" t="inlineStr">
        <is>
          <t>High Tunnel Harvest Sixth</t>
        </is>
      </c>
      <c r="B403" s="57" t="n">
        <v>23</v>
      </c>
      <c r="C403" s="57" t="inlineStr">
        <is>
          <t>Harvest</t>
        </is>
      </c>
      <c r="D403" s="57" t="inlineStr"/>
      <c r="E403" s="57" t="inlineStr">
        <is>
          <t>Sixth</t>
        </is>
      </c>
      <c r="F403" s="57" t="inlineStr">
        <is>
          <t>forced_from_sheet_name</t>
        </is>
      </c>
    </row>
    <row r="404" ht="25" customHeight="1" s="55">
      <c r="A404" s="57" t="inlineStr">
        <is>
          <t>High Tunnel Harvest Sixth</t>
        </is>
      </c>
      <c r="B404" s="57" t="n">
        <v>23</v>
      </c>
      <c r="C404" s="57" t="inlineStr">
        <is>
          <t>Date of harvest</t>
        </is>
      </c>
      <c r="D404" s="57" t="inlineStr"/>
      <c r="E404" s="57" t="inlineStr">
        <is>
          <t>2026-08-18</t>
        </is>
      </c>
      <c r="F404" s="57" t="inlineStr">
        <is>
          <t>date_forced:Recorded on sheet (first row); applied to all rows</t>
        </is>
      </c>
    </row>
    <row r="405" ht="25" customHeight="1" s="55">
      <c r="A405" s="57" t="inlineStr">
        <is>
          <t>High Tunnel Harvest Sixth</t>
        </is>
      </c>
      <c r="B405" s="57" t="n">
        <v>24</v>
      </c>
      <c r="C405" s="57" t="inlineStr">
        <is>
          <t>Genotypes</t>
        </is>
      </c>
      <c r="D405" s="57" t="inlineStr">
        <is>
          <t>UKYT 26-036</t>
        </is>
      </c>
      <c r="E405" s="57" t="inlineStr">
        <is>
          <t>UKYT-26-036</t>
        </is>
      </c>
      <c r="F405" s="57" t="inlineStr"/>
    </row>
    <row r="406" ht="25" customHeight="1" s="55">
      <c r="A406" s="57" t="inlineStr">
        <is>
          <t>High Tunnel Harvest Sixth</t>
        </is>
      </c>
      <c r="B406" s="57" t="n">
        <v>24</v>
      </c>
      <c r="C406" s="57" t="inlineStr">
        <is>
          <t>Location</t>
        </is>
      </c>
      <c r="D406" s="57" t="inlineStr">
        <is>
          <t xml:space="preserve">High Tunnel </t>
        </is>
      </c>
      <c r="E406" s="57" t="inlineStr">
        <is>
          <t>High tunnel</t>
        </is>
      </c>
      <c r="F406" s="57" t="inlineStr">
        <is>
          <t>forced_from_sheet_name</t>
        </is>
      </c>
    </row>
    <row r="407" ht="25" customHeight="1" s="55">
      <c r="A407" s="57" t="inlineStr">
        <is>
          <t>High Tunnel Harvest Sixth</t>
        </is>
      </c>
      <c r="B407" s="57" t="n">
        <v>24</v>
      </c>
      <c r="C407" s="57" t="inlineStr">
        <is>
          <t>Harvest</t>
        </is>
      </c>
      <c r="D407" s="57" t="inlineStr"/>
      <c r="E407" s="57" t="inlineStr">
        <is>
          <t>Sixth</t>
        </is>
      </c>
      <c r="F407" s="57" t="inlineStr">
        <is>
          <t>forced_from_sheet_name</t>
        </is>
      </c>
    </row>
    <row r="408" ht="25" customHeight="1" s="55">
      <c r="A408" s="57" t="inlineStr">
        <is>
          <t>High Tunnel Harvest Sixth</t>
        </is>
      </c>
      <c r="B408" s="57" t="n">
        <v>24</v>
      </c>
      <c r="C408" s="57" t="inlineStr">
        <is>
          <t>Date of harvest</t>
        </is>
      </c>
      <c r="D408" s="57" t="inlineStr"/>
      <c r="E408" s="57" t="inlineStr">
        <is>
          <t>2026-08-18</t>
        </is>
      </c>
      <c r="F408" s="57" t="inlineStr">
        <is>
          <t>date_forced:Recorded on sheet (first row); applied to all rows</t>
        </is>
      </c>
    </row>
    <row r="409" ht="25" customHeight="1" s="55">
      <c r="A409" s="57" t="inlineStr">
        <is>
          <t>High Tunnel Harvest Sixth</t>
        </is>
      </c>
      <c r="B409" s="57" t="n">
        <v>25</v>
      </c>
      <c r="C409" s="57" t="inlineStr">
        <is>
          <t>Location</t>
        </is>
      </c>
      <c r="D409" s="57" t="inlineStr">
        <is>
          <t xml:space="preserve">High Tunnel </t>
        </is>
      </c>
      <c r="E409" s="57" t="inlineStr">
        <is>
          <t>High tunnel</t>
        </is>
      </c>
      <c r="F409" s="57" t="inlineStr">
        <is>
          <t>forced_from_sheet_name</t>
        </is>
      </c>
    </row>
    <row r="410" ht="25" customHeight="1" s="55">
      <c r="A410" s="57" t="inlineStr">
        <is>
          <t>High Tunnel Harvest Sixth</t>
        </is>
      </c>
      <c r="B410" s="57" t="n">
        <v>25</v>
      </c>
      <c r="C410" s="57" t="inlineStr">
        <is>
          <t>Harvest</t>
        </is>
      </c>
      <c r="D410" s="57" t="inlineStr"/>
      <c r="E410" s="57" t="inlineStr">
        <is>
          <t>Sixth</t>
        </is>
      </c>
      <c r="F410" s="57" t="inlineStr">
        <is>
          <t>forced_from_sheet_name</t>
        </is>
      </c>
    </row>
    <row r="411" ht="25" customHeight="1" s="55">
      <c r="A411" s="57" t="inlineStr">
        <is>
          <t>High Tunnel Harvest Sixth</t>
        </is>
      </c>
      <c r="B411" s="57" t="n">
        <v>26</v>
      </c>
      <c r="C411" s="57" t="inlineStr">
        <is>
          <t>Location</t>
        </is>
      </c>
      <c r="D411" s="57" t="inlineStr">
        <is>
          <t xml:space="preserve">High Tunnel </t>
        </is>
      </c>
      <c r="E411" s="57" t="inlineStr">
        <is>
          <t>High tunnel</t>
        </is>
      </c>
      <c r="F411" s="57" t="inlineStr">
        <is>
          <t>forced_from_sheet_name</t>
        </is>
      </c>
    </row>
    <row r="412" ht="25" customHeight="1" s="55">
      <c r="A412" s="57" t="inlineStr">
        <is>
          <t>High Tunnel Harvest Sixth</t>
        </is>
      </c>
      <c r="B412" s="57" t="n">
        <v>26</v>
      </c>
      <c r="C412" s="57" t="inlineStr">
        <is>
          <t>Harvest</t>
        </is>
      </c>
      <c r="D412" s="57" t="inlineStr"/>
      <c r="E412" s="57" t="inlineStr">
        <is>
          <t>Sixth</t>
        </is>
      </c>
      <c r="F412" s="57" t="inlineStr">
        <is>
          <t>forced_from_sheet_name</t>
        </is>
      </c>
    </row>
    <row r="413" ht="25" customHeight="1" s="55">
      <c r="A413" s="57" t="inlineStr">
        <is>
          <t>High Tunnel Harvest Sixth</t>
        </is>
      </c>
      <c r="B413" s="57" t="n">
        <v>27</v>
      </c>
      <c r="C413" s="57" t="inlineStr">
        <is>
          <t>Location</t>
        </is>
      </c>
      <c r="D413" s="57" t="inlineStr">
        <is>
          <t xml:space="preserve">High Tunnel </t>
        </is>
      </c>
      <c r="E413" s="57" t="inlineStr">
        <is>
          <t>High tunnel</t>
        </is>
      </c>
      <c r="F413" s="57" t="inlineStr">
        <is>
          <t>forced_from_sheet_name</t>
        </is>
      </c>
    </row>
    <row r="414" ht="25" customHeight="1" s="55">
      <c r="A414" s="57" t="inlineStr">
        <is>
          <t>High Tunnel Harvest Sixth</t>
        </is>
      </c>
      <c r="B414" s="57" t="n">
        <v>27</v>
      </c>
      <c r="C414" s="57" t="inlineStr">
        <is>
          <t>Harvest</t>
        </is>
      </c>
      <c r="D414" s="57" t="inlineStr"/>
      <c r="E414" s="57" t="inlineStr">
        <is>
          <t>Sixth</t>
        </is>
      </c>
      <c r="F414" s="57" t="inlineStr">
        <is>
          <t>forced_from_sheet_name</t>
        </is>
      </c>
    </row>
    <row r="415" ht="25" customHeight="1" s="55">
      <c r="A415" s="57" t="inlineStr">
        <is>
          <t>High Tunnel Harvest Sixth</t>
        </is>
      </c>
      <c r="B415" s="57" t="n">
        <v>28</v>
      </c>
      <c r="C415" s="57" t="inlineStr">
        <is>
          <t>Location</t>
        </is>
      </c>
      <c r="D415" s="57" t="inlineStr">
        <is>
          <t xml:space="preserve">High Tunnel </t>
        </is>
      </c>
      <c r="E415" s="57" t="inlineStr">
        <is>
          <t>High tunnel</t>
        </is>
      </c>
      <c r="F415" s="57" t="inlineStr">
        <is>
          <t>forced_from_sheet_name</t>
        </is>
      </c>
    </row>
    <row r="416" ht="25" customHeight="1" s="55">
      <c r="A416" s="57" t="inlineStr">
        <is>
          <t>High Tunnel Harvest Sixth</t>
        </is>
      </c>
      <c r="B416" s="57" t="n">
        <v>28</v>
      </c>
      <c r="C416" s="57" t="inlineStr">
        <is>
          <t>Harvest</t>
        </is>
      </c>
      <c r="D416" s="57" t="inlineStr"/>
      <c r="E416" s="57" t="inlineStr">
        <is>
          <t>Sixth</t>
        </is>
      </c>
      <c r="F416" s="57" t="inlineStr">
        <is>
          <t>forced_from_sheet_name</t>
        </is>
      </c>
    </row>
    <row r="417" ht="25" customHeight="1" s="55">
      <c r="A417" s="57" t="inlineStr">
        <is>
          <t>High Tunnel Harvest Sixth</t>
        </is>
      </c>
      <c r="B417" s="57" t="n">
        <v>29</v>
      </c>
      <c r="C417" s="57" t="inlineStr">
        <is>
          <t>Location</t>
        </is>
      </c>
      <c r="D417" s="57" t="inlineStr">
        <is>
          <t xml:space="preserve">High Tunnel </t>
        </is>
      </c>
      <c r="E417" s="57" t="inlineStr">
        <is>
          <t>High tunnel</t>
        </is>
      </c>
      <c r="F417" s="57" t="inlineStr">
        <is>
          <t>forced_from_sheet_name</t>
        </is>
      </c>
    </row>
    <row r="418" ht="25" customHeight="1" s="55">
      <c r="A418" s="57" t="inlineStr">
        <is>
          <t>High Tunnel Harvest Sixth</t>
        </is>
      </c>
      <c r="B418" s="57" t="n">
        <v>29</v>
      </c>
      <c r="C418" s="57" t="inlineStr">
        <is>
          <t>Harvest</t>
        </is>
      </c>
      <c r="D418" s="57" t="inlineStr"/>
      <c r="E418" s="57" t="inlineStr">
        <is>
          <t>Sixth</t>
        </is>
      </c>
      <c r="F418" s="57" t="inlineStr">
        <is>
          <t>forced_from_sheet_name</t>
        </is>
      </c>
    </row>
    <row r="419" ht="25" customHeight="1" s="55">
      <c r="A419" s="57" t="inlineStr">
        <is>
          <t>High Tunnel Harvest Sixth</t>
        </is>
      </c>
      <c r="B419" s="57" t="n">
        <v>30</v>
      </c>
      <c r="C419" s="57" t="inlineStr">
        <is>
          <t>Location</t>
        </is>
      </c>
      <c r="D419" s="57" t="inlineStr">
        <is>
          <t xml:space="preserve">High Tunnel </t>
        </is>
      </c>
      <c r="E419" s="57" t="inlineStr">
        <is>
          <t>High tunnel</t>
        </is>
      </c>
      <c r="F419" s="57" t="inlineStr">
        <is>
          <t>forced_from_sheet_name</t>
        </is>
      </c>
    </row>
    <row r="420" ht="25" customHeight="1" s="55">
      <c r="A420" s="57" t="inlineStr">
        <is>
          <t>High Tunnel Harvest Sixth</t>
        </is>
      </c>
      <c r="B420" s="57" t="n">
        <v>30</v>
      </c>
      <c r="C420" s="57" t="inlineStr">
        <is>
          <t>Harvest</t>
        </is>
      </c>
      <c r="D420" s="57" t="inlineStr"/>
      <c r="E420" s="57" t="inlineStr">
        <is>
          <t>Sixth</t>
        </is>
      </c>
      <c r="F420" s="57" t="inlineStr">
        <is>
          <t>forced_from_sheet_name</t>
        </is>
      </c>
    </row>
    <row r="421" ht="25" customHeight="1" s="55">
      <c r="A421" s="57" t="inlineStr">
        <is>
          <t>High Tunnel Harvest Sixth</t>
        </is>
      </c>
      <c r="B421" s="57" t="n">
        <v>31</v>
      </c>
      <c r="C421" s="57" t="inlineStr">
        <is>
          <t>Location</t>
        </is>
      </c>
      <c r="D421" s="57" t="inlineStr">
        <is>
          <t xml:space="preserve">High Tunnel </t>
        </is>
      </c>
      <c r="E421" s="57" t="inlineStr">
        <is>
          <t>High tunnel</t>
        </is>
      </c>
      <c r="F421" s="57" t="inlineStr">
        <is>
          <t>forced_from_sheet_name</t>
        </is>
      </c>
    </row>
    <row r="422" ht="25" customHeight="1" s="55">
      <c r="A422" s="57" t="inlineStr">
        <is>
          <t>High Tunnel Harvest Sixth</t>
        </is>
      </c>
      <c r="B422" s="57" t="n">
        <v>31</v>
      </c>
      <c r="C422" s="57" t="inlineStr">
        <is>
          <t>Harvest</t>
        </is>
      </c>
      <c r="D422" s="57" t="inlineStr"/>
      <c r="E422" s="57" t="inlineStr">
        <is>
          <t>Sixth</t>
        </is>
      </c>
      <c r="F422" s="57" t="inlineStr">
        <is>
          <t>forced_from_sheet_name</t>
        </is>
      </c>
    </row>
    <row r="423" ht="25" customHeight="1" s="55">
      <c r="A423" s="57" t="inlineStr">
        <is>
          <t>High Tunnel Harvest Sixth</t>
        </is>
      </c>
      <c r="B423" s="57" t="n">
        <v>31</v>
      </c>
      <c r="C423" s="57" t="inlineStr">
        <is>
          <t>row_removed</t>
        </is>
      </c>
      <c r="D423" s="57" t="inlineStr"/>
      <c r="E423" s="57" t="inlineStr"/>
      <c r="F423" s="57" t="inlineStr">
        <is>
          <t>empty_plot_slot</t>
        </is>
      </c>
    </row>
    <row r="424" ht="25" customHeight="1" s="55">
      <c r="A424" s="57" t="inlineStr">
        <is>
          <t>High Tunnel Harvest Sixth</t>
        </is>
      </c>
      <c r="B424" s="57" t="n">
        <v>30</v>
      </c>
      <c r="C424" s="57" t="inlineStr">
        <is>
          <t>row_removed</t>
        </is>
      </c>
      <c r="D424" s="57" t="inlineStr"/>
      <c r="E424" s="57" t="inlineStr"/>
      <c r="F424" s="57" t="inlineStr">
        <is>
          <t>empty_plot_slot</t>
        </is>
      </c>
    </row>
    <row r="425" ht="25" customHeight="1" s="55">
      <c r="A425" s="57" t="inlineStr">
        <is>
          <t>High Tunnel Harvest Sixth</t>
        </is>
      </c>
      <c r="B425" s="57" t="n">
        <v>29</v>
      </c>
      <c r="C425" s="57" t="inlineStr">
        <is>
          <t>row_removed</t>
        </is>
      </c>
      <c r="D425" s="57" t="inlineStr"/>
      <c r="E425" s="57" t="inlineStr"/>
      <c r="F425" s="57" t="inlineStr">
        <is>
          <t>empty_plot_slot</t>
        </is>
      </c>
    </row>
    <row r="426" ht="25" customHeight="1" s="55">
      <c r="A426" s="57" t="inlineStr">
        <is>
          <t>High Tunnel Harvest Sixth</t>
        </is>
      </c>
      <c r="B426" s="57" t="n">
        <v>28</v>
      </c>
      <c r="C426" s="57" t="inlineStr">
        <is>
          <t>row_removed</t>
        </is>
      </c>
      <c r="D426" s="57" t="inlineStr"/>
      <c r="E426" s="57" t="inlineStr"/>
      <c r="F426" s="57" t="inlineStr">
        <is>
          <t>empty_plot_slot</t>
        </is>
      </c>
    </row>
    <row r="427" ht="25" customHeight="1" s="55">
      <c r="A427" s="57" t="inlineStr">
        <is>
          <t>High Tunnel Harvest Sixth</t>
        </is>
      </c>
      <c r="B427" s="57" t="n">
        <v>27</v>
      </c>
      <c r="C427" s="57" t="inlineStr">
        <is>
          <t>row_removed</t>
        </is>
      </c>
      <c r="D427" s="57" t="inlineStr"/>
      <c r="E427" s="57" t="inlineStr"/>
      <c r="F427" s="57" t="inlineStr">
        <is>
          <t>empty_plot_slot</t>
        </is>
      </c>
    </row>
    <row r="428" ht="25" customHeight="1" s="55">
      <c r="A428" s="57" t="inlineStr">
        <is>
          <t>High Tunnel Harvest Sixth</t>
        </is>
      </c>
      <c r="B428" s="57" t="n">
        <v>26</v>
      </c>
      <c r="C428" s="57" t="inlineStr">
        <is>
          <t>row_removed</t>
        </is>
      </c>
      <c r="D428" s="57" t="inlineStr"/>
      <c r="E428" s="57" t="inlineStr"/>
      <c r="F428" s="57" t="inlineStr">
        <is>
          <t>empty_plot_slot</t>
        </is>
      </c>
    </row>
    <row r="429" ht="25" customHeight="1" s="55">
      <c r="A429" s="57" t="inlineStr">
        <is>
          <t>High Tunnel Harvest Sixth</t>
        </is>
      </c>
      <c r="B429" s="57" t="n">
        <v>25</v>
      </c>
      <c r="C429" s="57" t="inlineStr">
        <is>
          <t>row_removed</t>
        </is>
      </c>
      <c r="D429" s="57" t="inlineStr"/>
      <c r="E429" s="57" t="inlineStr"/>
      <c r="F429" s="57" t="inlineStr">
        <is>
          <t>empty_plot_slot</t>
        </is>
      </c>
    </row>
    <row r="430" ht="25" customHeight="1" s="55">
      <c r="A430" s="57" t="inlineStr">
        <is>
          <t>High_tunnel_Aug19_Nam</t>
        </is>
      </c>
      <c r="B430" s="57" t="n">
        <v>2</v>
      </c>
      <c r="C430" s="57" t="inlineStr">
        <is>
          <t>Location</t>
        </is>
      </c>
      <c r="D430" s="57" t="inlineStr">
        <is>
          <t xml:space="preserve">High tunnel </t>
        </is>
      </c>
      <c r="E430" s="57" t="inlineStr">
        <is>
          <t>High tunnel</t>
        </is>
      </c>
      <c r="F430" s="57" t="inlineStr">
        <is>
          <t>forced_from_sheet_name</t>
        </is>
      </c>
    </row>
    <row r="431" ht="25" customHeight="1" s="55">
      <c r="A431" s="57" t="inlineStr">
        <is>
          <t>High_tunnel_Aug19_Nam</t>
        </is>
      </c>
      <c r="B431" s="57" t="n">
        <v>2</v>
      </c>
      <c r="C431" s="57" t="inlineStr">
        <is>
          <t>Harvest</t>
        </is>
      </c>
      <c r="D431" s="57" t="inlineStr"/>
      <c r="E431" s="57" t="inlineStr">
        <is>
          <t>Seventh</t>
        </is>
      </c>
      <c r="F431" s="57" t="inlineStr">
        <is>
          <t>forced_from_sheet_name</t>
        </is>
      </c>
    </row>
    <row r="432" ht="25" customHeight="1" s="55">
      <c r="A432" s="57" t="inlineStr">
        <is>
          <t>High_tunnel_Aug19_Nam</t>
        </is>
      </c>
      <c r="B432" s="57" t="n">
        <v>3</v>
      </c>
      <c r="C432" s="57" t="inlineStr">
        <is>
          <t>Genotypes</t>
        </is>
      </c>
      <c r="D432" s="57" t="inlineStr">
        <is>
          <t>UKY-26-015</t>
        </is>
      </c>
      <c r="E432" s="57" t="inlineStr">
        <is>
          <t>UKYT-26-015</t>
        </is>
      </c>
      <c r="F432" s="57" t="inlineStr"/>
    </row>
    <row r="433" ht="25" customHeight="1" s="55">
      <c r="A433" s="57" t="inlineStr">
        <is>
          <t>High_tunnel_Aug19_Nam</t>
        </is>
      </c>
      <c r="B433" s="57" t="n">
        <v>3</v>
      </c>
      <c r="C433" s="57" t="inlineStr">
        <is>
          <t>Location</t>
        </is>
      </c>
      <c r="D433" s="57" t="inlineStr"/>
      <c r="E433" s="57" t="inlineStr">
        <is>
          <t>High tunnel</t>
        </is>
      </c>
      <c r="F433" s="57" t="inlineStr">
        <is>
          <t>forced_from_sheet_name</t>
        </is>
      </c>
    </row>
    <row r="434" ht="25" customHeight="1" s="55">
      <c r="A434" s="57" t="inlineStr">
        <is>
          <t>High_tunnel_Aug19_Nam</t>
        </is>
      </c>
      <c r="B434" s="57" t="n">
        <v>3</v>
      </c>
      <c r="C434" s="57" t="inlineStr">
        <is>
          <t>Harvest</t>
        </is>
      </c>
      <c r="D434" s="57" t="inlineStr"/>
      <c r="E434" s="57" t="inlineStr">
        <is>
          <t>Seventh</t>
        </is>
      </c>
      <c r="F434" s="57" t="inlineStr">
        <is>
          <t>forced_from_sheet_name</t>
        </is>
      </c>
    </row>
    <row r="435" ht="25" customHeight="1" s="55">
      <c r="A435" s="57" t="inlineStr">
        <is>
          <t>High_tunnel_Aug19_Nam</t>
        </is>
      </c>
      <c r="B435" s="57" t="n">
        <v>3</v>
      </c>
      <c r="C435" s="57" t="inlineStr">
        <is>
          <t>Date of harvest</t>
        </is>
      </c>
      <c r="D435" s="57" t="inlineStr"/>
      <c r="E435" s="57" t="inlineStr">
        <is>
          <t>2026-08-19</t>
        </is>
      </c>
      <c r="F435" s="57" t="inlineStr">
        <is>
          <t>date_forced:Recorded on sheet; seventh HT harvest</t>
        </is>
      </c>
    </row>
    <row r="436" ht="25" customHeight="1" s="55">
      <c r="A436" s="57" t="inlineStr">
        <is>
          <t>High_tunnel_Aug19_Nam</t>
        </is>
      </c>
      <c r="B436" s="57" t="n">
        <v>1</v>
      </c>
      <c r="C436" s="57" t="inlineStr">
        <is>
          <t>column_removed</t>
        </is>
      </c>
      <c r="D436" s="57" t="inlineStr">
        <is>
          <t>Unmarketables (counts)</t>
        </is>
      </c>
      <c r="E436" s="57" t="inlineStr"/>
      <c r="F436" s="57" t="inlineStr">
        <is>
          <t>empty_or_duplicate</t>
        </is>
      </c>
    </row>
    <row r="437" ht="25" customHeight="1" s="55">
      <c r="A437" s="57" t="inlineStr">
        <is>
          <t>High_tunnel_Aug19_Nam</t>
        </is>
      </c>
      <c r="B437" s="57" t="n">
        <v>1</v>
      </c>
      <c r="C437" s="57" t="inlineStr">
        <is>
          <t>column_removed</t>
        </is>
      </c>
      <c r="D437" s="57" t="inlineStr">
        <is>
          <t>Unmarketables (weight)</t>
        </is>
      </c>
      <c r="E437" s="57" t="inlineStr"/>
      <c r="F437" s="57" t="inlineStr">
        <is>
          <t>empty_or_duplicate</t>
        </is>
      </c>
    </row>
    <row r="438" ht="25" customHeight="1" s="55">
      <c r="A438" s="57" t="inlineStr">
        <is>
          <t>FirstHArvest_OpenFieldLex</t>
        </is>
      </c>
      <c r="B438" s="57" t="n">
        <v>2</v>
      </c>
      <c r="C438" s="57" t="inlineStr">
        <is>
          <t>Genotypes</t>
        </is>
      </c>
      <c r="D438" s="57" t="inlineStr">
        <is>
          <t>NC25311G-1</t>
        </is>
      </c>
      <c r="E438" s="57" t="inlineStr">
        <is>
          <t>NC25311G</t>
        </is>
      </c>
      <c r="F438" s="57" t="inlineStr"/>
    </row>
    <row r="439" ht="25" customHeight="1" s="55">
      <c r="A439" s="57" t="inlineStr">
        <is>
          <t>FirstHArvest_OpenFieldLex</t>
        </is>
      </c>
      <c r="B439" s="57" t="n">
        <v>2</v>
      </c>
      <c r="C439" s="57" t="inlineStr">
        <is>
          <t>Location</t>
        </is>
      </c>
      <c r="D439" s="57" t="inlineStr">
        <is>
          <t>open field</t>
        </is>
      </c>
      <c r="E439" s="57" t="inlineStr">
        <is>
          <t>South Farm</t>
        </is>
      </c>
      <c r="F439" s="57" t="inlineStr">
        <is>
          <t>forced_from_sheet_name</t>
        </is>
      </c>
    </row>
    <row r="440" ht="25" customHeight="1" s="55">
      <c r="A440" s="57" t="inlineStr">
        <is>
          <t>FirstHArvest_OpenFieldLex</t>
        </is>
      </c>
      <c r="B440" s="57" t="n">
        <v>3</v>
      </c>
      <c r="C440" s="57" t="inlineStr">
        <is>
          <t>Genotypes</t>
        </is>
      </c>
      <c r="D440" s="57" t="inlineStr">
        <is>
          <t>Mountain girl -1</t>
        </is>
      </c>
      <c r="E440" s="57" t="inlineStr">
        <is>
          <t>Mt. Girl</t>
        </is>
      </c>
      <c r="F440" s="57" t="inlineStr"/>
    </row>
    <row r="441" ht="25" customHeight="1" s="55">
      <c r="A441" s="57" t="inlineStr">
        <is>
          <t>FirstHArvest_OpenFieldLex</t>
        </is>
      </c>
      <c r="B441" s="57" t="n">
        <v>3</v>
      </c>
      <c r="C441" s="57" t="inlineStr">
        <is>
          <t>Location</t>
        </is>
      </c>
      <c r="D441" s="57" t="inlineStr"/>
      <c r="E441" s="57" t="inlineStr">
        <is>
          <t>South Farm</t>
        </is>
      </c>
      <c r="F441" s="57" t="inlineStr">
        <is>
          <t>forced_from_sheet_name</t>
        </is>
      </c>
    </row>
    <row r="442" ht="25" customHeight="1" s="55">
      <c r="A442" s="57" t="inlineStr">
        <is>
          <t>FirstHArvest_OpenFieldLex</t>
        </is>
      </c>
      <c r="B442" s="57" t="n">
        <v>3</v>
      </c>
      <c r="C442" s="57" t="inlineStr">
        <is>
          <t>Harvest</t>
        </is>
      </c>
      <c r="D442" s="57" t="inlineStr"/>
      <c r="E442" s="57" t="inlineStr">
        <is>
          <t>First</t>
        </is>
      </c>
      <c r="F442" s="57" t="inlineStr">
        <is>
          <t>forced_from_sheet_name</t>
        </is>
      </c>
    </row>
    <row r="443" ht="25" customHeight="1" s="55">
      <c r="A443" s="57" t="inlineStr">
        <is>
          <t>FirstHArvest_OpenFieldLex</t>
        </is>
      </c>
      <c r="B443" s="57" t="n">
        <v>3</v>
      </c>
      <c r="C443" s="57" t="inlineStr">
        <is>
          <t>Date of harvest</t>
        </is>
      </c>
      <c r="D443" s="57" t="inlineStr"/>
      <c r="E443" s="57" t="inlineStr">
        <is>
          <t>2026-07-23</t>
        </is>
      </c>
      <c r="F443" s="57" t="inlineStr">
        <is>
          <t>date_forced:Recorded on first row; South Farm first harvest</t>
        </is>
      </c>
    </row>
    <row r="444" ht="25" customHeight="1" s="55">
      <c r="A444" s="57" t="inlineStr">
        <is>
          <t>FirstHArvest_OpenFieldLex</t>
        </is>
      </c>
      <c r="B444" s="57" t="n">
        <v>4</v>
      </c>
      <c r="C444" s="57" t="inlineStr">
        <is>
          <t>Genotypes</t>
        </is>
      </c>
      <c r="D444" s="57" t="inlineStr">
        <is>
          <t>NC25209-2</t>
        </is>
      </c>
      <c r="E444" s="57" t="inlineStr">
        <is>
          <t>NC25209</t>
        </is>
      </c>
      <c r="F444" s="57" t="inlineStr"/>
    </row>
    <row r="445" ht="25" customHeight="1" s="55">
      <c r="A445" s="57" t="inlineStr">
        <is>
          <t>FirstHArvest_OpenFieldLex</t>
        </is>
      </c>
      <c r="B445" s="57" t="n">
        <v>4</v>
      </c>
      <c r="C445" s="57" t="inlineStr">
        <is>
          <t>Location</t>
        </is>
      </c>
      <c r="D445" s="57" t="inlineStr"/>
      <c r="E445" s="57" t="inlineStr">
        <is>
          <t>South Farm</t>
        </is>
      </c>
      <c r="F445" s="57" t="inlineStr">
        <is>
          <t>forced_from_sheet_name</t>
        </is>
      </c>
    </row>
    <row r="446" ht="25" customHeight="1" s="55">
      <c r="A446" s="57" t="inlineStr">
        <is>
          <t>FirstHArvest_OpenFieldLex</t>
        </is>
      </c>
      <c r="B446" s="57" t="n">
        <v>4</v>
      </c>
      <c r="C446" s="57" t="inlineStr">
        <is>
          <t>Harvest</t>
        </is>
      </c>
      <c r="D446" s="57" t="inlineStr"/>
      <c r="E446" s="57" t="inlineStr">
        <is>
          <t>First</t>
        </is>
      </c>
      <c r="F446" s="57" t="inlineStr">
        <is>
          <t>forced_from_sheet_name</t>
        </is>
      </c>
    </row>
    <row r="447" ht="25" customHeight="1" s="55">
      <c r="A447" s="57" t="inlineStr">
        <is>
          <t>FirstHArvest_OpenFieldLex</t>
        </is>
      </c>
      <c r="B447" s="57" t="n">
        <v>4</v>
      </c>
      <c r="C447" s="57" t="inlineStr">
        <is>
          <t>Date of harvest</t>
        </is>
      </c>
      <c r="D447" s="57" t="inlineStr"/>
      <c r="E447" s="57" t="inlineStr">
        <is>
          <t>2026-07-23</t>
        </is>
      </c>
      <c r="F447" s="57" t="inlineStr">
        <is>
          <t>date_forced:Recorded on first row; South Farm first harvest</t>
        </is>
      </c>
    </row>
    <row r="448" ht="25" customHeight="1" s="55">
      <c r="A448" s="57" t="inlineStr">
        <is>
          <t>FirstHArvest_OpenFieldLex</t>
        </is>
      </c>
      <c r="B448" s="57" t="n">
        <v>5</v>
      </c>
      <c r="C448" s="57" t="inlineStr">
        <is>
          <t>Genotypes</t>
        </is>
      </c>
      <c r="D448" s="57" t="inlineStr">
        <is>
          <t>Mountain heritage -1</t>
        </is>
      </c>
      <c r="E448" s="57" t="inlineStr">
        <is>
          <t>Mt. Heritage</t>
        </is>
      </c>
      <c r="F448" s="57" t="inlineStr"/>
    </row>
    <row r="449" ht="25" customHeight="1" s="55">
      <c r="A449" s="57" t="inlineStr">
        <is>
          <t>FirstHArvest_OpenFieldLex</t>
        </is>
      </c>
      <c r="B449" s="57" t="n">
        <v>5</v>
      </c>
      <c r="C449" s="57" t="inlineStr">
        <is>
          <t>Location</t>
        </is>
      </c>
      <c r="D449" s="57" t="inlineStr"/>
      <c r="E449" s="57" t="inlineStr">
        <is>
          <t>South Farm</t>
        </is>
      </c>
      <c r="F449" s="57" t="inlineStr">
        <is>
          <t>forced_from_sheet_name</t>
        </is>
      </c>
    </row>
    <row r="450" ht="25" customHeight="1" s="55">
      <c r="A450" s="57" t="inlineStr">
        <is>
          <t>FirstHArvest_OpenFieldLex</t>
        </is>
      </c>
      <c r="B450" s="57" t="n">
        <v>5</v>
      </c>
      <c r="C450" s="57" t="inlineStr">
        <is>
          <t>Harvest</t>
        </is>
      </c>
      <c r="D450" s="57" t="inlineStr"/>
      <c r="E450" s="57" t="inlineStr">
        <is>
          <t>First</t>
        </is>
      </c>
      <c r="F450" s="57" t="inlineStr">
        <is>
          <t>forced_from_sheet_name</t>
        </is>
      </c>
    </row>
    <row r="451" ht="25" customHeight="1" s="55">
      <c r="A451" s="57" t="inlineStr">
        <is>
          <t>FirstHArvest_OpenFieldLex</t>
        </is>
      </c>
      <c r="B451" s="57" t="n">
        <v>5</v>
      </c>
      <c r="C451" s="57" t="inlineStr">
        <is>
          <t>Date of harvest</t>
        </is>
      </c>
      <c r="D451" s="57" t="inlineStr"/>
      <c r="E451" s="57" t="inlineStr">
        <is>
          <t>2026-07-23</t>
        </is>
      </c>
      <c r="F451" s="57" t="inlineStr">
        <is>
          <t>date_forced:Recorded on first row; South Farm first harvest</t>
        </is>
      </c>
    </row>
    <row r="452" ht="25" customHeight="1" s="55">
      <c r="A452" s="57" t="inlineStr">
        <is>
          <t>FirstHArvest_OpenFieldLex</t>
        </is>
      </c>
      <c r="B452" s="57" t="n">
        <v>6</v>
      </c>
      <c r="C452" s="57" t="inlineStr">
        <is>
          <t>Genotypes</t>
        </is>
      </c>
      <c r="D452" s="57" t="inlineStr">
        <is>
          <t>NC25315G-1</t>
        </is>
      </c>
      <c r="E452" s="57" t="inlineStr">
        <is>
          <t>NC25315G</t>
        </is>
      </c>
      <c r="F452" s="57" t="inlineStr"/>
    </row>
    <row r="453" ht="25" customHeight="1" s="55">
      <c r="A453" s="57" t="inlineStr">
        <is>
          <t>FirstHArvest_OpenFieldLex</t>
        </is>
      </c>
      <c r="B453" s="57" t="n">
        <v>6</v>
      </c>
      <c r="C453" s="57" t="inlineStr">
        <is>
          <t>Location</t>
        </is>
      </c>
      <c r="D453" s="57" t="inlineStr"/>
      <c r="E453" s="57" t="inlineStr">
        <is>
          <t>South Farm</t>
        </is>
      </c>
      <c r="F453" s="57" t="inlineStr">
        <is>
          <t>forced_from_sheet_name</t>
        </is>
      </c>
    </row>
    <row r="454" ht="25" customHeight="1" s="55">
      <c r="A454" s="57" t="inlineStr">
        <is>
          <t>FirstHArvest_OpenFieldLex</t>
        </is>
      </c>
      <c r="B454" s="57" t="n">
        <v>6</v>
      </c>
      <c r="C454" s="57" t="inlineStr">
        <is>
          <t>Harvest</t>
        </is>
      </c>
      <c r="D454" s="57" t="inlineStr"/>
      <c r="E454" s="57" t="inlineStr">
        <is>
          <t>First</t>
        </is>
      </c>
      <c r="F454" s="57" t="inlineStr">
        <is>
          <t>forced_from_sheet_name</t>
        </is>
      </c>
    </row>
    <row r="455" ht="25" customHeight="1" s="55">
      <c r="A455" s="57" t="inlineStr">
        <is>
          <t>FirstHArvest_OpenFieldLex</t>
        </is>
      </c>
      <c r="B455" s="57" t="n">
        <v>6</v>
      </c>
      <c r="C455" s="57" t="inlineStr">
        <is>
          <t>Date of harvest</t>
        </is>
      </c>
      <c r="D455" s="57" t="inlineStr"/>
      <c r="E455" s="57" t="inlineStr">
        <is>
          <t>2026-07-23</t>
        </is>
      </c>
      <c r="F455" s="57" t="inlineStr">
        <is>
          <t>date_forced:Recorded on first row; South Farm first harvest</t>
        </is>
      </c>
    </row>
    <row r="456" ht="25" customHeight="1" s="55">
      <c r="A456" s="57" t="inlineStr">
        <is>
          <t>FirstHArvest_OpenFieldLex</t>
        </is>
      </c>
      <c r="B456" s="57" t="n">
        <v>7</v>
      </c>
      <c r="C456" s="57" t="inlineStr">
        <is>
          <t>Genotypes</t>
        </is>
      </c>
      <c r="D456" s="57" t="inlineStr">
        <is>
          <t>NC264G-1</t>
        </is>
      </c>
      <c r="E456" s="57" t="inlineStr">
        <is>
          <t>NC264G</t>
        </is>
      </c>
      <c r="F456" s="57" t="inlineStr"/>
    </row>
    <row r="457" ht="25" customHeight="1" s="55">
      <c r="A457" s="57" t="inlineStr">
        <is>
          <t>FirstHArvest_OpenFieldLex</t>
        </is>
      </c>
      <c r="B457" s="57" t="n">
        <v>7</v>
      </c>
      <c r="C457" s="57" t="inlineStr">
        <is>
          <t>Location</t>
        </is>
      </c>
      <c r="D457" s="57" t="inlineStr"/>
      <c r="E457" s="57" t="inlineStr">
        <is>
          <t>South Farm</t>
        </is>
      </c>
      <c r="F457" s="57" t="inlineStr">
        <is>
          <t>forced_from_sheet_name</t>
        </is>
      </c>
    </row>
    <row r="458" ht="25" customHeight="1" s="55">
      <c r="A458" s="57" t="inlineStr">
        <is>
          <t>FirstHArvest_OpenFieldLex</t>
        </is>
      </c>
      <c r="B458" s="57" t="n">
        <v>7</v>
      </c>
      <c r="C458" s="57" t="inlineStr">
        <is>
          <t>Harvest</t>
        </is>
      </c>
      <c r="D458" s="57" t="inlineStr"/>
      <c r="E458" s="57" t="inlineStr">
        <is>
          <t>First</t>
        </is>
      </c>
      <c r="F458" s="57" t="inlineStr">
        <is>
          <t>forced_from_sheet_name</t>
        </is>
      </c>
    </row>
    <row r="459" ht="25" customHeight="1" s="55">
      <c r="A459" s="57" t="inlineStr">
        <is>
          <t>FirstHArvest_OpenFieldLex</t>
        </is>
      </c>
      <c r="B459" s="57" t="n">
        <v>7</v>
      </c>
      <c r="C459" s="57" t="inlineStr">
        <is>
          <t>Date of harvest</t>
        </is>
      </c>
      <c r="D459" s="57" t="inlineStr"/>
      <c r="E459" s="57" t="inlineStr">
        <is>
          <t>2026-07-23</t>
        </is>
      </c>
      <c r="F459" s="57" t="inlineStr">
        <is>
          <t>date_forced:Recorded on first row; South Farm first harvest</t>
        </is>
      </c>
    </row>
    <row r="460" ht="25" customHeight="1" s="55">
      <c r="A460" s="57" t="inlineStr">
        <is>
          <t>FirstHArvest_OpenFieldLex</t>
        </is>
      </c>
      <c r="B460" s="57" t="n">
        <v>8</v>
      </c>
      <c r="C460" s="57" t="inlineStr">
        <is>
          <t>Genotypes</t>
        </is>
      </c>
      <c r="D460" s="57" t="inlineStr">
        <is>
          <t>NC25218-1</t>
        </is>
      </c>
      <c r="E460" s="57" t="inlineStr">
        <is>
          <t>NC25218</t>
        </is>
      </c>
      <c r="F460" s="57" t="inlineStr"/>
    </row>
    <row r="461" ht="25" customHeight="1" s="55">
      <c r="A461" s="57" t="inlineStr">
        <is>
          <t>FirstHArvest_OpenFieldLex</t>
        </is>
      </c>
      <c r="B461" s="57" t="n">
        <v>8</v>
      </c>
      <c r="C461" s="57" t="inlineStr">
        <is>
          <t>Location</t>
        </is>
      </c>
      <c r="D461" s="57" t="inlineStr"/>
      <c r="E461" s="57" t="inlineStr">
        <is>
          <t>South Farm</t>
        </is>
      </c>
      <c r="F461" s="57" t="inlineStr">
        <is>
          <t>forced_from_sheet_name</t>
        </is>
      </c>
    </row>
    <row r="462" ht="25" customHeight="1" s="55">
      <c r="A462" s="57" t="inlineStr">
        <is>
          <t>FirstHArvest_OpenFieldLex</t>
        </is>
      </c>
      <c r="B462" s="57" t="n">
        <v>8</v>
      </c>
      <c r="C462" s="57" t="inlineStr">
        <is>
          <t>Harvest</t>
        </is>
      </c>
      <c r="D462" s="57" t="inlineStr"/>
      <c r="E462" s="57" t="inlineStr">
        <is>
          <t>First</t>
        </is>
      </c>
      <c r="F462" s="57" t="inlineStr">
        <is>
          <t>forced_from_sheet_name</t>
        </is>
      </c>
    </row>
    <row r="463" ht="25" customHeight="1" s="55">
      <c r="A463" s="57" t="inlineStr">
        <is>
          <t>FirstHArvest_OpenFieldLex</t>
        </is>
      </c>
      <c r="B463" s="57" t="n">
        <v>8</v>
      </c>
      <c r="C463" s="57" t="inlineStr">
        <is>
          <t>Date of harvest</t>
        </is>
      </c>
      <c r="D463" s="57" t="inlineStr"/>
      <c r="E463" s="57" t="inlineStr">
        <is>
          <t>2026-07-23</t>
        </is>
      </c>
      <c r="F463" s="57" t="inlineStr">
        <is>
          <t>date_forced:Recorded on first row; South Farm first harvest</t>
        </is>
      </c>
    </row>
    <row r="464" ht="25" customHeight="1" s="55">
      <c r="A464" s="57" t="inlineStr">
        <is>
          <t>FirstHArvest_OpenFieldLex</t>
        </is>
      </c>
      <c r="B464" s="57" t="n">
        <v>9</v>
      </c>
      <c r="C464" s="57" t="inlineStr">
        <is>
          <t>Genotypes</t>
        </is>
      </c>
      <c r="D464" s="57" t="inlineStr">
        <is>
          <t>NC25202-2</t>
        </is>
      </c>
      <c r="E464" s="57" t="inlineStr">
        <is>
          <t>NC25202</t>
        </is>
      </c>
      <c r="F464" s="57" t="inlineStr"/>
    </row>
    <row r="465" ht="25" customHeight="1" s="55">
      <c r="A465" s="57" t="inlineStr">
        <is>
          <t>FirstHArvest_OpenFieldLex</t>
        </is>
      </c>
      <c r="B465" s="57" t="n">
        <v>9</v>
      </c>
      <c r="C465" s="57" t="inlineStr">
        <is>
          <t>Location</t>
        </is>
      </c>
      <c r="D465" s="57" t="inlineStr"/>
      <c r="E465" s="57" t="inlineStr">
        <is>
          <t>South Farm</t>
        </is>
      </c>
      <c r="F465" s="57" t="inlineStr">
        <is>
          <t>forced_from_sheet_name</t>
        </is>
      </c>
    </row>
    <row r="466" ht="25" customHeight="1" s="55">
      <c r="A466" s="57" t="inlineStr">
        <is>
          <t>FirstHArvest_OpenFieldLex</t>
        </is>
      </c>
      <c r="B466" s="57" t="n">
        <v>9</v>
      </c>
      <c r="C466" s="57" t="inlineStr">
        <is>
          <t>Harvest</t>
        </is>
      </c>
      <c r="D466" s="57" t="inlineStr"/>
      <c r="E466" s="57" t="inlineStr">
        <is>
          <t>First</t>
        </is>
      </c>
      <c r="F466" s="57" t="inlineStr">
        <is>
          <t>forced_from_sheet_name</t>
        </is>
      </c>
    </row>
    <row r="467" ht="25" customHeight="1" s="55">
      <c r="A467" s="57" t="inlineStr">
        <is>
          <t>FirstHArvest_OpenFieldLex</t>
        </is>
      </c>
      <c r="B467" s="57" t="n">
        <v>9</v>
      </c>
      <c r="C467" s="57" t="inlineStr">
        <is>
          <t>Date of harvest</t>
        </is>
      </c>
      <c r="D467" s="57" t="inlineStr"/>
      <c r="E467" s="57" t="inlineStr">
        <is>
          <t>2026-07-23</t>
        </is>
      </c>
      <c r="F467" s="57" t="inlineStr">
        <is>
          <t>date_forced:Recorded on first row; South Farm first harvest</t>
        </is>
      </c>
    </row>
    <row r="468" ht="25" customHeight="1" s="55">
      <c r="A468" s="57" t="inlineStr">
        <is>
          <t>FirstHArvest_OpenFieldLex</t>
        </is>
      </c>
      <c r="B468" s="57" t="n">
        <v>10</v>
      </c>
      <c r="C468" s="57" t="inlineStr">
        <is>
          <t>Genotypes</t>
        </is>
      </c>
      <c r="D468" s="57" t="inlineStr">
        <is>
          <t>NC20203-2</t>
        </is>
      </c>
      <c r="E468" s="57" t="inlineStr">
        <is>
          <t>NC20203</t>
        </is>
      </c>
      <c r="F468" s="57" t="inlineStr"/>
    </row>
    <row r="469" ht="25" customHeight="1" s="55">
      <c r="A469" s="57" t="inlineStr">
        <is>
          <t>FirstHArvest_OpenFieldLex</t>
        </is>
      </c>
      <c r="B469" s="57" t="n">
        <v>10</v>
      </c>
      <c r="C469" s="57" t="inlineStr">
        <is>
          <t>Location</t>
        </is>
      </c>
      <c r="D469" s="57" t="inlineStr"/>
      <c r="E469" s="57" t="inlineStr">
        <is>
          <t>South Farm</t>
        </is>
      </c>
      <c r="F469" s="57" t="inlineStr">
        <is>
          <t>forced_from_sheet_name</t>
        </is>
      </c>
    </row>
    <row r="470" ht="25" customHeight="1" s="55">
      <c r="A470" s="57" t="inlineStr">
        <is>
          <t>FirstHArvest_OpenFieldLex</t>
        </is>
      </c>
      <c r="B470" s="57" t="n">
        <v>10</v>
      </c>
      <c r="C470" s="57" t="inlineStr">
        <is>
          <t>Harvest</t>
        </is>
      </c>
      <c r="D470" s="57" t="inlineStr"/>
      <c r="E470" s="57" t="inlineStr">
        <is>
          <t>First</t>
        </is>
      </c>
      <c r="F470" s="57" t="inlineStr">
        <is>
          <t>forced_from_sheet_name</t>
        </is>
      </c>
    </row>
    <row r="471" ht="25" customHeight="1" s="55">
      <c r="A471" s="57" t="inlineStr">
        <is>
          <t>FirstHArvest_OpenFieldLex</t>
        </is>
      </c>
      <c r="B471" s="57" t="n">
        <v>10</v>
      </c>
      <c r="C471" s="57" t="inlineStr">
        <is>
          <t>Date of harvest</t>
        </is>
      </c>
      <c r="D471" s="57" t="inlineStr"/>
      <c r="E471" s="57" t="inlineStr">
        <is>
          <t>2026-07-23</t>
        </is>
      </c>
      <c r="F471" s="57" t="inlineStr">
        <is>
          <t>date_forced:Recorded on first row; South Farm first harvest</t>
        </is>
      </c>
    </row>
    <row r="472" ht="25" customHeight="1" s="55">
      <c r="A472" s="57" t="inlineStr">
        <is>
          <t>FirstHArvest_OpenFieldLex</t>
        </is>
      </c>
      <c r="B472" s="57" t="n">
        <v>11</v>
      </c>
      <c r="C472" s="57" t="inlineStr">
        <is>
          <t>Genotypes</t>
        </is>
      </c>
      <c r="D472" s="57" t="inlineStr">
        <is>
          <t>NC25205-2</t>
        </is>
      </c>
      <c r="E472" s="57" t="inlineStr">
        <is>
          <t>NC25205</t>
        </is>
      </c>
      <c r="F472" s="57" t="inlineStr"/>
    </row>
    <row r="473" ht="25" customHeight="1" s="55">
      <c r="A473" s="57" t="inlineStr">
        <is>
          <t>FirstHArvest_OpenFieldLex</t>
        </is>
      </c>
      <c r="B473" s="57" t="n">
        <v>11</v>
      </c>
      <c r="C473" s="57" t="inlineStr">
        <is>
          <t>Location</t>
        </is>
      </c>
      <c r="D473" s="57" t="inlineStr"/>
      <c r="E473" s="57" t="inlineStr">
        <is>
          <t>South Farm</t>
        </is>
      </c>
      <c r="F473" s="57" t="inlineStr">
        <is>
          <t>forced_from_sheet_name</t>
        </is>
      </c>
    </row>
    <row r="474" ht="25" customHeight="1" s="55">
      <c r="A474" s="57" t="inlineStr">
        <is>
          <t>FirstHArvest_OpenFieldLex</t>
        </is>
      </c>
      <c r="B474" s="57" t="n">
        <v>11</v>
      </c>
      <c r="C474" s="57" t="inlineStr">
        <is>
          <t>Harvest</t>
        </is>
      </c>
      <c r="D474" s="57" t="inlineStr"/>
      <c r="E474" s="57" t="inlineStr">
        <is>
          <t>First</t>
        </is>
      </c>
      <c r="F474" s="57" t="inlineStr">
        <is>
          <t>forced_from_sheet_name</t>
        </is>
      </c>
    </row>
    <row r="475" ht="25" customHeight="1" s="55">
      <c r="A475" s="57" t="inlineStr">
        <is>
          <t>FirstHArvest_OpenFieldLex</t>
        </is>
      </c>
      <c r="B475" s="57" t="n">
        <v>11</v>
      </c>
      <c r="C475" s="57" t="inlineStr">
        <is>
          <t>Date of harvest</t>
        </is>
      </c>
      <c r="D475" s="57" t="inlineStr"/>
      <c r="E475" s="57" t="inlineStr">
        <is>
          <t>2026-07-23</t>
        </is>
      </c>
      <c r="F475" s="57" t="inlineStr">
        <is>
          <t>date_forced:Recorded on first row; South Farm first harvest</t>
        </is>
      </c>
    </row>
    <row r="476" ht="25" customHeight="1" s="55">
      <c r="A476" s="57" t="inlineStr">
        <is>
          <t>FirstHArvest_OpenFieldLex</t>
        </is>
      </c>
      <c r="B476" s="57" t="n">
        <v>12</v>
      </c>
      <c r="C476" s="57" t="inlineStr">
        <is>
          <t>Location</t>
        </is>
      </c>
      <c r="D476" s="57" t="inlineStr"/>
      <c r="E476" s="57" t="inlineStr">
        <is>
          <t>South Farm</t>
        </is>
      </c>
      <c r="F476" s="57" t="inlineStr">
        <is>
          <t>forced_from_sheet_name</t>
        </is>
      </c>
    </row>
    <row r="477" ht="25" customHeight="1" s="55">
      <c r="A477" s="57" t="inlineStr">
        <is>
          <t>FirstHArvest_OpenFieldLex</t>
        </is>
      </c>
      <c r="B477" s="57" t="n">
        <v>12</v>
      </c>
      <c r="C477" s="57" t="inlineStr">
        <is>
          <t>Harvest</t>
        </is>
      </c>
      <c r="D477" s="57" t="inlineStr"/>
      <c r="E477" s="57" t="inlineStr">
        <is>
          <t>First</t>
        </is>
      </c>
      <c r="F477" s="57" t="inlineStr">
        <is>
          <t>forced_from_sheet_name</t>
        </is>
      </c>
    </row>
    <row r="478" ht="25" customHeight="1" s="55">
      <c r="A478" s="57" t="inlineStr">
        <is>
          <t>FirstHArvest_OpenFieldLex</t>
        </is>
      </c>
      <c r="B478" s="57" t="n">
        <v>12</v>
      </c>
      <c r="C478" s="57" t="inlineStr">
        <is>
          <t>Date of harvest</t>
        </is>
      </c>
      <c r="D478" s="57" t="inlineStr"/>
      <c r="E478" s="57" t="inlineStr">
        <is>
          <t>2026-07-23</t>
        </is>
      </c>
      <c r="F478" s="57" t="inlineStr">
        <is>
          <t>date_forced:Recorded on first row; South Farm first harvest</t>
        </is>
      </c>
    </row>
    <row r="479" ht="25" customHeight="1" s="55">
      <c r="A479" s="57" t="inlineStr">
        <is>
          <t>FirstHArvest_OpenFieldLex</t>
        </is>
      </c>
      <c r="B479" s="57" t="n">
        <v>13</v>
      </c>
      <c r="C479" s="57" t="inlineStr">
        <is>
          <t>Genotypes</t>
        </is>
      </c>
      <c r="D479" s="57" t="inlineStr">
        <is>
          <t>NC25207G-2</t>
        </is>
      </c>
      <c r="E479" s="57" t="inlineStr">
        <is>
          <t>NC25207G</t>
        </is>
      </c>
      <c r="F479" s="57" t="inlineStr"/>
    </row>
    <row r="480" ht="25" customHeight="1" s="55">
      <c r="A480" s="57" t="inlineStr">
        <is>
          <t>FirstHArvest_OpenFieldLex</t>
        </is>
      </c>
      <c r="B480" s="57" t="n">
        <v>13</v>
      </c>
      <c r="C480" s="57" t="inlineStr">
        <is>
          <t>Location</t>
        </is>
      </c>
      <c r="D480" s="57" t="inlineStr"/>
      <c r="E480" s="57" t="inlineStr">
        <is>
          <t>South Farm</t>
        </is>
      </c>
      <c r="F480" s="57" t="inlineStr">
        <is>
          <t>forced_from_sheet_name</t>
        </is>
      </c>
    </row>
    <row r="481" ht="25" customHeight="1" s="55">
      <c r="A481" s="57" t="inlineStr">
        <is>
          <t>FirstHArvest_OpenFieldLex</t>
        </is>
      </c>
      <c r="B481" s="57" t="n">
        <v>13</v>
      </c>
      <c r="C481" s="57" t="inlineStr">
        <is>
          <t>Harvest</t>
        </is>
      </c>
      <c r="D481" s="57" t="inlineStr"/>
      <c r="E481" s="57" t="inlineStr">
        <is>
          <t>First</t>
        </is>
      </c>
      <c r="F481" s="57" t="inlineStr">
        <is>
          <t>forced_from_sheet_name</t>
        </is>
      </c>
    </row>
    <row r="482" ht="25" customHeight="1" s="55">
      <c r="A482" s="57" t="inlineStr">
        <is>
          <t>FirstHArvest_OpenFieldLex</t>
        </is>
      </c>
      <c r="B482" s="57" t="n">
        <v>13</v>
      </c>
      <c r="C482" s="57" t="inlineStr">
        <is>
          <t>Date of harvest</t>
        </is>
      </c>
      <c r="D482" s="57" t="inlineStr"/>
      <c r="E482" s="57" t="inlineStr">
        <is>
          <t>2026-07-23</t>
        </is>
      </c>
      <c r="F482" s="57" t="inlineStr">
        <is>
          <t>date_forced:Recorded on first row; South Farm first harvest</t>
        </is>
      </c>
    </row>
    <row r="483" ht="25" customHeight="1" s="55">
      <c r="A483" s="57" t="inlineStr">
        <is>
          <t>FirstHArvest_OpenFieldLex</t>
        </is>
      </c>
      <c r="B483" s="57" t="n">
        <v>14</v>
      </c>
      <c r="C483" s="57" t="inlineStr">
        <is>
          <t>Genotypes</t>
        </is>
      </c>
      <c r="D483" s="57" t="inlineStr">
        <is>
          <t>NC25313-1</t>
        </is>
      </c>
      <c r="E483" s="57" t="inlineStr">
        <is>
          <t>NC25313</t>
        </is>
      </c>
      <c r="F483" s="57" t="inlineStr"/>
    </row>
    <row r="484" ht="25" customHeight="1" s="55">
      <c r="A484" s="57" t="inlineStr">
        <is>
          <t>FirstHArvest_OpenFieldLex</t>
        </is>
      </c>
      <c r="B484" s="57" t="n">
        <v>14</v>
      </c>
      <c r="C484" s="57" t="inlineStr">
        <is>
          <t>Location</t>
        </is>
      </c>
      <c r="D484" s="57" t="inlineStr"/>
      <c r="E484" s="57" t="inlineStr">
        <is>
          <t>South Farm</t>
        </is>
      </c>
      <c r="F484" s="57" t="inlineStr">
        <is>
          <t>forced_from_sheet_name</t>
        </is>
      </c>
    </row>
    <row r="485" ht="25" customHeight="1" s="55">
      <c r="A485" s="57" t="inlineStr">
        <is>
          <t>FirstHArvest_OpenFieldLex</t>
        </is>
      </c>
      <c r="B485" s="57" t="n">
        <v>14</v>
      </c>
      <c r="C485" s="57" t="inlineStr">
        <is>
          <t>Harvest</t>
        </is>
      </c>
      <c r="D485" s="57" t="inlineStr"/>
      <c r="E485" s="57" t="inlineStr">
        <is>
          <t>First</t>
        </is>
      </c>
      <c r="F485" s="57" t="inlineStr">
        <is>
          <t>forced_from_sheet_name</t>
        </is>
      </c>
    </row>
    <row r="486" ht="25" customHeight="1" s="55">
      <c r="A486" s="57" t="inlineStr">
        <is>
          <t>FirstHArvest_OpenFieldLex</t>
        </is>
      </c>
      <c r="B486" s="57" t="n">
        <v>14</v>
      </c>
      <c r="C486" s="57" t="inlineStr">
        <is>
          <t>Date of harvest</t>
        </is>
      </c>
      <c r="D486" s="57" t="inlineStr"/>
      <c r="E486" s="57" t="inlineStr">
        <is>
          <t>2026-07-23</t>
        </is>
      </c>
      <c r="F486" s="57" t="inlineStr">
        <is>
          <t>date_forced:Recorded on first row; South Farm first harvest</t>
        </is>
      </c>
    </row>
    <row r="487" ht="25" customHeight="1" s="55">
      <c r="A487" s="57" t="inlineStr">
        <is>
          <t>FirstHArvest_OpenFieldLex</t>
        </is>
      </c>
      <c r="B487" s="57" t="n">
        <v>15</v>
      </c>
      <c r="C487" s="57" t="inlineStr">
        <is>
          <t>Genotypes</t>
        </is>
      </c>
      <c r="D487" s="57" t="inlineStr">
        <is>
          <t>NC25240G-2</t>
        </is>
      </c>
      <c r="E487" s="57" t="inlineStr">
        <is>
          <t>NC25240G</t>
        </is>
      </c>
      <c r="F487" s="57" t="inlineStr"/>
    </row>
    <row r="488" ht="25" customHeight="1" s="55">
      <c r="A488" s="57" t="inlineStr">
        <is>
          <t>FirstHArvest_OpenFieldLex</t>
        </is>
      </c>
      <c r="B488" s="57" t="n">
        <v>15</v>
      </c>
      <c r="C488" s="57" t="inlineStr">
        <is>
          <t>Location</t>
        </is>
      </c>
      <c r="D488" s="57" t="inlineStr"/>
      <c r="E488" s="57" t="inlineStr">
        <is>
          <t>South Farm</t>
        </is>
      </c>
      <c r="F488" s="57" t="inlineStr">
        <is>
          <t>forced_from_sheet_name</t>
        </is>
      </c>
    </row>
    <row r="489" ht="25" customHeight="1" s="55">
      <c r="A489" s="57" t="inlineStr">
        <is>
          <t>FirstHArvest_OpenFieldLex</t>
        </is>
      </c>
      <c r="B489" s="57" t="n">
        <v>15</v>
      </c>
      <c r="C489" s="57" t="inlineStr">
        <is>
          <t>Harvest</t>
        </is>
      </c>
      <c r="D489" s="57" t="inlineStr"/>
      <c r="E489" s="57" t="inlineStr">
        <is>
          <t>First</t>
        </is>
      </c>
      <c r="F489" s="57" t="inlineStr">
        <is>
          <t>forced_from_sheet_name</t>
        </is>
      </c>
    </row>
    <row r="490" ht="25" customHeight="1" s="55">
      <c r="A490" s="57" t="inlineStr">
        <is>
          <t>FirstHArvest_OpenFieldLex</t>
        </is>
      </c>
      <c r="B490" s="57" t="n">
        <v>15</v>
      </c>
      <c r="C490" s="57" t="inlineStr">
        <is>
          <t>Date of harvest</t>
        </is>
      </c>
      <c r="D490" s="57" t="inlineStr"/>
      <c r="E490" s="57" t="inlineStr">
        <is>
          <t>2026-07-23</t>
        </is>
      </c>
      <c r="F490" s="57" t="inlineStr">
        <is>
          <t>date_forced:Recorded on first row; South Farm first harvest</t>
        </is>
      </c>
    </row>
    <row r="491" ht="25" customHeight="1" s="55">
      <c r="A491" s="57" t="inlineStr">
        <is>
          <t>FirstHArvest_OpenFieldLex</t>
        </is>
      </c>
      <c r="B491" s="57" t="n">
        <v>16</v>
      </c>
      <c r="C491" s="57" t="inlineStr">
        <is>
          <t>Genotypes</t>
        </is>
      </c>
      <c r="D491" s="57" t="inlineStr">
        <is>
          <t>NC25304-1</t>
        </is>
      </c>
      <c r="E491" s="57" t="inlineStr">
        <is>
          <t>NC25304</t>
        </is>
      </c>
      <c r="F491" s="57" t="inlineStr"/>
    </row>
    <row r="492" ht="25" customHeight="1" s="55">
      <c r="A492" s="57" t="inlineStr">
        <is>
          <t>FirstHArvest_OpenFieldLex</t>
        </is>
      </c>
      <c r="B492" s="57" t="n">
        <v>16</v>
      </c>
      <c r="C492" s="57" t="inlineStr">
        <is>
          <t>Location</t>
        </is>
      </c>
      <c r="D492" s="57" t="inlineStr"/>
      <c r="E492" s="57" t="inlineStr">
        <is>
          <t>South Farm</t>
        </is>
      </c>
      <c r="F492" s="57" t="inlineStr">
        <is>
          <t>forced_from_sheet_name</t>
        </is>
      </c>
    </row>
    <row r="493" ht="25" customHeight="1" s="55">
      <c r="A493" s="57" t="inlineStr">
        <is>
          <t>FirstHArvest_OpenFieldLex</t>
        </is>
      </c>
      <c r="B493" s="57" t="n">
        <v>16</v>
      </c>
      <c r="C493" s="57" t="inlineStr">
        <is>
          <t>Harvest</t>
        </is>
      </c>
      <c r="D493" s="57" t="inlineStr"/>
      <c r="E493" s="57" t="inlineStr">
        <is>
          <t>First</t>
        </is>
      </c>
      <c r="F493" s="57" t="inlineStr">
        <is>
          <t>forced_from_sheet_name</t>
        </is>
      </c>
    </row>
    <row r="494" ht="25" customHeight="1" s="55">
      <c r="A494" s="57" t="inlineStr">
        <is>
          <t>FirstHArvest_OpenFieldLex</t>
        </is>
      </c>
      <c r="B494" s="57" t="n">
        <v>16</v>
      </c>
      <c r="C494" s="57" t="inlineStr">
        <is>
          <t>Date of harvest</t>
        </is>
      </c>
      <c r="D494" s="57" t="inlineStr"/>
      <c r="E494" s="57" t="inlineStr">
        <is>
          <t>2026-07-23</t>
        </is>
      </c>
      <c r="F494" s="57" t="inlineStr">
        <is>
          <t>date_forced:Recorded on first row; South Farm first harvest</t>
        </is>
      </c>
    </row>
    <row r="495" ht="25" customHeight="1" s="55">
      <c r="A495" s="57" t="inlineStr">
        <is>
          <t>FirstHArvest_OpenFieldLex</t>
        </is>
      </c>
      <c r="B495" s="57" t="n">
        <v>17</v>
      </c>
      <c r="C495" s="57" t="inlineStr">
        <is>
          <t>Genotypes</t>
        </is>
      </c>
      <c r="D495" s="57" t="inlineStr">
        <is>
          <t>NC25231G-2</t>
        </is>
      </c>
      <c r="E495" s="57" t="inlineStr">
        <is>
          <t>NC25231G</t>
        </is>
      </c>
      <c r="F495" s="57" t="inlineStr"/>
    </row>
    <row r="496" ht="25" customHeight="1" s="55">
      <c r="A496" s="57" t="inlineStr">
        <is>
          <t>FirstHArvest_OpenFieldLex</t>
        </is>
      </c>
      <c r="B496" s="57" t="n">
        <v>17</v>
      </c>
      <c r="C496" s="57" t="inlineStr">
        <is>
          <t>Location</t>
        </is>
      </c>
      <c r="D496" s="57" t="inlineStr"/>
      <c r="E496" s="57" t="inlineStr">
        <is>
          <t>South Farm</t>
        </is>
      </c>
      <c r="F496" s="57" t="inlineStr">
        <is>
          <t>forced_from_sheet_name</t>
        </is>
      </c>
    </row>
    <row r="497" ht="25" customHeight="1" s="55">
      <c r="A497" s="57" t="inlineStr">
        <is>
          <t>FirstHArvest_OpenFieldLex</t>
        </is>
      </c>
      <c r="B497" s="57" t="n">
        <v>17</v>
      </c>
      <c r="C497" s="57" t="inlineStr">
        <is>
          <t>Harvest</t>
        </is>
      </c>
      <c r="D497" s="57" t="inlineStr"/>
      <c r="E497" s="57" t="inlineStr">
        <is>
          <t>First</t>
        </is>
      </c>
      <c r="F497" s="57" t="inlineStr">
        <is>
          <t>forced_from_sheet_name</t>
        </is>
      </c>
    </row>
    <row r="498" ht="25" customHeight="1" s="55">
      <c r="A498" s="57" t="inlineStr">
        <is>
          <t>FirstHArvest_OpenFieldLex</t>
        </is>
      </c>
      <c r="B498" s="57" t="n">
        <v>17</v>
      </c>
      <c r="C498" s="57" t="inlineStr">
        <is>
          <t>Date of harvest</t>
        </is>
      </c>
      <c r="D498" s="57" t="inlineStr"/>
      <c r="E498" s="57" t="inlineStr">
        <is>
          <t>2026-07-23</t>
        </is>
      </c>
      <c r="F498" s="57" t="inlineStr">
        <is>
          <t>date_forced:Recorded on first row; South Farm first harvest</t>
        </is>
      </c>
    </row>
    <row r="499" ht="25" customHeight="1" s="55">
      <c r="A499" s="57" t="inlineStr">
        <is>
          <t>FirstHArvest_OpenFieldLex</t>
        </is>
      </c>
      <c r="B499" s="57" t="n">
        <v>18</v>
      </c>
      <c r="C499" s="57" t="inlineStr">
        <is>
          <t>Genotypes</t>
        </is>
      </c>
      <c r="D499" s="57" t="inlineStr">
        <is>
          <t>NC25306G-1</t>
        </is>
      </c>
      <c r="E499" s="57" t="inlineStr">
        <is>
          <t>NC25306G</t>
        </is>
      </c>
      <c r="F499" s="57" t="inlineStr"/>
    </row>
    <row r="500" ht="25" customHeight="1" s="55">
      <c r="A500" s="57" t="inlineStr">
        <is>
          <t>FirstHArvest_OpenFieldLex</t>
        </is>
      </c>
      <c r="B500" s="57" t="n">
        <v>18</v>
      </c>
      <c r="C500" s="57" t="inlineStr">
        <is>
          <t>Location</t>
        </is>
      </c>
      <c r="D500" s="57" t="inlineStr"/>
      <c r="E500" s="57" t="inlineStr">
        <is>
          <t>South Farm</t>
        </is>
      </c>
      <c r="F500" s="57" t="inlineStr">
        <is>
          <t>forced_from_sheet_name</t>
        </is>
      </c>
    </row>
    <row r="501" ht="25" customHeight="1" s="55">
      <c r="A501" s="57" t="inlineStr">
        <is>
          <t>FirstHArvest_OpenFieldLex</t>
        </is>
      </c>
      <c r="B501" s="57" t="n">
        <v>18</v>
      </c>
      <c r="C501" s="57" t="inlineStr">
        <is>
          <t>Harvest</t>
        </is>
      </c>
      <c r="D501" s="57" t="inlineStr"/>
      <c r="E501" s="57" t="inlineStr">
        <is>
          <t>First</t>
        </is>
      </c>
      <c r="F501" s="57" t="inlineStr">
        <is>
          <t>forced_from_sheet_name</t>
        </is>
      </c>
    </row>
    <row r="502" ht="25" customHeight="1" s="55">
      <c r="A502" s="57" t="inlineStr">
        <is>
          <t>FirstHArvest_OpenFieldLex</t>
        </is>
      </c>
      <c r="B502" s="57" t="n">
        <v>18</v>
      </c>
      <c r="C502" s="57" t="inlineStr">
        <is>
          <t>Date of harvest</t>
        </is>
      </c>
      <c r="D502" s="57" t="inlineStr"/>
      <c r="E502" s="57" t="inlineStr">
        <is>
          <t>2026-07-23</t>
        </is>
      </c>
      <c r="F502" s="57" t="inlineStr">
        <is>
          <t>date_forced:Recorded on first row; South Farm first harvest</t>
        </is>
      </c>
    </row>
    <row r="503" ht="25" customHeight="1" s="55">
      <c r="A503" s="57" t="inlineStr">
        <is>
          <t>FirstHArvest_OpenFieldLex</t>
        </is>
      </c>
      <c r="B503" s="57" t="n">
        <v>19</v>
      </c>
      <c r="C503" s="57" t="inlineStr">
        <is>
          <t>Genotypes</t>
        </is>
      </c>
      <c r="D503" s="57" t="inlineStr">
        <is>
          <t>NC25208G-2</t>
        </is>
      </c>
      <c r="E503" s="57" t="inlineStr">
        <is>
          <t>NC25208G</t>
        </is>
      </c>
      <c r="F503" s="57" t="inlineStr"/>
    </row>
    <row r="504" ht="25" customHeight="1" s="55">
      <c r="A504" s="57" t="inlineStr">
        <is>
          <t>FirstHArvest_OpenFieldLex</t>
        </is>
      </c>
      <c r="B504" s="57" t="n">
        <v>19</v>
      </c>
      <c r="C504" s="57" t="inlineStr">
        <is>
          <t>Location</t>
        </is>
      </c>
      <c r="D504" s="57" t="inlineStr"/>
      <c r="E504" s="57" t="inlineStr">
        <is>
          <t>South Farm</t>
        </is>
      </c>
      <c r="F504" s="57" t="inlineStr">
        <is>
          <t>forced_from_sheet_name</t>
        </is>
      </c>
    </row>
    <row r="505" ht="25" customHeight="1" s="55">
      <c r="A505" s="57" t="inlineStr">
        <is>
          <t>FirstHArvest_OpenFieldLex</t>
        </is>
      </c>
      <c r="B505" s="57" t="n">
        <v>19</v>
      </c>
      <c r="C505" s="57" t="inlineStr">
        <is>
          <t>Harvest</t>
        </is>
      </c>
      <c r="D505" s="57" t="inlineStr"/>
      <c r="E505" s="57" t="inlineStr">
        <is>
          <t>First</t>
        </is>
      </c>
      <c r="F505" s="57" t="inlineStr">
        <is>
          <t>forced_from_sheet_name</t>
        </is>
      </c>
    </row>
    <row r="506" ht="25" customHeight="1" s="55">
      <c r="A506" s="57" t="inlineStr">
        <is>
          <t>FirstHArvest_OpenFieldLex</t>
        </is>
      </c>
      <c r="B506" s="57" t="n">
        <v>19</v>
      </c>
      <c r="C506" s="57" t="inlineStr">
        <is>
          <t>Date of harvest</t>
        </is>
      </c>
      <c r="D506" s="57" t="inlineStr"/>
      <c r="E506" s="57" t="inlineStr">
        <is>
          <t>2026-07-23</t>
        </is>
      </c>
      <c r="F506" s="57" t="inlineStr">
        <is>
          <t>date_forced:Recorded on first row; South Farm first harvest</t>
        </is>
      </c>
    </row>
    <row r="507" ht="25" customHeight="1" s="55">
      <c r="A507" s="57" t="inlineStr">
        <is>
          <t>FirstHArvest_OpenFieldLex</t>
        </is>
      </c>
      <c r="B507" s="57" t="n">
        <v>20</v>
      </c>
      <c r="C507" s="57" t="inlineStr">
        <is>
          <t>Genotypes</t>
        </is>
      </c>
      <c r="D507" s="57" t="inlineStr">
        <is>
          <t>MountainGem-1</t>
        </is>
      </c>
      <c r="E507" s="57" t="inlineStr">
        <is>
          <t>Mt. Gem</t>
        </is>
      </c>
      <c r="F507" s="57" t="inlineStr"/>
    </row>
    <row r="508" ht="25" customHeight="1" s="55">
      <c r="A508" s="57" t="inlineStr">
        <is>
          <t>FirstHArvest_OpenFieldLex</t>
        </is>
      </c>
      <c r="B508" s="57" t="n">
        <v>20</v>
      </c>
      <c r="C508" s="57" t="inlineStr">
        <is>
          <t>Location</t>
        </is>
      </c>
      <c r="D508" s="57" t="inlineStr"/>
      <c r="E508" s="57" t="inlineStr">
        <is>
          <t>South Farm</t>
        </is>
      </c>
      <c r="F508" s="57" t="inlineStr">
        <is>
          <t>forced_from_sheet_name</t>
        </is>
      </c>
    </row>
    <row r="509" ht="25" customHeight="1" s="55">
      <c r="A509" s="57" t="inlineStr">
        <is>
          <t>FirstHArvest_OpenFieldLex</t>
        </is>
      </c>
      <c r="B509" s="57" t="n">
        <v>20</v>
      </c>
      <c r="C509" s="57" t="inlineStr">
        <is>
          <t>Harvest</t>
        </is>
      </c>
      <c r="D509" s="57" t="inlineStr"/>
      <c r="E509" s="57" t="inlineStr">
        <is>
          <t>First</t>
        </is>
      </c>
      <c r="F509" s="57" t="inlineStr">
        <is>
          <t>forced_from_sheet_name</t>
        </is>
      </c>
    </row>
    <row r="510" ht="25" customHeight="1" s="55">
      <c r="A510" s="57" t="inlineStr">
        <is>
          <t>FirstHArvest_OpenFieldLex</t>
        </is>
      </c>
      <c r="B510" s="57" t="n">
        <v>20</v>
      </c>
      <c r="C510" s="57" t="inlineStr">
        <is>
          <t>Date of harvest</t>
        </is>
      </c>
      <c r="D510" s="57" t="inlineStr"/>
      <c r="E510" s="57" t="inlineStr">
        <is>
          <t>2026-07-23</t>
        </is>
      </c>
      <c r="F510" s="57" t="inlineStr">
        <is>
          <t>date_forced:Recorded on first row; South Farm first harvest</t>
        </is>
      </c>
    </row>
    <row r="511" ht="25" customHeight="1" s="55">
      <c r="A511" s="57" t="inlineStr">
        <is>
          <t>FirstHArvest_OpenFieldLex</t>
        </is>
      </c>
      <c r="B511" s="57" t="n">
        <v>21</v>
      </c>
      <c r="C511" s="57" t="inlineStr">
        <is>
          <t>Genotypes</t>
        </is>
      </c>
      <c r="D511" s="57" t="inlineStr">
        <is>
          <t>Mountain magic -1</t>
        </is>
      </c>
      <c r="E511" s="57" t="inlineStr">
        <is>
          <t>Mt. Magic</t>
        </is>
      </c>
      <c r="F511" s="57" t="inlineStr"/>
    </row>
    <row r="512" ht="25" customHeight="1" s="55">
      <c r="A512" s="57" t="inlineStr">
        <is>
          <t>FirstHArvest_OpenFieldLex</t>
        </is>
      </c>
      <c r="B512" s="57" t="n">
        <v>21</v>
      </c>
      <c r="C512" s="57" t="inlineStr">
        <is>
          <t>Location</t>
        </is>
      </c>
      <c r="D512" s="57" t="inlineStr"/>
      <c r="E512" s="57" t="inlineStr">
        <is>
          <t>South Farm</t>
        </is>
      </c>
      <c r="F512" s="57" t="inlineStr">
        <is>
          <t>forced_from_sheet_name</t>
        </is>
      </c>
    </row>
    <row r="513" ht="25" customHeight="1" s="55">
      <c r="A513" s="57" t="inlineStr">
        <is>
          <t>FirstHArvest_OpenFieldLex</t>
        </is>
      </c>
      <c r="B513" s="57" t="n">
        <v>21</v>
      </c>
      <c r="C513" s="57" t="inlineStr">
        <is>
          <t>Harvest</t>
        </is>
      </c>
      <c r="D513" s="57" t="inlineStr"/>
      <c r="E513" s="57" t="inlineStr">
        <is>
          <t>First</t>
        </is>
      </c>
      <c r="F513" s="57" t="inlineStr">
        <is>
          <t>forced_from_sheet_name</t>
        </is>
      </c>
    </row>
    <row r="514" ht="25" customHeight="1" s="55">
      <c r="A514" s="57" t="inlineStr">
        <is>
          <t>FirstHArvest_OpenFieldLex</t>
        </is>
      </c>
      <c r="B514" s="57" t="n">
        <v>21</v>
      </c>
      <c r="C514" s="57" t="inlineStr">
        <is>
          <t>Date of harvest</t>
        </is>
      </c>
      <c r="D514" s="57" t="inlineStr"/>
      <c r="E514" s="57" t="inlineStr">
        <is>
          <t>2026-07-23</t>
        </is>
      </c>
      <c r="F514" s="57" t="inlineStr">
        <is>
          <t>date_forced:Recorded on first row; South Farm first harvest</t>
        </is>
      </c>
    </row>
    <row r="515" ht="25" customHeight="1" s="55">
      <c r="A515" s="57" t="inlineStr">
        <is>
          <t>FirstHArvest_OpenFieldLex</t>
        </is>
      </c>
      <c r="B515" s="57" t="n">
        <v>22</v>
      </c>
      <c r="C515" s="57" t="inlineStr">
        <is>
          <t>Location</t>
        </is>
      </c>
      <c r="D515" s="57" t="inlineStr"/>
      <c r="E515" s="57" t="inlineStr">
        <is>
          <t>South Farm</t>
        </is>
      </c>
      <c r="F515" s="57" t="inlineStr">
        <is>
          <t>forced_from_sheet_name</t>
        </is>
      </c>
    </row>
    <row r="516" ht="25" customHeight="1" s="55">
      <c r="A516" s="57" t="inlineStr">
        <is>
          <t>FirstHArvest_OpenFieldLex</t>
        </is>
      </c>
      <c r="B516" s="57" t="n">
        <v>22</v>
      </c>
      <c r="C516" s="57" t="inlineStr">
        <is>
          <t>Harvest</t>
        </is>
      </c>
      <c r="D516" s="57" t="inlineStr"/>
      <c r="E516" s="57" t="inlineStr">
        <is>
          <t>First</t>
        </is>
      </c>
      <c r="F516" s="57" t="inlineStr">
        <is>
          <t>forced_from_sheet_name</t>
        </is>
      </c>
    </row>
    <row r="517" ht="25" customHeight="1" s="55">
      <c r="A517" s="57" t="inlineStr">
        <is>
          <t>FirstHArvest_OpenFieldLex</t>
        </is>
      </c>
      <c r="B517" s="57" t="n">
        <v>22</v>
      </c>
      <c r="C517" s="57" t="inlineStr">
        <is>
          <t>Date of harvest</t>
        </is>
      </c>
      <c r="D517" s="57" t="inlineStr"/>
      <c r="E517" s="57" t="inlineStr">
        <is>
          <t>2026-07-23</t>
        </is>
      </c>
      <c r="F517" s="57" t="inlineStr">
        <is>
          <t>date_forced:Recorded on first row; South Farm first harvest</t>
        </is>
      </c>
    </row>
    <row r="518" ht="25" customHeight="1" s="55">
      <c r="A518" s="57" t="inlineStr">
        <is>
          <t>FirstHArvest_OpenFieldLex</t>
        </is>
      </c>
      <c r="B518" s="57" t="n">
        <v>23</v>
      </c>
      <c r="C518" s="57" t="inlineStr">
        <is>
          <t>Genotypes</t>
        </is>
      </c>
      <c r="D518" s="57" t="inlineStr">
        <is>
          <t>NC25203-1</t>
        </is>
      </c>
      <c r="E518" s="57" t="inlineStr">
        <is>
          <t>NC25203</t>
        </is>
      </c>
      <c r="F518" s="57" t="inlineStr"/>
    </row>
    <row r="519" ht="25" customHeight="1" s="55">
      <c r="A519" s="57" t="inlineStr">
        <is>
          <t>FirstHArvest_OpenFieldLex</t>
        </is>
      </c>
      <c r="B519" s="57" t="n">
        <v>23</v>
      </c>
      <c r="C519" s="57" t="inlineStr">
        <is>
          <t>Location</t>
        </is>
      </c>
      <c r="D519" s="57" t="inlineStr"/>
      <c r="E519" s="57" t="inlineStr">
        <is>
          <t>South Farm</t>
        </is>
      </c>
      <c r="F519" s="57" t="inlineStr">
        <is>
          <t>forced_from_sheet_name</t>
        </is>
      </c>
    </row>
    <row r="520" ht="25" customHeight="1" s="55">
      <c r="A520" s="57" t="inlineStr">
        <is>
          <t>FirstHArvest_OpenFieldLex</t>
        </is>
      </c>
      <c r="B520" s="57" t="n">
        <v>23</v>
      </c>
      <c r="C520" s="57" t="inlineStr">
        <is>
          <t>Harvest</t>
        </is>
      </c>
      <c r="D520" s="57" t="inlineStr"/>
      <c r="E520" s="57" t="inlineStr">
        <is>
          <t>First</t>
        </is>
      </c>
      <c r="F520" s="57" t="inlineStr">
        <is>
          <t>forced_from_sheet_name</t>
        </is>
      </c>
    </row>
    <row r="521" ht="25" customHeight="1" s="55">
      <c r="A521" s="57" t="inlineStr">
        <is>
          <t>FirstHArvest_OpenFieldLex</t>
        </is>
      </c>
      <c r="B521" s="57" t="n">
        <v>23</v>
      </c>
      <c r="C521" s="57" t="inlineStr">
        <is>
          <t>Date of harvest</t>
        </is>
      </c>
      <c r="D521" s="57" t="inlineStr"/>
      <c r="E521" s="57" t="inlineStr">
        <is>
          <t>2026-07-23</t>
        </is>
      </c>
      <c r="F521" s="57" t="inlineStr">
        <is>
          <t>date_forced:Recorded on first row; South Farm first harvest</t>
        </is>
      </c>
    </row>
    <row r="522" ht="25" customHeight="1" s="55">
      <c r="A522" s="57" t="inlineStr">
        <is>
          <t>FirstHArvest_OpenFieldLex</t>
        </is>
      </c>
      <c r="B522" s="57" t="n">
        <v>24</v>
      </c>
      <c r="C522" s="57" t="inlineStr">
        <is>
          <t>Genotypes</t>
        </is>
      </c>
      <c r="D522" s="57" t="inlineStr">
        <is>
          <t>NC262G-2</t>
        </is>
      </c>
      <c r="E522" s="57" t="inlineStr">
        <is>
          <t>NC262G</t>
        </is>
      </c>
      <c r="F522" s="57" t="inlineStr"/>
    </row>
    <row r="523" ht="25" customHeight="1" s="55">
      <c r="A523" s="57" t="inlineStr">
        <is>
          <t>FirstHArvest_OpenFieldLex</t>
        </is>
      </c>
      <c r="B523" s="57" t="n">
        <v>24</v>
      </c>
      <c r="C523" s="57" t="inlineStr">
        <is>
          <t>Location</t>
        </is>
      </c>
      <c r="D523" s="57" t="inlineStr"/>
      <c r="E523" s="57" t="inlineStr">
        <is>
          <t>South Farm</t>
        </is>
      </c>
      <c r="F523" s="57" t="inlineStr">
        <is>
          <t>forced_from_sheet_name</t>
        </is>
      </c>
    </row>
    <row r="524" ht="25" customHeight="1" s="55">
      <c r="A524" s="57" t="inlineStr">
        <is>
          <t>FirstHArvest_OpenFieldLex</t>
        </is>
      </c>
      <c r="B524" s="57" t="n">
        <v>24</v>
      </c>
      <c r="C524" s="57" t="inlineStr">
        <is>
          <t>Harvest</t>
        </is>
      </c>
      <c r="D524" s="57" t="inlineStr"/>
      <c r="E524" s="57" t="inlineStr">
        <is>
          <t>First</t>
        </is>
      </c>
      <c r="F524" s="57" t="inlineStr">
        <is>
          <t>forced_from_sheet_name</t>
        </is>
      </c>
    </row>
    <row r="525" ht="25" customHeight="1" s="55">
      <c r="A525" s="57" t="inlineStr">
        <is>
          <t>FirstHArvest_OpenFieldLex</t>
        </is>
      </c>
      <c r="B525" s="57" t="n">
        <v>24</v>
      </c>
      <c r="C525" s="57" t="inlineStr">
        <is>
          <t>Date of harvest</t>
        </is>
      </c>
      <c r="D525" s="57" t="inlineStr"/>
      <c r="E525" s="57" t="inlineStr">
        <is>
          <t>2026-07-23</t>
        </is>
      </c>
      <c r="F525" s="57" t="inlineStr">
        <is>
          <t>date_forced:Recorded on first row; South Farm first harvest</t>
        </is>
      </c>
    </row>
    <row r="526" ht="25" customHeight="1" s="55">
      <c r="A526" s="57" t="inlineStr">
        <is>
          <t>FirstHArvest_OpenFieldLex</t>
        </is>
      </c>
      <c r="B526" s="57" t="n">
        <v>25</v>
      </c>
      <c r="C526" s="57" t="inlineStr">
        <is>
          <t>Genotypes</t>
        </is>
      </c>
      <c r="D526" s="57" t="inlineStr">
        <is>
          <t>NC25217G-1</t>
        </is>
      </c>
      <c r="E526" s="57" t="inlineStr">
        <is>
          <t>NC25217G</t>
        </is>
      </c>
      <c r="F526" s="57" t="inlineStr"/>
    </row>
    <row r="527" ht="25" customHeight="1" s="55">
      <c r="A527" s="57" t="inlineStr">
        <is>
          <t>FirstHArvest_OpenFieldLex</t>
        </is>
      </c>
      <c r="B527" s="57" t="n">
        <v>25</v>
      </c>
      <c r="C527" s="57" t="inlineStr">
        <is>
          <t>Location</t>
        </is>
      </c>
      <c r="D527" s="57" t="inlineStr"/>
      <c r="E527" s="57" t="inlineStr">
        <is>
          <t>South Farm</t>
        </is>
      </c>
      <c r="F527" s="57" t="inlineStr">
        <is>
          <t>forced_from_sheet_name</t>
        </is>
      </c>
    </row>
    <row r="528" ht="25" customHeight="1" s="55">
      <c r="A528" s="57" t="inlineStr">
        <is>
          <t>FirstHArvest_OpenFieldLex</t>
        </is>
      </c>
      <c r="B528" s="57" t="n">
        <v>25</v>
      </c>
      <c r="C528" s="57" t="inlineStr">
        <is>
          <t>Harvest</t>
        </is>
      </c>
      <c r="D528" s="57" t="inlineStr"/>
      <c r="E528" s="57" t="inlineStr">
        <is>
          <t>First</t>
        </is>
      </c>
      <c r="F528" s="57" t="inlineStr">
        <is>
          <t>forced_from_sheet_name</t>
        </is>
      </c>
    </row>
    <row r="529" ht="25" customHeight="1" s="55">
      <c r="A529" s="57" t="inlineStr">
        <is>
          <t>FirstHArvest_OpenFieldLex</t>
        </is>
      </c>
      <c r="B529" s="57" t="n">
        <v>25</v>
      </c>
      <c r="C529" s="57" t="inlineStr">
        <is>
          <t>Date of harvest</t>
        </is>
      </c>
      <c r="D529" s="57" t="inlineStr"/>
      <c r="E529" s="57" t="inlineStr">
        <is>
          <t>2026-07-23</t>
        </is>
      </c>
      <c r="F529" s="57" t="inlineStr">
        <is>
          <t>date_forced:Recorded on first row; South Farm first harvest</t>
        </is>
      </c>
    </row>
    <row r="530" ht="25" customHeight="1" s="55">
      <c r="A530" s="57" t="inlineStr">
        <is>
          <t>FirstHArvest_OpenFieldLex</t>
        </is>
      </c>
      <c r="B530" s="57" t="n">
        <v>26</v>
      </c>
      <c r="C530" s="57" t="inlineStr">
        <is>
          <t>Genotypes</t>
        </is>
      </c>
      <c r="D530" s="57" t="inlineStr">
        <is>
          <t>NC25212G-1</t>
        </is>
      </c>
      <c r="E530" s="57" t="inlineStr">
        <is>
          <t>NC25212G</t>
        </is>
      </c>
      <c r="F530" s="57" t="inlineStr"/>
    </row>
    <row r="531" ht="25" customHeight="1" s="55">
      <c r="A531" s="57" t="inlineStr">
        <is>
          <t>FirstHArvest_OpenFieldLex</t>
        </is>
      </c>
      <c r="B531" s="57" t="n">
        <v>26</v>
      </c>
      <c r="C531" s="57" t="inlineStr">
        <is>
          <t>Location</t>
        </is>
      </c>
      <c r="D531" s="57" t="inlineStr"/>
      <c r="E531" s="57" t="inlineStr">
        <is>
          <t>South Farm</t>
        </is>
      </c>
      <c r="F531" s="57" t="inlineStr">
        <is>
          <t>forced_from_sheet_name</t>
        </is>
      </c>
    </row>
    <row r="532" ht="25" customHeight="1" s="55">
      <c r="A532" s="57" t="inlineStr">
        <is>
          <t>FirstHArvest_OpenFieldLex</t>
        </is>
      </c>
      <c r="B532" s="57" t="n">
        <v>26</v>
      </c>
      <c r="C532" s="57" t="inlineStr">
        <is>
          <t>Harvest</t>
        </is>
      </c>
      <c r="D532" s="57" t="inlineStr"/>
      <c r="E532" s="57" t="inlineStr">
        <is>
          <t>First</t>
        </is>
      </c>
      <c r="F532" s="57" t="inlineStr">
        <is>
          <t>forced_from_sheet_name</t>
        </is>
      </c>
    </row>
    <row r="533" ht="25" customHeight="1" s="55">
      <c r="A533" s="57" t="inlineStr">
        <is>
          <t>FirstHArvest_OpenFieldLex</t>
        </is>
      </c>
      <c r="B533" s="57" t="n">
        <v>26</v>
      </c>
      <c r="C533" s="57" t="inlineStr">
        <is>
          <t>Date of harvest</t>
        </is>
      </c>
      <c r="D533" s="57" t="inlineStr"/>
      <c r="E533" s="57" t="inlineStr">
        <is>
          <t>2026-07-23</t>
        </is>
      </c>
      <c r="F533" s="57" t="inlineStr">
        <is>
          <t>date_forced:Recorded on first row; South Farm first harvest</t>
        </is>
      </c>
    </row>
    <row r="534" ht="25" customHeight="1" s="55">
      <c r="A534" s="57" t="inlineStr">
        <is>
          <t>FirstHArvest_OpenFieldLex</t>
        </is>
      </c>
      <c r="B534" s="57" t="n">
        <v>27</v>
      </c>
      <c r="C534" s="57" t="inlineStr">
        <is>
          <t>Genotypes</t>
        </is>
      </c>
      <c r="D534" s="57" t="inlineStr">
        <is>
          <t>NC263G-1</t>
        </is>
      </c>
      <c r="E534" s="57" t="inlineStr">
        <is>
          <t>NC263G</t>
        </is>
      </c>
      <c r="F534" s="57" t="inlineStr"/>
    </row>
    <row r="535" ht="25" customHeight="1" s="55">
      <c r="A535" s="57" t="inlineStr">
        <is>
          <t>FirstHArvest_OpenFieldLex</t>
        </is>
      </c>
      <c r="B535" s="57" t="n">
        <v>27</v>
      </c>
      <c r="C535" s="57" t="inlineStr">
        <is>
          <t>Location</t>
        </is>
      </c>
      <c r="D535" s="57" t="inlineStr"/>
      <c r="E535" s="57" t="inlineStr">
        <is>
          <t>South Farm</t>
        </is>
      </c>
      <c r="F535" s="57" t="inlineStr">
        <is>
          <t>forced_from_sheet_name</t>
        </is>
      </c>
    </row>
    <row r="536" ht="25" customHeight="1" s="55">
      <c r="A536" s="57" t="inlineStr">
        <is>
          <t>FirstHArvest_OpenFieldLex</t>
        </is>
      </c>
      <c r="B536" s="57" t="n">
        <v>27</v>
      </c>
      <c r="C536" s="57" t="inlineStr">
        <is>
          <t>Harvest</t>
        </is>
      </c>
      <c r="D536" s="57" t="inlineStr"/>
      <c r="E536" s="57" t="inlineStr">
        <is>
          <t>First</t>
        </is>
      </c>
      <c r="F536" s="57" t="inlineStr">
        <is>
          <t>forced_from_sheet_name</t>
        </is>
      </c>
    </row>
    <row r="537" ht="25" customHeight="1" s="55">
      <c r="A537" s="57" t="inlineStr">
        <is>
          <t>FirstHArvest_OpenFieldLex</t>
        </is>
      </c>
      <c r="B537" s="57" t="n">
        <v>27</v>
      </c>
      <c r="C537" s="57" t="inlineStr">
        <is>
          <t>Date of harvest</t>
        </is>
      </c>
      <c r="D537" s="57" t="inlineStr"/>
      <c r="E537" s="57" t="inlineStr">
        <is>
          <t>2026-07-23</t>
        </is>
      </c>
      <c r="F537" s="57" t="inlineStr">
        <is>
          <t>date_forced:Recorded on first row; South Farm first harvest</t>
        </is>
      </c>
    </row>
    <row r="538" ht="25" customHeight="1" s="55">
      <c r="A538" s="57" t="inlineStr">
        <is>
          <t>FirstHArvest_OpenFieldLex</t>
        </is>
      </c>
      <c r="B538" s="57" t="n">
        <v>28</v>
      </c>
      <c r="C538" s="57" t="inlineStr">
        <is>
          <t>Genotypes</t>
        </is>
      </c>
      <c r="D538" s="57" t="inlineStr">
        <is>
          <t>NC262G-1</t>
        </is>
      </c>
      <c r="E538" s="57" t="inlineStr">
        <is>
          <t>NC262G</t>
        </is>
      </c>
      <c r="F538" s="57" t="inlineStr"/>
    </row>
    <row r="539" ht="25" customHeight="1" s="55">
      <c r="A539" s="57" t="inlineStr">
        <is>
          <t>FirstHArvest_OpenFieldLex</t>
        </is>
      </c>
      <c r="B539" s="57" t="n">
        <v>28</v>
      </c>
      <c r="C539" s="57" t="inlineStr">
        <is>
          <t>Location</t>
        </is>
      </c>
      <c r="D539" s="57" t="inlineStr"/>
      <c r="E539" s="57" t="inlineStr">
        <is>
          <t>South Farm</t>
        </is>
      </c>
      <c r="F539" s="57" t="inlineStr">
        <is>
          <t>forced_from_sheet_name</t>
        </is>
      </c>
    </row>
    <row r="540" ht="25" customHeight="1" s="55">
      <c r="A540" s="57" t="inlineStr">
        <is>
          <t>FirstHArvest_OpenFieldLex</t>
        </is>
      </c>
      <c r="B540" s="57" t="n">
        <v>28</v>
      </c>
      <c r="C540" s="57" t="inlineStr">
        <is>
          <t>Harvest</t>
        </is>
      </c>
      <c r="D540" s="57" t="inlineStr"/>
      <c r="E540" s="57" t="inlineStr">
        <is>
          <t>First</t>
        </is>
      </c>
      <c r="F540" s="57" t="inlineStr">
        <is>
          <t>forced_from_sheet_name</t>
        </is>
      </c>
    </row>
    <row r="541" ht="25" customHeight="1" s="55">
      <c r="A541" s="57" t="inlineStr">
        <is>
          <t>FirstHArvest_OpenFieldLex</t>
        </is>
      </c>
      <c r="B541" s="57" t="n">
        <v>28</v>
      </c>
      <c r="C541" s="57" t="inlineStr">
        <is>
          <t>Date of harvest</t>
        </is>
      </c>
      <c r="D541" s="57" t="inlineStr"/>
      <c r="E541" s="57" t="inlineStr">
        <is>
          <t>2026-07-23</t>
        </is>
      </c>
      <c r="F541" s="57" t="inlineStr">
        <is>
          <t>date_forced:Recorded on first row; South Farm first harvest</t>
        </is>
      </c>
    </row>
    <row r="542" ht="25" customHeight="1" s="55">
      <c r="A542" s="57" t="inlineStr">
        <is>
          <t>FirstHArvest_OpenFieldLex</t>
        </is>
      </c>
      <c r="B542" s="57" t="n">
        <v>29</v>
      </c>
      <c r="C542" s="57" t="inlineStr">
        <is>
          <t>Genotypes</t>
        </is>
      </c>
      <c r="D542" s="57" t="inlineStr">
        <is>
          <t>NC261G-1</t>
        </is>
      </c>
      <c r="E542" s="57" t="inlineStr">
        <is>
          <t>NC261G</t>
        </is>
      </c>
      <c r="F542" s="57" t="inlineStr"/>
    </row>
    <row r="543" ht="25" customHeight="1" s="55">
      <c r="A543" s="57" t="inlineStr">
        <is>
          <t>FirstHArvest_OpenFieldLex</t>
        </is>
      </c>
      <c r="B543" s="57" t="n">
        <v>29</v>
      </c>
      <c r="C543" s="57" t="inlineStr">
        <is>
          <t>Location</t>
        </is>
      </c>
      <c r="D543" s="57" t="inlineStr"/>
      <c r="E543" s="57" t="inlineStr">
        <is>
          <t>South Farm</t>
        </is>
      </c>
      <c r="F543" s="57" t="inlineStr">
        <is>
          <t>forced_from_sheet_name</t>
        </is>
      </c>
    </row>
    <row r="544" ht="25" customHeight="1" s="55">
      <c r="A544" s="57" t="inlineStr">
        <is>
          <t>FirstHArvest_OpenFieldLex</t>
        </is>
      </c>
      <c r="B544" s="57" t="n">
        <v>29</v>
      </c>
      <c r="C544" s="57" t="inlineStr">
        <is>
          <t>Harvest</t>
        </is>
      </c>
      <c r="D544" s="57" t="inlineStr"/>
      <c r="E544" s="57" t="inlineStr">
        <is>
          <t>First</t>
        </is>
      </c>
      <c r="F544" s="57" t="inlineStr">
        <is>
          <t>forced_from_sheet_name</t>
        </is>
      </c>
    </row>
    <row r="545" ht="25" customHeight="1" s="55">
      <c r="A545" s="57" t="inlineStr">
        <is>
          <t>FirstHArvest_OpenFieldLex</t>
        </is>
      </c>
      <c r="B545" s="57" t="n">
        <v>29</v>
      </c>
      <c r="C545" s="57" t="inlineStr">
        <is>
          <t>Date of harvest</t>
        </is>
      </c>
      <c r="D545" s="57" t="inlineStr"/>
      <c r="E545" s="57" t="inlineStr">
        <is>
          <t>2026-07-23</t>
        </is>
      </c>
      <c r="F545" s="57" t="inlineStr">
        <is>
          <t>date_forced:Recorded on first row; South Farm first harvest</t>
        </is>
      </c>
    </row>
    <row r="546" ht="25" customHeight="1" s="55">
      <c r="A546" s="57" t="inlineStr">
        <is>
          <t>FirstHArvest_OpenFieldLex</t>
        </is>
      </c>
      <c r="B546" s="57" t="n">
        <v>30</v>
      </c>
      <c r="C546" s="57" t="inlineStr">
        <is>
          <t>Genotypes</t>
        </is>
      </c>
      <c r="D546" s="57" t="inlineStr">
        <is>
          <t>NC23926G-1</t>
        </is>
      </c>
      <c r="E546" s="57" t="inlineStr">
        <is>
          <t>NC23926G</t>
        </is>
      </c>
      <c r="F546" s="57" t="inlineStr"/>
    </row>
    <row r="547" ht="25" customHeight="1" s="55">
      <c r="A547" s="57" t="inlineStr">
        <is>
          <t>FirstHArvest_OpenFieldLex</t>
        </is>
      </c>
      <c r="B547" s="57" t="n">
        <v>30</v>
      </c>
      <c r="C547" s="57" t="inlineStr">
        <is>
          <t>Location</t>
        </is>
      </c>
      <c r="D547" s="57" t="inlineStr"/>
      <c r="E547" s="57" t="inlineStr">
        <is>
          <t>South Farm</t>
        </is>
      </c>
      <c r="F547" s="57" t="inlineStr">
        <is>
          <t>forced_from_sheet_name</t>
        </is>
      </c>
    </row>
    <row r="548" ht="25" customHeight="1" s="55">
      <c r="A548" s="57" t="inlineStr">
        <is>
          <t>FirstHArvest_OpenFieldLex</t>
        </is>
      </c>
      <c r="B548" s="57" t="n">
        <v>30</v>
      </c>
      <c r="C548" s="57" t="inlineStr">
        <is>
          <t>Harvest</t>
        </is>
      </c>
      <c r="D548" s="57" t="inlineStr"/>
      <c r="E548" s="57" t="inlineStr">
        <is>
          <t>First</t>
        </is>
      </c>
      <c r="F548" s="57" t="inlineStr">
        <is>
          <t>forced_from_sheet_name</t>
        </is>
      </c>
    </row>
    <row r="549" ht="25" customHeight="1" s="55">
      <c r="A549" s="57" t="inlineStr">
        <is>
          <t>FirstHArvest_OpenFieldLex</t>
        </is>
      </c>
      <c r="B549" s="57" t="n">
        <v>30</v>
      </c>
      <c r="C549" s="57" t="inlineStr">
        <is>
          <t>Date of harvest</t>
        </is>
      </c>
      <c r="D549" s="57" t="inlineStr"/>
      <c r="E549" s="57" t="inlineStr">
        <is>
          <t>2026-07-23</t>
        </is>
      </c>
      <c r="F549" s="57" t="inlineStr">
        <is>
          <t>date_forced:Recorded on first row; South Farm first harvest</t>
        </is>
      </c>
    </row>
    <row r="550" ht="25" customHeight="1" s="55">
      <c r="A550" s="57" t="inlineStr">
        <is>
          <t>FirstHArvest_OpenFieldLex</t>
        </is>
      </c>
      <c r="B550" s="57" t="n">
        <v>31</v>
      </c>
      <c r="C550" s="57" t="inlineStr">
        <is>
          <t>Genotypes</t>
        </is>
      </c>
      <c r="D550" s="57" t="inlineStr">
        <is>
          <t>NC255G-1</t>
        </is>
      </c>
      <c r="E550" s="57" t="inlineStr">
        <is>
          <t>NC255G</t>
        </is>
      </c>
      <c r="F550" s="57" t="inlineStr"/>
    </row>
    <row r="551" ht="25" customHeight="1" s="55">
      <c r="A551" s="57" t="inlineStr">
        <is>
          <t>FirstHArvest_OpenFieldLex</t>
        </is>
      </c>
      <c r="B551" s="57" t="n">
        <v>31</v>
      </c>
      <c r="C551" s="57" t="inlineStr">
        <is>
          <t>Location</t>
        </is>
      </c>
      <c r="D551" s="57" t="inlineStr"/>
      <c r="E551" s="57" t="inlineStr">
        <is>
          <t>South Farm</t>
        </is>
      </c>
      <c r="F551" s="57" t="inlineStr">
        <is>
          <t>forced_from_sheet_name</t>
        </is>
      </c>
    </row>
    <row r="552" ht="25" customHeight="1" s="55">
      <c r="A552" s="57" t="inlineStr">
        <is>
          <t>FirstHArvest_OpenFieldLex</t>
        </is>
      </c>
      <c r="B552" s="57" t="n">
        <v>31</v>
      </c>
      <c r="C552" s="57" t="inlineStr">
        <is>
          <t>Harvest</t>
        </is>
      </c>
      <c r="D552" s="57" t="inlineStr"/>
      <c r="E552" s="57" t="inlineStr">
        <is>
          <t>First</t>
        </is>
      </c>
      <c r="F552" s="57" t="inlineStr">
        <is>
          <t>forced_from_sheet_name</t>
        </is>
      </c>
    </row>
    <row r="553" ht="25" customHeight="1" s="55">
      <c r="A553" s="57" t="inlineStr">
        <is>
          <t>FirstHArvest_OpenFieldLex</t>
        </is>
      </c>
      <c r="B553" s="57" t="n">
        <v>31</v>
      </c>
      <c r="C553" s="57" t="inlineStr">
        <is>
          <t>Date of harvest</t>
        </is>
      </c>
      <c r="D553" s="57" t="inlineStr"/>
      <c r="E553" s="57" t="inlineStr">
        <is>
          <t>2026-07-23</t>
        </is>
      </c>
      <c r="F553" s="57" t="inlineStr">
        <is>
          <t>date_forced:Recorded on first row; South Farm first harvest</t>
        </is>
      </c>
    </row>
    <row r="554" ht="25" customHeight="1" s="55">
      <c r="A554" s="57" t="inlineStr">
        <is>
          <t>FirstHArvest_OpenFieldLex</t>
        </is>
      </c>
      <c r="B554" s="57" t="n">
        <v>32</v>
      </c>
      <c r="C554" s="57" t="inlineStr">
        <is>
          <t>Location</t>
        </is>
      </c>
      <c r="D554" s="57" t="inlineStr"/>
      <c r="E554" s="57" t="inlineStr">
        <is>
          <t>South Farm</t>
        </is>
      </c>
      <c r="F554" s="57" t="inlineStr">
        <is>
          <t>forced_from_sheet_name</t>
        </is>
      </c>
    </row>
    <row r="555" ht="25" customHeight="1" s="55">
      <c r="A555" s="57" t="inlineStr">
        <is>
          <t>FirstHArvest_OpenFieldLex</t>
        </is>
      </c>
      <c r="B555" s="57" t="n">
        <v>32</v>
      </c>
      <c r="C555" s="57" t="inlineStr">
        <is>
          <t>Harvest</t>
        </is>
      </c>
      <c r="D555" s="57" t="inlineStr"/>
      <c r="E555" s="57" t="inlineStr">
        <is>
          <t>First</t>
        </is>
      </c>
      <c r="F555" s="57" t="inlineStr">
        <is>
          <t>forced_from_sheet_name</t>
        </is>
      </c>
    </row>
    <row r="556" ht="25" customHeight="1" s="55">
      <c r="A556" s="57" t="inlineStr">
        <is>
          <t>FirstHArvest_OpenFieldLex</t>
        </is>
      </c>
      <c r="B556" s="57" t="n">
        <v>32</v>
      </c>
      <c r="C556" s="57" t="inlineStr">
        <is>
          <t>Date of harvest</t>
        </is>
      </c>
      <c r="D556" s="57" t="inlineStr"/>
      <c r="E556" s="57" t="inlineStr">
        <is>
          <t>2026-07-23</t>
        </is>
      </c>
      <c r="F556" s="57" t="inlineStr">
        <is>
          <t>date_forced:Recorded on first row; South Farm first harvest</t>
        </is>
      </c>
    </row>
    <row r="557" ht="25" customHeight="1" s="55">
      <c r="A557" s="57" t="inlineStr">
        <is>
          <t>FirstHArvest_OpenFieldLex</t>
        </is>
      </c>
      <c r="B557" s="57" t="n">
        <v>33</v>
      </c>
      <c r="C557" s="57" t="inlineStr">
        <is>
          <t>Genotypes</t>
        </is>
      </c>
      <c r="D557" s="57" t="inlineStr">
        <is>
          <t>NC25202G-1</t>
        </is>
      </c>
      <c r="E557" s="57" t="inlineStr">
        <is>
          <t>NC25202G</t>
        </is>
      </c>
      <c r="F557" s="57" t="inlineStr"/>
    </row>
    <row r="558" ht="25" customHeight="1" s="55">
      <c r="A558" s="57" t="inlineStr">
        <is>
          <t>FirstHArvest_OpenFieldLex</t>
        </is>
      </c>
      <c r="B558" s="57" t="n">
        <v>33</v>
      </c>
      <c r="C558" s="57" t="inlineStr">
        <is>
          <t>Location</t>
        </is>
      </c>
      <c r="D558" s="57" t="inlineStr"/>
      <c r="E558" s="57" t="inlineStr">
        <is>
          <t>South Farm</t>
        </is>
      </c>
      <c r="F558" s="57" t="inlineStr">
        <is>
          <t>forced_from_sheet_name</t>
        </is>
      </c>
    </row>
    <row r="559" ht="25" customHeight="1" s="55">
      <c r="A559" s="57" t="inlineStr">
        <is>
          <t>FirstHArvest_OpenFieldLex</t>
        </is>
      </c>
      <c r="B559" s="57" t="n">
        <v>33</v>
      </c>
      <c r="C559" s="57" t="inlineStr">
        <is>
          <t>Harvest</t>
        </is>
      </c>
      <c r="D559" s="57" t="inlineStr"/>
      <c r="E559" s="57" t="inlineStr">
        <is>
          <t>First</t>
        </is>
      </c>
      <c r="F559" s="57" t="inlineStr">
        <is>
          <t>forced_from_sheet_name</t>
        </is>
      </c>
    </row>
    <row r="560" ht="25" customHeight="1" s="55">
      <c r="A560" s="57" t="inlineStr">
        <is>
          <t>FirstHArvest_OpenFieldLex</t>
        </is>
      </c>
      <c r="B560" s="57" t="n">
        <v>33</v>
      </c>
      <c r="C560" s="57" t="inlineStr">
        <is>
          <t>Date of harvest</t>
        </is>
      </c>
      <c r="D560" s="57" t="inlineStr"/>
      <c r="E560" s="57" t="inlineStr">
        <is>
          <t>2026-07-23</t>
        </is>
      </c>
      <c r="F560" s="57" t="inlineStr">
        <is>
          <t>date_forced:Recorded on first row; South Farm first harvest</t>
        </is>
      </c>
    </row>
    <row r="561" ht="25" customHeight="1" s="55">
      <c r="A561" s="57" t="inlineStr">
        <is>
          <t>FirstHArvest_OpenFieldLex</t>
        </is>
      </c>
      <c r="B561" s="57" t="n">
        <v>34</v>
      </c>
      <c r="C561" s="57" t="inlineStr">
        <is>
          <t>Genotypes</t>
        </is>
      </c>
      <c r="D561" s="57" t="inlineStr">
        <is>
          <t>NC25210G-1</t>
        </is>
      </c>
      <c r="E561" s="57" t="inlineStr">
        <is>
          <t>NC25210G</t>
        </is>
      </c>
      <c r="F561" s="57" t="inlineStr"/>
    </row>
    <row r="562" ht="25" customHeight="1" s="55">
      <c r="A562" s="57" t="inlineStr">
        <is>
          <t>FirstHArvest_OpenFieldLex</t>
        </is>
      </c>
      <c r="B562" s="57" t="n">
        <v>34</v>
      </c>
      <c r="C562" s="57" t="inlineStr">
        <is>
          <t>Location</t>
        </is>
      </c>
      <c r="D562" s="57" t="inlineStr"/>
      <c r="E562" s="57" t="inlineStr">
        <is>
          <t>South Farm</t>
        </is>
      </c>
      <c r="F562" s="57" t="inlineStr">
        <is>
          <t>forced_from_sheet_name</t>
        </is>
      </c>
    </row>
    <row r="563" ht="25" customHeight="1" s="55">
      <c r="A563" s="57" t="inlineStr">
        <is>
          <t>FirstHArvest_OpenFieldLex</t>
        </is>
      </c>
      <c r="B563" s="57" t="n">
        <v>34</v>
      </c>
      <c r="C563" s="57" t="inlineStr">
        <is>
          <t>Harvest</t>
        </is>
      </c>
      <c r="D563" s="57" t="inlineStr"/>
      <c r="E563" s="57" t="inlineStr">
        <is>
          <t>First</t>
        </is>
      </c>
      <c r="F563" s="57" t="inlineStr">
        <is>
          <t>forced_from_sheet_name</t>
        </is>
      </c>
    </row>
    <row r="564" ht="25" customHeight="1" s="55">
      <c r="A564" s="57" t="inlineStr">
        <is>
          <t>FirstHArvest_OpenFieldLex</t>
        </is>
      </c>
      <c r="B564" s="57" t="n">
        <v>34</v>
      </c>
      <c r="C564" s="57" t="inlineStr">
        <is>
          <t>Date of harvest</t>
        </is>
      </c>
      <c r="D564" s="57" t="inlineStr"/>
      <c r="E564" s="57" t="inlineStr">
        <is>
          <t>2026-07-23</t>
        </is>
      </c>
      <c r="F564" s="57" t="inlineStr">
        <is>
          <t>date_forced:Recorded on first row; South Farm first harvest</t>
        </is>
      </c>
    </row>
    <row r="565" ht="25" customHeight="1" s="55">
      <c r="A565" s="57" t="inlineStr">
        <is>
          <t>FirstHArvest_OpenFieldLex</t>
        </is>
      </c>
      <c r="B565" s="57" t="n">
        <v>35</v>
      </c>
      <c r="C565" s="57" t="inlineStr">
        <is>
          <t>Genotypes</t>
        </is>
      </c>
      <c r="D565" s="57" t="inlineStr">
        <is>
          <t>NC25212G-2</t>
        </is>
      </c>
      <c r="E565" s="57" t="inlineStr">
        <is>
          <t>NC25212G</t>
        </is>
      </c>
      <c r="F565" s="57" t="inlineStr"/>
    </row>
    <row r="566" ht="25" customHeight="1" s="55">
      <c r="A566" s="57" t="inlineStr">
        <is>
          <t>FirstHArvest_OpenFieldLex</t>
        </is>
      </c>
      <c r="B566" s="57" t="n">
        <v>35</v>
      </c>
      <c r="C566" s="57" t="inlineStr">
        <is>
          <t>Location</t>
        </is>
      </c>
      <c r="D566" s="57" t="inlineStr"/>
      <c r="E566" s="57" t="inlineStr">
        <is>
          <t>South Farm</t>
        </is>
      </c>
      <c r="F566" s="57" t="inlineStr">
        <is>
          <t>forced_from_sheet_name</t>
        </is>
      </c>
    </row>
    <row r="567" ht="25" customHeight="1" s="55">
      <c r="A567" s="57" t="inlineStr">
        <is>
          <t>FirstHArvest_OpenFieldLex</t>
        </is>
      </c>
      <c r="B567" s="57" t="n">
        <v>35</v>
      </c>
      <c r="C567" s="57" t="inlineStr">
        <is>
          <t>Harvest</t>
        </is>
      </c>
      <c r="D567" s="57" t="inlineStr"/>
      <c r="E567" s="57" t="inlineStr">
        <is>
          <t>First</t>
        </is>
      </c>
      <c r="F567" s="57" t="inlineStr">
        <is>
          <t>forced_from_sheet_name</t>
        </is>
      </c>
    </row>
    <row r="568" ht="25" customHeight="1" s="55">
      <c r="A568" s="57" t="inlineStr">
        <is>
          <t>FirstHArvest_OpenFieldLex</t>
        </is>
      </c>
      <c r="B568" s="57" t="n">
        <v>35</v>
      </c>
      <c r="C568" s="57" t="inlineStr">
        <is>
          <t>Date of harvest</t>
        </is>
      </c>
      <c r="D568" s="57" t="inlineStr"/>
      <c r="E568" s="57" t="inlineStr">
        <is>
          <t>2026-07-23</t>
        </is>
      </c>
      <c r="F568" s="57" t="inlineStr">
        <is>
          <t>date_forced:Recorded on first row; South Farm first harvest</t>
        </is>
      </c>
    </row>
    <row r="569" ht="25" customHeight="1" s="55">
      <c r="A569" s="57" t="inlineStr">
        <is>
          <t>FirstHArvest_OpenFieldLex</t>
        </is>
      </c>
      <c r="B569" s="57" t="n">
        <v>36</v>
      </c>
      <c r="C569" s="57" t="inlineStr">
        <is>
          <t>Genotypes</t>
        </is>
      </c>
      <c r="D569" s="57" t="inlineStr">
        <is>
          <t>NC25217G-2</t>
        </is>
      </c>
      <c r="E569" s="57" t="inlineStr">
        <is>
          <t>NC25217G</t>
        </is>
      </c>
      <c r="F569" s="57" t="inlineStr"/>
    </row>
    <row r="570" ht="25" customHeight="1" s="55">
      <c r="A570" s="57" t="inlineStr">
        <is>
          <t>FirstHArvest_OpenFieldLex</t>
        </is>
      </c>
      <c r="B570" s="57" t="n">
        <v>36</v>
      </c>
      <c r="C570" s="57" t="inlineStr">
        <is>
          <t>Location</t>
        </is>
      </c>
      <c r="D570" s="57" t="inlineStr"/>
      <c r="E570" s="57" t="inlineStr">
        <is>
          <t>South Farm</t>
        </is>
      </c>
      <c r="F570" s="57" t="inlineStr">
        <is>
          <t>forced_from_sheet_name</t>
        </is>
      </c>
    </row>
    <row r="571" ht="25" customHeight="1" s="55">
      <c r="A571" s="57" t="inlineStr">
        <is>
          <t>FirstHArvest_OpenFieldLex</t>
        </is>
      </c>
      <c r="B571" s="57" t="n">
        <v>36</v>
      </c>
      <c r="C571" s="57" t="inlineStr">
        <is>
          <t>Harvest</t>
        </is>
      </c>
      <c r="D571" s="57" t="inlineStr"/>
      <c r="E571" s="57" t="inlineStr">
        <is>
          <t>First</t>
        </is>
      </c>
      <c r="F571" s="57" t="inlineStr">
        <is>
          <t>forced_from_sheet_name</t>
        </is>
      </c>
    </row>
    <row r="572" ht="25" customHeight="1" s="55">
      <c r="A572" s="57" t="inlineStr">
        <is>
          <t>FirstHArvest_OpenFieldLex</t>
        </is>
      </c>
      <c r="B572" s="57" t="n">
        <v>36</v>
      </c>
      <c r="C572" s="57" t="inlineStr">
        <is>
          <t>Date of harvest</t>
        </is>
      </c>
      <c r="D572" s="57" t="inlineStr"/>
      <c r="E572" s="57" t="inlineStr">
        <is>
          <t>2026-07-23</t>
        </is>
      </c>
      <c r="F572" s="57" t="inlineStr">
        <is>
          <t>date_forced:Recorded on first row; South Farm first harvest</t>
        </is>
      </c>
    </row>
    <row r="573" ht="25" customHeight="1" s="55">
      <c r="A573" s="57" t="inlineStr">
        <is>
          <t>FirstHArvest_OpenFieldLex</t>
        </is>
      </c>
      <c r="B573" s="57" t="n">
        <v>37</v>
      </c>
      <c r="C573" s="57" t="inlineStr">
        <is>
          <t>Genotypes</t>
        </is>
      </c>
      <c r="D573" s="57" t="inlineStr">
        <is>
          <t>NC25241G-2</t>
        </is>
      </c>
      <c r="E573" s="57" t="inlineStr">
        <is>
          <t>NC25241G</t>
        </is>
      </c>
      <c r="F573" s="57" t="inlineStr"/>
    </row>
    <row r="574" ht="25" customHeight="1" s="55">
      <c r="A574" s="57" t="inlineStr">
        <is>
          <t>FirstHArvest_OpenFieldLex</t>
        </is>
      </c>
      <c r="B574" s="57" t="n">
        <v>37</v>
      </c>
      <c r="C574" s="57" t="inlineStr">
        <is>
          <t>Location</t>
        </is>
      </c>
      <c r="D574" s="57" t="inlineStr"/>
      <c r="E574" s="57" t="inlineStr">
        <is>
          <t>South Farm</t>
        </is>
      </c>
      <c r="F574" s="57" t="inlineStr">
        <is>
          <t>forced_from_sheet_name</t>
        </is>
      </c>
    </row>
    <row r="575" ht="25" customHeight="1" s="55">
      <c r="A575" s="57" t="inlineStr">
        <is>
          <t>FirstHArvest_OpenFieldLex</t>
        </is>
      </c>
      <c r="B575" s="57" t="n">
        <v>37</v>
      </c>
      <c r="C575" s="57" t="inlineStr">
        <is>
          <t>Harvest</t>
        </is>
      </c>
      <c r="D575" s="57" t="inlineStr"/>
      <c r="E575" s="57" t="inlineStr">
        <is>
          <t>First</t>
        </is>
      </c>
      <c r="F575" s="57" t="inlineStr">
        <is>
          <t>forced_from_sheet_name</t>
        </is>
      </c>
    </row>
    <row r="576" ht="25" customHeight="1" s="55">
      <c r="A576" s="57" t="inlineStr">
        <is>
          <t>FirstHArvest_OpenFieldLex</t>
        </is>
      </c>
      <c r="B576" s="57" t="n">
        <v>37</v>
      </c>
      <c r="C576" s="57" t="inlineStr">
        <is>
          <t>Date of harvest</t>
        </is>
      </c>
      <c r="D576" s="57" t="inlineStr"/>
      <c r="E576" s="57" t="inlineStr">
        <is>
          <t>2026-07-23</t>
        </is>
      </c>
      <c r="F576" s="57" t="inlineStr">
        <is>
          <t>date_forced:Recorded on first row; South Farm first harvest</t>
        </is>
      </c>
    </row>
    <row r="577" ht="25" customHeight="1" s="55">
      <c r="A577" s="57" t="inlineStr">
        <is>
          <t>FirstHArvest_OpenFieldLex</t>
        </is>
      </c>
      <c r="B577" s="57" t="n">
        <v>38</v>
      </c>
      <c r="C577" s="57" t="inlineStr">
        <is>
          <t>Genotypes</t>
        </is>
      </c>
      <c r="D577" s="57" t="inlineStr">
        <is>
          <t>NC24271G-2</t>
        </is>
      </c>
      <c r="E577" s="57" t="inlineStr">
        <is>
          <t>NC24271G</t>
        </is>
      </c>
      <c r="F577" s="57" t="inlineStr"/>
    </row>
    <row r="578" ht="25" customHeight="1" s="55">
      <c r="A578" s="57" t="inlineStr">
        <is>
          <t>FirstHArvest_OpenFieldLex</t>
        </is>
      </c>
      <c r="B578" s="57" t="n">
        <v>38</v>
      </c>
      <c r="C578" s="57" t="inlineStr">
        <is>
          <t>Location</t>
        </is>
      </c>
      <c r="D578" s="57" t="inlineStr"/>
      <c r="E578" s="57" t="inlineStr">
        <is>
          <t>South Farm</t>
        </is>
      </c>
      <c r="F578" s="57" t="inlineStr">
        <is>
          <t>forced_from_sheet_name</t>
        </is>
      </c>
    </row>
    <row r="579" ht="25" customHeight="1" s="55">
      <c r="A579" s="57" t="inlineStr">
        <is>
          <t>FirstHArvest_OpenFieldLex</t>
        </is>
      </c>
      <c r="B579" s="57" t="n">
        <v>38</v>
      </c>
      <c r="C579" s="57" t="inlineStr">
        <is>
          <t>Harvest</t>
        </is>
      </c>
      <c r="D579" s="57" t="inlineStr"/>
      <c r="E579" s="57" t="inlineStr">
        <is>
          <t>First</t>
        </is>
      </c>
      <c r="F579" s="57" t="inlineStr">
        <is>
          <t>forced_from_sheet_name</t>
        </is>
      </c>
    </row>
    <row r="580" ht="25" customHeight="1" s="55">
      <c r="A580" s="57" t="inlineStr">
        <is>
          <t>FirstHArvest_OpenFieldLex</t>
        </is>
      </c>
      <c r="B580" s="57" t="n">
        <v>38</v>
      </c>
      <c r="C580" s="57" t="inlineStr">
        <is>
          <t>Date of harvest</t>
        </is>
      </c>
      <c r="D580" s="57" t="inlineStr"/>
      <c r="E580" s="57" t="inlineStr">
        <is>
          <t>2026-07-23</t>
        </is>
      </c>
      <c r="F580" s="57" t="inlineStr">
        <is>
          <t>date_forced:Recorded on first row; South Farm first harvest</t>
        </is>
      </c>
    </row>
    <row r="581" ht="25" customHeight="1" s="55">
      <c r="A581" s="57" t="inlineStr">
        <is>
          <t>FirstHArvest_OpenFieldLex</t>
        </is>
      </c>
      <c r="B581" s="57" t="n">
        <v>39</v>
      </c>
      <c r="C581" s="57" t="inlineStr">
        <is>
          <t>Genotypes</t>
        </is>
      </c>
      <c r="D581" s="57" t="inlineStr">
        <is>
          <t>NC252G-2</t>
        </is>
      </c>
      <c r="E581" s="57" t="inlineStr">
        <is>
          <t>NC252G</t>
        </is>
      </c>
      <c r="F581" s="57" t="inlineStr"/>
    </row>
    <row r="582" ht="25" customHeight="1" s="55">
      <c r="A582" s="57" t="inlineStr">
        <is>
          <t>FirstHArvest_OpenFieldLex</t>
        </is>
      </c>
      <c r="B582" s="57" t="n">
        <v>39</v>
      </c>
      <c r="C582" s="57" t="inlineStr">
        <is>
          <t>Location</t>
        </is>
      </c>
      <c r="D582" s="57" t="inlineStr"/>
      <c r="E582" s="57" t="inlineStr">
        <is>
          <t>South Farm</t>
        </is>
      </c>
      <c r="F582" s="57" t="inlineStr">
        <is>
          <t>forced_from_sheet_name</t>
        </is>
      </c>
    </row>
    <row r="583" ht="25" customHeight="1" s="55">
      <c r="A583" s="57" t="inlineStr">
        <is>
          <t>FirstHArvest_OpenFieldLex</t>
        </is>
      </c>
      <c r="B583" s="57" t="n">
        <v>39</v>
      </c>
      <c r="C583" s="57" t="inlineStr">
        <is>
          <t>Harvest</t>
        </is>
      </c>
      <c r="D583" s="57" t="inlineStr"/>
      <c r="E583" s="57" t="inlineStr">
        <is>
          <t>First</t>
        </is>
      </c>
      <c r="F583" s="57" t="inlineStr">
        <is>
          <t>forced_from_sheet_name</t>
        </is>
      </c>
    </row>
    <row r="584" ht="25" customHeight="1" s="55">
      <c r="A584" s="57" t="inlineStr">
        <is>
          <t>FirstHArvest_OpenFieldLex</t>
        </is>
      </c>
      <c r="B584" s="57" t="n">
        <v>39</v>
      </c>
      <c r="C584" s="57" t="inlineStr">
        <is>
          <t>Date of harvest</t>
        </is>
      </c>
      <c r="D584" s="57" t="inlineStr"/>
      <c r="E584" s="57" t="inlineStr">
        <is>
          <t>2026-07-23</t>
        </is>
      </c>
      <c r="F584" s="57" t="inlineStr">
        <is>
          <t>date_forced:Recorded on first row; South Farm first harvest</t>
        </is>
      </c>
    </row>
    <row r="585" ht="25" customHeight="1" s="55">
      <c r="A585" s="57" t="inlineStr">
        <is>
          <t>FirstHArvest_OpenFieldLex</t>
        </is>
      </c>
      <c r="B585" s="57" t="n">
        <v>40</v>
      </c>
      <c r="C585" s="57" t="inlineStr">
        <is>
          <t>Genotypes</t>
        </is>
      </c>
      <c r="D585" s="57" t="inlineStr">
        <is>
          <t>NC255G-2</t>
        </is>
      </c>
      <c r="E585" s="57" t="inlineStr">
        <is>
          <t>NC255G</t>
        </is>
      </c>
      <c r="F585" s="57" t="inlineStr"/>
    </row>
    <row r="586" ht="25" customHeight="1" s="55">
      <c r="A586" s="57" t="inlineStr">
        <is>
          <t>FirstHArvest_OpenFieldLex</t>
        </is>
      </c>
      <c r="B586" s="57" t="n">
        <v>40</v>
      </c>
      <c r="C586" s="57" t="inlineStr">
        <is>
          <t>Location</t>
        </is>
      </c>
      <c r="D586" s="57" t="inlineStr"/>
      <c r="E586" s="57" t="inlineStr">
        <is>
          <t>South Farm</t>
        </is>
      </c>
      <c r="F586" s="57" t="inlineStr">
        <is>
          <t>forced_from_sheet_name</t>
        </is>
      </c>
    </row>
    <row r="587" ht="25" customHeight="1" s="55">
      <c r="A587" s="57" t="inlineStr">
        <is>
          <t>FirstHArvest_OpenFieldLex</t>
        </is>
      </c>
      <c r="B587" s="57" t="n">
        <v>40</v>
      </c>
      <c r="C587" s="57" t="inlineStr">
        <is>
          <t>Harvest</t>
        </is>
      </c>
      <c r="D587" s="57" t="inlineStr"/>
      <c r="E587" s="57" t="inlineStr">
        <is>
          <t>First</t>
        </is>
      </c>
      <c r="F587" s="57" t="inlineStr">
        <is>
          <t>forced_from_sheet_name</t>
        </is>
      </c>
    </row>
    <row r="588" ht="25" customHeight="1" s="55">
      <c r="A588" s="57" t="inlineStr">
        <is>
          <t>FirstHArvest_OpenFieldLex</t>
        </is>
      </c>
      <c r="B588" s="57" t="n">
        <v>40</v>
      </c>
      <c r="C588" s="57" t="inlineStr">
        <is>
          <t>Date of harvest</t>
        </is>
      </c>
      <c r="D588" s="57" t="inlineStr"/>
      <c r="E588" s="57" t="inlineStr">
        <is>
          <t>2026-07-23</t>
        </is>
      </c>
      <c r="F588" s="57" t="inlineStr">
        <is>
          <t>date_forced:Recorded on first row; South Farm first harvest</t>
        </is>
      </c>
    </row>
    <row r="589" ht="25" customHeight="1" s="55">
      <c r="A589" s="57" t="inlineStr">
        <is>
          <t>FirstHArvest_OpenFieldLex</t>
        </is>
      </c>
      <c r="B589" s="57" t="n">
        <v>41</v>
      </c>
      <c r="C589" s="57" t="inlineStr">
        <is>
          <t>Genotypes</t>
        </is>
      </c>
      <c r="D589" s="57" t="inlineStr">
        <is>
          <t>NC25311G-2</t>
        </is>
      </c>
      <c r="E589" s="57" t="inlineStr">
        <is>
          <t>NC25311G</t>
        </is>
      </c>
      <c r="F589" s="57" t="inlineStr"/>
    </row>
    <row r="590" ht="25" customHeight="1" s="55">
      <c r="A590" s="57" t="inlineStr">
        <is>
          <t>FirstHArvest_OpenFieldLex</t>
        </is>
      </c>
      <c r="B590" s="57" t="n">
        <v>41</v>
      </c>
      <c r="C590" s="57" t="inlineStr">
        <is>
          <t>Location</t>
        </is>
      </c>
      <c r="D590" s="57" t="inlineStr"/>
      <c r="E590" s="57" t="inlineStr">
        <is>
          <t>South Farm</t>
        </is>
      </c>
      <c r="F590" s="57" t="inlineStr">
        <is>
          <t>forced_from_sheet_name</t>
        </is>
      </c>
    </row>
    <row r="591" ht="25" customHeight="1" s="55">
      <c r="A591" s="57" t="inlineStr">
        <is>
          <t>FirstHArvest_OpenFieldLex</t>
        </is>
      </c>
      <c r="B591" s="57" t="n">
        <v>41</v>
      </c>
      <c r="C591" s="57" t="inlineStr">
        <is>
          <t>Harvest</t>
        </is>
      </c>
      <c r="D591" s="57" t="inlineStr"/>
      <c r="E591" s="57" t="inlineStr">
        <is>
          <t>First</t>
        </is>
      </c>
      <c r="F591" s="57" t="inlineStr">
        <is>
          <t>forced_from_sheet_name</t>
        </is>
      </c>
    </row>
    <row r="592" ht="25" customHeight="1" s="55">
      <c r="A592" s="57" t="inlineStr">
        <is>
          <t>FirstHArvest_OpenFieldLex</t>
        </is>
      </c>
      <c r="B592" s="57" t="n">
        <v>41</v>
      </c>
      <c r="C592" s="57" t="inlineStr">
        <is>
          <t>Date of harvest</t>
        </is>
      </c>
      <c r="D592" s="57" t="inlineStr"/>
      <c r="E592" s="57" t="inlineStr">
        <is>
          <t>2026-07-23</t>
        </is>
      </c>
      <c r="F592" s="57" t="inlineStr">
        <is>
          <t>date_forced:Recorded on first row; South Farm first harvest</t>
        </is>
      </c>
    </row>
    <row r="593" ht="25" customHeight="1" s="55">
      <c r="A593" s="57" t="inlineStr">
        <is>
          <t>FirstHArvest_OpenFieldLex</t>
        </is>
      </c>
      <c r="B593" s="57" t="n">
        <v>42</v>
      </c>
      <c r="C593" s="57" t="inlineStr">
        <is>
          <t>Genotypes</t>
        </is>
      </c>
      <c r="D593" s="57" t="inlineStr">
        <is>
          <t>NC25306G-2</t>
        </is>
      </c>
      <c r="E593" s="57" t="inlineStr">
        <is>
          <t>NC25306G</t>
        </is>
      </c>
      <c r="F593" s="57" t="inlineStr"/>
    </row>
    <row r="594" ht="25" customHeight="1" s="55">
      <c r="A594" s="57" t="inlineStr">
        <is>
          <t>FirstHArvest_OpenFieldLex</t>
        </is>
      </c>
      <c r="B594" s="57" t="n">
        <v>42</v>
      </c>
      <c r="C594" s="57" t="inlineStr">
        <is>
          <t>Location</t>
        </is>
      </c>
      <c r="D594" s="57" t="inlineStr"/>
      <c r="E594" s="57" t="inlineStr">
        <is>
          <t>South Farm</t>
        </is>
      </c>
      <c r="F594" s="57" t="inlineStr">
        <is>
          <t>forced_from_sheet_name</t>
        </is>
      </c>
    </row>
    <row r="595" ht="25" customHeight="1" s="55">
      <c r="A595" s="57" t="inlineStr">
        <is>
          <t>FirstHArvest_OpenFieldLex</t>
        </is>
      </c>
      <c r="B595" s="57" t="n">
        <v>42</v>
      </c>
      <c r="C595" s="57" t="inlineStr">
        <is>
          <t>Harvest</t>
        </is>
      </c>
      <c r="D595" s="57" t="inlineStr"/>
      <c r="E595" s="57" t="inlineStr">
        <is>
          <t>First</t>
        </is>
      </c>
      <c r="F595" s="57" t="inlineStr">
        <is>
          <t>forced_from_sheet_name</t>
        </is>
      </c>
    </row>
    <row r="596" ht="25" customHeight="1" s="55">
      <c r="A596" s="57" t="inlineStr">
        <is>
          <t>FirstHArvest_OpenFieldLex</t>
        </is>
      </c>
      <c r="B596" s="57" t="n">
        <v>42</v>
      </c>
      <c r="C596" s="57" t="inlineStr">
        <is>
          <t>Date of harvest</t>
        </is>
      </c>
      <c r="D596" s="57" t="inlineStr"/>
      <c r="E596" s="57" t="inlineStr">
        <is>
          <t>2026-07-23</t>
        </is>
      </c>
      <c r="F596" s="57" t="inlineStr">
        <is>
          <t>date_forced:Recorded on first row; South Farm first harvest</t>
        </is>
      </c>
    </row>
    <row r="597" ht="25" customHeight="1" s="55">
      <c r="A597" s="57" t="inlineStr">
        <is>
          <t>FirstHArvest_OpenFieldLex</t>
        </is>
      </c>
      <c r="B597" s="57" t="n">
        <v>43</v>
      </c>
      <c r="C597" s="57" t="inlineStr">
        <is>
          <t>Genotypes</t>
        </is>
      </c>
      <c r="D597" s="57" t="inlineStr">
        <is>
          <t>NC25304G-2</t>
        </is>
      </c>
      <c r="E597" s="57" t="inlineStr">
        <is>
          <t>NC25304G</t>
        </is>
      </c>
      <c r="F597" s="57" t="inlineStr"/>
    </row>
    <row r="598" ht="25" customHeight="1" s="55">
      <c r="A598" s="57" t="inlineStr">
        <is>
          <t>FirstHArvest_OpenFieldLex</t>
        </is>
      </c>
      <c r="B598" s="57" t="n">
        <v>43</v>
      </c>
      <c r="C598" s="57" t="inlineStr">
        <is>
          <t>Location</t>
        </is>
      </c>
      <c r="D598" s="57" t="inlineStr"/>
      <c r="E598" s="57" t="inlineStr">
        <is>
          <t>South Farm</t>
        </is>
      </c>
      <c r="F598" s="57" t="inlineStr">
        <is>
          <t>forced_from_sheet_name</t>
        </is>
      </c>
    </row>
    <row r="599" ht="25" customHeight="1" s="55">
      <c r="A599" s="57" t="inlineStr">
        <is>
          <t>FirstHArvest_OpenFieldLex</t>
        </is>
      </c>
      <c r="B599" s="57" t="n">
        <v>43</v>
      </c>
      <c r="C599" s="57" t="inlineStr">
        <is>
          <t>Harvest</t>
        </is>
      </c>
      <c r="D599" s="57" t="inlineStr"/>
      <c r="E599" s="57" t="inlineStr">
        <is>
          <t>First</t>
        </is>
      </c>
      <c r="F599" s="57" t="inlineStr">
        <is>
          <t>forced_from_sheet_name</t>
        </is>
      </c>
    </row>
    <row r="600" ht="25" customHeight="1" s="55">
      <c r="A600" s="57" t="inlineStr">
        <is>
          <t>FirstHArvest_OpenFieldLex</t>
        </is>
      </c>
      <c r="B600" s="57" t="n">
        <v>43</v>
      </c>
      <c r="C600" s="57" t="inlineStr">
        <is>
          <t>Date of harvest</t>
        </is>
      </c>
      <c r="D600" s="57" t="inlineStr"/>
      <c r="E600" s="57" t="inlineStr">
        <is>
          <t>2026-07-23</t>
        </is>
      </c>
      <c r="F600" s="57" t="inlineStr">
        <is>
          <t>date_forced:Recorded on first row; South Farm first harvest</t>
        </is>
      </c>
    </row>
    <row r="601" ht="25" customHeight="1" s="55">
      <c r="A601" s="57" t="inlineStr">
        <is>
          <t>FirstHArvest_OpenFieldLex</t>
        </is>
      </c>
      <c r="B601" s="57" t="n">
        <v>44</v>
      </c>
      <c r="C601" s="57" t="inlineStr">
        <is>
          <t>Genotypes</t>
        </is>
      </c>
      <c r="D601" s="57" t="inlineStr">
        <is>
          <t>NC263G-2</t>
        </is>
      </c>
      <c r="E601" s="57" t="inlineStr">
        <is>
          <t>NC263G</t>
        </is>
      </c>
      <c r="F601" s="57" t="inlineStr"/>
    </row>
    <row r="602" ht="25" customHeight="1" s="55">
      <c r="A602" s="57" t="inlineStr">
        <is>
          <t>FirstHArvest_OpenFieldLex</t>
        </is>
      </c>
      <c r="B602" s="57" t="n">
        <v>44</v>
      </c>
      <c r="C602" s="57" t="inlineStr">
        <is>
          <t>Location</t>
        </is>
      </c>
      <c r="D602" s="57" t="inlineStr"/>
      <c r="E602" s="57" t="inlineStr">
        <is>
          <t>South Farm</t>
        </is>
      </c>
      <c r="F602" s="57" t="inlineStr">
        <is>
          <t>forced_from_sheet_name</t>
        </is>
      </c>
    </row>
    <row r="603" ht="25" customHeight="1" s="55">
      <c r="A603" s="57" t="inlineStr">
        <is>
          <t>FirstHArvest_OpenFieldLex</t>
        </is>
      </c>
      <c r="B603" s="57" t="n">
        <v>44</v>
      </c>
      <c r="C603" s="57" t="inlineStr">
        <is>
          <t>Harvest</t>
        </is>
      </c>
      <c r="D603" s="57" t="inlineStr"/>
      <c r="E603" s="57" t="inlineStr">
        <is>
          <t>First</t>
        </is>
      </c>
      <c r="F603" s="57" t="inlineStr">
        <is>
          <t>forced_from_sheet_name</t>
        </is>
      </c>
    </row>
    <row r="604" ht="25" customHeight="1" s="55">
      <c r="A604" s="57" t="inlineStr">
        <is>
          <t>FirstHArvest_OpenFieldLex</t>
        </is>
      </c>
      <c r="B604" s="57" t="n">
        <v>44</v>
      </c>
      <c r="C604" s="57" t="inlineStr">
        <is>
          <t>Date of harvest</t>
        </is>
      </c>
      <c r="D604" s="57" t="inlineStr"/>
      <c r="E604" s="57" t="inlineStr">
        <is>
          <t>2026-07-23</t>
        </is>
      </c>
      <c r="F604" s="57" t="inlineStr">
        <is>
          <t>date_forced:Recorded on first row; South Farm first harvest</t>
        </is>
      </c>
    </row>
    <row r="605" ht="25" customHeight="1" s="55">
      <c r="A605" s="57" t="inlineStr">
        <is>
          <t>FirstHArvest_OpenFieldLex</t>
        </is>
      </c>
      <c r="B605" s="57" t="n">
        <v>45</v>
      </c>
      <c r="C605" s="57" t="inlineStr">
        <is>
          <t>Genotypes</t>
        </is>
      </c>
      <c r="D605" s="57" t="inlineStr">
        <is>
          <t>NC23706G-2</t>
        </is>
      </c>
      <c r="E605" s="57" t="inlineStr">
        <is>
          <t>NC23706G</t>
        </is>
      </c>
      <c r="F605" s="57" t="inlineStr"/>
    </row>
    <row r="606" ht="25" customHeight="1" s="55">
      <c r="A606" s="57" t="inlineStr">
        <is>
          <t>FirstHArvest_OpenFieldLex</t>
        </is>
      </c>
      <c r="B606" s="57" t="n">
        <v>45</v>
      </c>
      <c r="C606" s="57" t="inlineStr">
        <is>
          <t>Location</t>
        </is>
      </c>
      <c r="D606" s="57" t="inlineStr"/>
      <c r="E606" s="57" t="inlineStr">
        <is>
          <t>South Farm</t>
        </is>
      </c>
      <c r="F606" s="57" t="inlineStr">
        <is>
          <t>forced_from_sheet_name</t>
        </is>
      </c>
    </row>
    <row r="607" ht="25" customHeight="1" s="55">
      <c r="A607" s="57" t="inlineStr">
        <is>
          <t>FirstHArvest_OpenFieldLex</t>
        </is>
      </c>
      <c r="B607" s="57" t="n">
        <v>45</v>
      </c>
      <c r="C607" s="57" t="inlineStr">
        <is>
          <t>Harvest</t>
        </is>
      </c>
      <c r="D607" s="57" t="inlineStr"/>
      <c r="E607" s="57" t="inlineStr">
        <is>
          <t>First</t>
        </is>
      </c>
      <c r="F607" s="57" t="inlineStr">
        <is>
          <t>forced_from_sheet_name</t>
        </is>
      </c>
    </row>
    <row r="608" ht="25" customHeight="1" s="55">
      <c r="A608" s="57" t="inlineStr">
        <is>
          <t>FirstHArvest_OpenFieldLex</t>
        </is>
      </c>
      <c r="B608" s="57" t="n">
        <v>45</v>
      </c>
      <c r="C608" s="57" t="inlineStr">
        <is>
          <t>Date of harvest</t>
        </is>
      </c>
      <c r="D608" s="57" t="inlineStr"/>
      <c r="E608" s="57" t="inlineStr">
        <is>
          <t>2026-07-23</t>
        </is>
      </c>
      <c r="F608" s="57" t="inlineStr">
        <is>
          <t>date_forced:Recorded on first row; South Farm first harvest</t>
        </is>
      </c>
    </row>
    <row r="609" ht="25" customHeight="1" s="55">
      <c r="A609" s="57" t="inlineStr">
        <is>
          <t>FirstHArvest_OpenFieldLex</t>
        </is>
      </c>
      <c r="B609" s="57" t="n">
        <v>46</v>
      </c>
      <c r="C609" s="57" t="inlineStr">
        <is>
          <t>Genotypes</t>
        </is>
      </c>
      <c r="D609" s="57" t="inlineStr">
        <is>
          <t>NC23926G-1</t>
        </is>
      </c>
      <c r="E609" s="57" t="inlineStr">
        <is>
          <t>NC23926G</t>
        </is>
      </c>
      <c r="F609" s="57" t="inlineStr"/>
    </row>
    <row r="610" ht="25" customHeight="1" s="55">
      <c r="A610" s="57" t="inlineStr">
        <is>
          <t>FirstHArvest_OpenFieldLex</t>
        </is>
      </c>
      <c r="B610" s="57" t="n">
        <v>46</v>
      </c>
      <c r="C610" s="57" t="inlineStr">
        <is>
          <t>Location</t>
        </is>
      </c>
      <c r="D610" s="57" t="inlineStr"/>
      <c r="E610" s="57" t="inlineStr">
        <is>
          <t>South Farm</t>
        </is>
      </c>
      <c r="F610" s="57" t="inlineStr">
        <is>
          <t>forced_from_sheet_name</t>
        </is>
      </c>
    </row>
    <row r="611" ht="25" customHeight="1" s="55">
      <c r="A611" s="57" t="inlineStr">
        <is>
          <t>FirstHArvest_OpenFieldLex</t>
        </is>
      </c>
      <c r="B611" s="57" t="n">
        <v>46</v>
      </c>
      <c r="C611" s="57" t="inlineStr">
        <is>
          <t>Harvest</t>
        </is>
      </c>
      <c r="D611" s="57" t="inlineStr"/>
      <c r="E611" s="57" t="inlineStr">
        <is>
          <t>First</t>
        </is>
      </c>
      <c r="F611" s="57" t="inlineStr">
        <is>
          <t>forced_from_sheet_name</t>
        </is>
      </c>
    </row>
    <row r="612" ht="25" customHeight="1" s="55">
      <c r="A612" s="57" t="inlineStr">
        <is>
          <t>FirstHArvest_OpenFieldLex</t>
        </is>
      </c>
      <c r="B612" s="57" t="n">
        <v>46</v>
      </c>
      <c r="C612" s="57" t="inlineStr">
        <is>
          <t>Date of harvest</t>
        </is>
      </c>
      <c r="D612" s="57" t="inlineStr"/>
      <c r="E612" s="57" t="inlineStr">
        <is>
          <t>2026-07-23</t>
        </is>
      </c>
      <c r="F612" s="57" t="inlineStr">
        <is>
          <t>date_forced:Recorded on first row; South Farm first harvest</t>
        </is>
      </c>
    </row>
    <row r="613" ht="25" customHeight="1" s="55">
      <c r="A613" s="57" t="inlineStr">
        <is>
          <t>FirstHArvest_OpenFieldLex</t>
        </is>
      </c>
      <c r="B613" s="57" t="n">
        <v>47</v>
      </c>
      <c r="C613" s="57" t="inlineStr">
        <is>
          <t>Genotypes</t>
        </is>
      </c>
      <c r="D613" s="57" t="inlineStr">
        <is>
          <t>NC252G-1</t>
        </is>
      </c>
      <c r="E613" s="57" t="inlineStr">
        <is>
          <t>NC252G</t>
        </is>
      </c>
      <c r="F613" s="57" t="inlineStr"/>
    </row>
    <row r="614" ht="25" customHeight="1" s="55">
      <c r="A614" s="57" t="inlineStr">
        <is>
          <t>FirstHArvest_OpenFieldLex</t>
        </is>
      </c>
      <c r="B614" s="57" t="n">
        <v>47</v>
      </c>
      <c r="C614" s="57" t="inlineStr">
        <is>
          <t>Location</t>
        </is>
      </c>
      <c r="D614" s="57" t="inlineStr"/>
      <c r="E614" s="57" t="inlineStr">
        <is>
          <t>South Farm</t>
        </is>
      </c>
      <c r="F614" s="57" t="inlineStr">
        <is>
          <t>forced_from_sheet_name</t>
        </is>
      </c>
    </row>
    <row r="615" ht="25" customHeight="1" s="55">
      <c r="A615" s="57" t="inlineStr">
        <is>
          <t>FirstHArvest_OpenFieldLex</t>
        </is>
      </c>
      <c r="B615" s="57" t="n">
        <v>47</v>
      </c>
      <c r="C615" s="57" t="inlineStr">
        <is>
          <t>Harvest</t>
        </is>
      </c>
      <c r="D615" s="57" t="inlineStr"/>
      <c r="E615" s="57" t="inlineStr">
        <is>
          <t>First</t>
        </is>
      </c>
      <c r="F615" s="57" t="inlineStr">
        <is>
          <t>forced_from_sheet_name</t>
        </is>
      </c>
    </row>
    <row r="616" ht="25" customHeight="1" s="55">
      <c r="A616" s="57" t="inlineStr">
        <is>
          <t>FirstHArvest_OpenFieldLex</t>
        </is>
      </c>
      <c r="B616" s="57" t="n">
        <v>47</v>
      </c>
      <c r="C616" s="57" t="inlineStr">
        <is>
          <t>Date of harvest</t>
        </is>
      </c>
      <c r="D616" s="57" t="inlineStr"/>
      <c r="E616" s="57" t="inlineStr">
        <is>
          <t>2026-07-23</t>
        </is>
      </c>
      <c r="F616" s="57" t="inlineStr">
        <is>
          <t>date_forced:Recorded on first row; South Farm first harvest</t>
        </is>
      </c>
    </row>
    <row r="617" ht="25" customHeight="1" s="55">
      <c r="A617" s="57" t="inlineStr">
        <is>
          <t>FirstHArvest_OpenFieldLex</t>
        </is>
      </c>
      <c r="B617" s="57" t="n">
        <v>48</v>
      </c>
      <c r="C617" s="57" t="inlineStr">
        <is>
          <t>Genotypes</t>
        </is>
      </c>
      <c r="D617" s="57" t="inlineStr">
        <is>
          <t>NC23706G-1</t>
        </is>
      </c>
      <c r="E617" s="57" t="inlineStr">
        <is>
          <t>NC23706G</t>
        </is>
      </c>
      <c r="F617" s="57" t="inlineStr"/>
    </row>
    <row r="618" ht="25" customHeight="1" s="55">
      <c r="A618" s="57" t="inlineStr">
        <is>
          <t>FirstHArvest_OpenFieldLex</t>
        </is>
      </c>
      <c r="B618" s="57" t="n">
        <v>48</v>
      </c>
      <c r="C618" s="57" t="inlineStr">
        <is>
          <t>Location</t>
        </is>
      </c>
      <c r="D618" s="57" t="inlineStr"/>
      <c r="E618" s="57" t="inlineStr">
        <is>
          <t>South Farm</t>
        </is>
      </c>
      <c r="F618" s="57" t="inlineStr">
        <is>
          <t>forced_from_sheet_name</t>
        </is>
      </c>
    </row>
    <row r="619" ht="25" customHeight="1" s="55">
      <c r="A619" s="57" t="inlineStr">
        <is>
          <t>FirstHArvest_OpenFieldLex</t>
        </is>
      </c>
      <c r="B619" s="57" t="n">
        <v>48</v>
      </c>
      <c r="C619" s="57" t="inlineStr">
        <is>
          <t>Harvest</t>
        </is>
      </c>
      <c r="D619" s="57" t="inlineStr"/>
      <c r="E619" s="57" t="inlineStr">
        <is>
          <t>First</t>
        </is>
      </c>
      <c r="F619" s="57" t="inlineStr">
        <is>
          <t>forced_from_sheet_name</t>
        </is>
      </c>
    </row>
    <row r="620" ht="25" customHeight="1" s="55">
      <c r="A620" s="57" t="inlineStr">
        <is>
          <t>FirstHArvest_OpenFieldLex</t>
        </is>
      </c>
      <c r="B620" s="57" t="n">
        <v>48</v>
      </c>
      <c r="C620" s="57" t="inlineStr">
        <is>
          <t>Date of harvest</t>
        </is>
      </c>
      <c r="D620" s="57" t="inlineStr"/>
      <c r="E620" s="57" t="inlineStr">
        <is>
          <t>2026-07-23</t>
        </is>
      </c>
      <c r="F620" s="57" t="inlineStr">
        <is>
          <t>date_forced:Recorded on first row; South Farm first harvest</t>
        </is>
      </c>
    </row>
    <row r="621" ht="25" customHeight="1" s="55">
      <c r="A621" s="57" t="inlineStr">
        <is>
          <t>FirstHArvest_OpenFieldLex</t>
        </is>
      </c>
      <c r="B621" s="57" t="n">
        <v>49</v>
      </c>
      <c r="C621" s="57" t="inlineStr">
        <is>
          <t>Genotypes</t>
        </is>
      </c>
      <c r="D621" s="57" t="inlineStr">
        <is>
          <t>NC261G-2</t>
        </is>
      </c>
      <c r="E621" s="57" t="inlineStr">
        <is>
          <t>NC261G</t>
        </is>
      </c>
      <c r="F621" s="57" t="inlineStr"/>
    </row>
    <row r="622" ht="25" customHeight="1" s="55">
      <c r="A622" s="57" t="inlineStr">
        <is>
          <t>FirstHArvest_OpenFieldLex</t>
        </is>
      </c>
      <c r="B622" s="57" t="n">
        <v>49</v>
      </c>
      <c r="C622" s="57" t="inlineStr">
        <is>
          <t>Location</t>
        </is>
      </c>
      <c r="D622" s="57" t="inlineStr"/>
      <c r="E622" s="57" t="inlineStr">
        <is>
          <t>South Farm</t>
        </is>
      </c>
      <c r="F622" s="57" t="inlineStr">
        <is>
          <t>forced_from_sheet_name</t>
        </is>
      </c>
    </row>
    <row r="623" ht="25" customHeight="1" s="55">
      <c r="A623" s="57" t="inlineStr">
        <is>
          <t>FirstHArvest_OpenFieldLex</t>
        </is>
      </c>
      <c r="B623" s="57" t="n">
        <v>49</v>
      </c>
      <c r="C623" s="57" t="inlineStr">
        <is>
          <t>Harvest</t>
        </is>
      </c>
      <c r="D623" s="57" t="inlineStr"/>
      <c r="E623" s="57" t="inlineStr">
        <is>
          <t>First</t>
        </is>
      </c>
      <c r="F623" s="57" t="inlineStr">
        <is>
          <t>forced_from_sheet_name</t>
        </is>
      </c>
    </row>
    <row r="624" ht="25" customHeight="1" s="55">
      <c r="A624" s="57" t="inlineStr">
        <is>
          <t>FirstHArvest_OpenFieldLex</t>
        </is>
      </c>
      <c r="B624" s="57" t="n">
        <v>49</v>
      </c>
      <c r="C624" s="57" t="inlineStr">
        <is>
          <t>Date of harvest</t>
        </is>
      </c>
      <c r="D624" s="57" t="inlineStr"/>
      <c r="E624" s="57" t="inlineStr">
        <is>
          <t>2026-07-23</t>
        </is>
      </c>
      <c r="F624" s="57" t="inlineStr">
        <is>
          <t>date_forced:Recorded on first row; South Farm first harvest</t>
        </is>
      </c>
    </row>
    <row r="625" ht="25" customHeight="1" s="55">
      <c r="A625" s="57" t="inlineStr">
        <is>
          <t>FirstHArvest_OpenFieldLex</t>
        </is>
      </c>
      <c r="B625" s="57" t="n">
        <v>50</v>
      </c>
      <c r="C625" s="57" t="inlineStr">
        <is>
          <t>Genotypes</t>
        </is>
      </c>
      <c r="D625" s="57" t="inlineStr">
        <is>
          <t>25-003R1</t>
        </is>
      </c>
      <c r="E625" s="57" t="inlineStr">
        <is>
          <t>UKYT-25-003</t>
        </is>
      </c>
      <c r="F625" s="57" t="inlineStr"/>
    </row>
    <row r="626" ht="25" customHeight="1" s="55">
      <c r="A626" s="57" t="inlineStr">
        <is>
          <t>FirstHArvest_OpenFieldLex</t>
        </is>
      </c>
      <c r="B626" s="57" t="n">
        <v>50</v>
      </c>
      <c r="C626" s="57" t="inlineStr">
        <is>
          <t>Location</t>
        </is>
      </c>
      <c r="D626" s="57" t="inlineStr"/>
      <c r="E626" s="57" t="inlineStr">
        <is>
          <t>South Farm</t>
        </is>
      </c>
      <c r="F626" s="57" t="inlineStr">
        <is>
          <t>forced_from_sheet_name</t>
        </is>
      </c>
    </row>
    <row r="627" ht="25" customHeight="1" s="55">
      <c r="A627" s="57" t="inlineStr">
        <is>
          <t>FirstHArvest_OpenFieldLex</t>
        </is>
      </c>
      <c r="B627" s="57" t="n">
        <v>50</v>
      </c>
      <c r="C627" s="57" t="inlineStr">
        <is>
          <t>Harvest</t>
        </is>
      </c>
      <c r="D627" s="57" t="inlineStr"/>
      <c r="E627" s="57" t="inlineStr">
        <is>
          <t>First</t>
        </is>
      </c>
      <c r="F627" s="57" t="inlineStr">
        <is>
          <t>forced_from_sheet_name</t>
        </is>
      </c>
    </row>
    <row r="628" ht="25" customHeight="1" s="55">
      <c r="A628" s="57" t="inlineStr">
        <is>
          <t>FirstHArvest_OpenFieldLex</t>
        </is>
      </c>
      <c r="B628" s="57" t="n">
        <v>50</v>
      </c>
      <c r="C628" s="57" t="inlineStr">
        <is>
          <t>Date of harvest</t>
        </is>
      </c>
      <c r="D628" s="57" t="inlineStr"/>
      <c r="E628" s="57" t="inlineStr">
        <is>
          <t>2026-07-23</t>
        </is>
      </c>
      <c r="F628" s="57" t="inlineStr">
        <is>
          <t>date_forced:Recorded on first row; South Farm first harvest</t>
        </is>
      </c>
    </row>
    <row r="629" ht="25" customHeight="1" s="55">
      <c r="A629" s="57" t="inlineStr">
        <is>
          <t>FirstHArvest_OpenFieldLex</t>
        </is>
      </c>
      <c r="B629" s="57" t="n">
        <v>51</v>
      </c>
      <c r="C629" s="57" t="inlineStr">
        <is>
          <t>Genotypes</t>
        </is>
      </c>
      <c r="D629" s="57" t="inlineStr">
        <is>
          <t>25-001 R1</t>
        </is>
      </c>
      <c r="E629" s="57" t="inlineStr">
        <is>
          <t>UKYT-25-001</t>
        </is>
      </c>
      <c r="F629" s="57" t="inlineStr"/>
    </row>
    <row r="630" ht="25" customHeight="1" s="55">
      <c r="A630" s="57" t="inlineStr">
        <is>
          <t>FirstHArvest_OpenFieldLex</t>
        </is>
      </c>
      <c r="B630" s="57" t="n">
        <v>51</v>
      </c>
      <c r="C630" s="57" t="inlineStr">
        <is>
          <t>Location</t>
        </is>
      </c>
      <c r="D630" s="57" t="inlineStr"/>
      <c r="E630" s="57" t="inlineStr">
        <is>
          <t>South Farm</t>
        </is>
      </c>
      <c r="F630" s="57" t="inlineStr">
        <is>
          <t>forced_from_sheet_name</t>
        </is>
      </c>
    </row>
    <row r="631" ht="25" customHeight="1" s="55">
      <c r="A631" s="57" t="inlineStr">
        <is>
          <t>FirstHArvest_OpenFieldLex</t>
        </is>
      </c>
      <c r="B631" s="57" t="n">
        <v>51</v>
      </c>
      <c r="C631" s="57" t="inlineStr">
        <is>
          <t>Harvest</t>
        </is>
      </c>
      <c r="D631" s="57" t="inlineStr"/>
      <c r="E631" s="57" t="inlineStr">
        <is>
          <t>First</t>
        </is>
      </c>
      <c r="F631" s="57" t="inlineStr">
        <is>
          <t>forced_from_sheet_name</t>
        </is>
      </c>
    </row>
    <row r="632" ht="25" customHeight="1" s="55">
      <c r="A632" s="57" t="inlineStr">
        <is>
          <t>FirstHArvest_OpenFieldLex</t>
        </is>
      </c>
      <c r="B632" s="57" t="n">
        <v>51</v>
      </c>
      <c r="C632" s="57" t="inlineStr">
        <is>
          <t>Date of harvest</t>
        </is>
      </c>
      <c r="D632" s="57" t="inlineStr"/>
      <c r="E632" s="57" t="inlineStr">
        <is>
          <t>2026-07-23</t>
        </is>
      </c>
      <c r="F632" s="57" t="inlineStr">
        <is>
          <t>date_forced:Recorded on first row; South Farm first harvest</t>
        </is>
      </c>
    </row>
    <row r="633" ht="25" customHeight="1" s="55">
      <c r="A633" s="57" t="inlineStr">
        <is>
          <t>FirstHArvest_OpenFieldLex</t>
        </is>
      </c>
      <c r="B633" s="57" t="n">
        <v>52</v>
      </c>
      <c r="C633" s="57" t="inlineStr">
        <is>
          <t>Genotypes</t>
        </is>
      </c>
      <c r="D633" s="57" t="inlineStr">
        <is>
          <t>25-002R1</t>
        </is>
      </c>
      <c r="E633" s="57" t="inlineStr">
        <is>
          <t>UKYT-25-002</t>
        </is>
      </c>
      <c r="F633" s="57" t="inlineStr"/>
    </row>
    <row r="634" ht="25" customHeight="1" s="55">
      <c r="A634" s="57" t="inlineStr">
        <is>
          <t>FirstHArvest_OpenFieldLex</t>
        </is>
      </c>
      <c r="B634" s="57" t="n">
        <v>52</v>
      </c>
      <c r="C634" s="57" t="inlineStr">
        <is>
          <t>Location</t>
        </is>
      </c>
      <c r="D634" s="57" t="inlineStr"/>
      <c r="E634" s="57" t="inlineStr">
        <is>
          <t>South Farm</t>
        </is>
      </c>
      <c r="F634" s="57" t="inlineStr">
        <is>
          <t>forced_from_sheet_name</t>
        </is>
      </c>
    </row>
    <row r="635" ht="25" customHeight="1" s="55">
      <c r="A635" s="57" t="inlineStr">
        <is>
          <t>FirstHArvest_OpenFieldLex</t>
        </is>
      </c>
      <c r="B635" s="57" t="n">
        <v>52</v>
      </c>
      <c r="C635" s="57" t="inlineStr">
        <is>
          <t>Harvest</t>
        </is>
      </c>
      <c r="D635" s="57" t="inlineStr"/>
      <c r="E635" s="57" t="inlineStr">
        <is>
          <t>First</t>
        </is>
      </c>
      <c r="F635" s="57" t="inlineStr">
        <is>
          <t>forced_from_sheet_name</t>
        </is>
      </c>
    </row>
    <row r="636" ht="25" customHeight="1" s="55">
      <c r="A636" s="57" t="inlineStr">
        <is>
          <t>FirstHArvest_OpenFieldLex</t>
        </is>
      </c>
      <c r="B636" s="57" t="n">
        <v>52</v>
      </c>
      <c r="C636" s="57" t="inlineStr">
        <is>
          <t>Date of harvest</t>
        </is>
      </c>
      <c r="D636" s="57" t="inlineStr"/>
      <c r="E636" s="57" t="inlineStr">
        <is>
          <t>2026-07-23</t>
        </is>
      </c>
      <c r="F636" s="57" t="inlineStr">
        <is>
          <t>date_forced:Recorded on first row; South Farm first harvest</t>
        </is>
      </c>
    </row>
    <row r="637" ht="25" customHeight="1" s="55">
      <c r="A637" s="57" t="inlineStr">
        <is>
          <t>FirstHArvest_OpenFieldLex</t>
        </is>
      </c>
      <c r="B637" s="57" t="n">
        <v>53</v>
      </c>
      <c r="C637" s="57" t="inlineStr">
        <is>
          <t>Genotypes</t>
        </is>
      </c>
      <c r="D637" s="57" t="inlineStr">
        <is>
          <t>25-006R1</t>
        </is>
      </c>
      <c r="E637" s="57" t="inlineStr">
        <is>
          <t>UKYT-25-006</t>
        </is>
      </c>
      <c r="F637" s="57" t="inlineStr"/>
    </row>
    <row r="638" ht="25" customHeight="1" s="55">
      <c r="A638" s="57" t="inlineStr">
        <is>
          <t>FirstHArvest_OpenFieldLex</t>
        </is>
      </c>
      <c r="B638" s="57" t="n">
        <v>53</v>
      </c>
      <c r="C638" s="57" t="inlineStr">
        <is>
          <t>Location</t>
        </is>
      </c>
      <c r="D638" s="57" t="inlineStr"/>
      <c r="E638" s="57" t="inlineStr">
        <is>
          <t>South Farm</t>
        </is>
      </c>
      <c r="F638" s="57" t="inlineStr">
        <is>
          <t>forced_from_sheet_name</t>
        </is>
      </c>
    </row>
    <row r="639" ht="25" customHeight="1" s="55">
      <c r="A639" s="57" t="inlineStr">
        <is>
          <t>FirstHArvest_OpenFieldLex</t>
        </is>
      </c>
      <c r="B639" s="57" t="n">
        <v>53</v>
      </c>
      <c r="C639" s="57" t="inlineStr">
        <is>
          <t>Harvest</t>
        </is>
      </c>
      <c r="D639" s="57" t="inlineStr"/>
      <c r="E639" s="57" t="inlineStr">
        <is>
          <t>First</t>
        </is>
      </c>
      <c r="F639" s="57" t="inlineStr">
        <is>
          <t>forced_from_sheet_name</t>
        </is>
      </c>
    </row>
    <row r="640" ht="25" customHeight="1" s="55">
      <c r="A640" s="57" t="inlineStr">
        <is>
          <t>FirstHArvest_OpenFieldLex</t>
        </is>
      </c>
      <c r="B640" s="57" t="n">
        <v>53</v>
      </c>
      <c r="C640" s="57" t="inlineStr">
        <is>
          <t>Date of harvest</t>
        </is>
      </c>
      <c r="D640" s="57" t="inlineStr"/>
      <c r="E640" s="57" t="inlineStr">
        <is>
          <t>2026-07-23</t>
        </is>
      </c>
      <c r="F640" s="57" t="inlineStr">
        <is>
          <t>date_forced:Recorded on first row; South Farm first harvest</t>
        </is>
      </c>
    </row>
    <row r="641" ht="25" customHeight="1" s="55">
      <c r="A641" s="57" t="inlineStr">
        <is>
          <t>FirstHArvest_OpenFieldLex</t>
        </is>
      </c>
      <c r="B641" s="57" t="n">
        <v>54</v>
      </c>
      <c r="C641" s="57" t="inlineStr">
        <is>
          <t>Genotypes</t>
        </is>
      </c>
      <c r="D641" s="57" t="inlineStr">
        <is>
          <t>25-004R1</t>
        </is>
      </c>
      <c r="E641" s="57" t="inlineStr">
        <is>
          <t>UKYT-25-004</t>
        </is>
      </c>
      <c r="F641" s="57" t="inlineStr"/>
    </row>
    <row r="642" ht="25" customHeight="1" s="55">
      <c r="A642" s="57" t="inlineStr">
        <is>
          <t>FirstHArvest_OpenFieldLex</t>
        </is>
      </c>
      <c r="B642" s="57" t="n">
        <v>54</v>
      </c>
      <c r="C642" s="57" t="inlineStr">
        <is>
          <t>Location</t>
        </is>
      </c>
      <c r="D642" s="57" t="inlineStr"/>
      <c r="E642" s="57" t="inlineStr">
        <is>
          <t>South Farm</t>
        </is>
      </c>
      <c r="F642" s="57" t="inlineStr">
        <is>
          <t>forced_from_sheet_name</t>
        </is>
      </c>
    </row>
    <row r="643" ht="25" customHeight="1" s="55">
      <c r="A643" s="57" t="inlineStr">
        <is>
          <t>FirstHArvest_OpenFieldLex</t>
        </is>
      </c>
      <c r="B643" s="57" t="n">
        <v>54</v>
      </c>
      <c r="C643" s="57" t="inlineStr">
        <is>
          <t>Harvest</t>
        </is>
      </c>
      <c r="D643" s="57" t="inlineStr"/>
      <c r="E643" s="57" t="inlineStr">
        <is>
          <t>First</t>
        </is>
      </c>
      <c r="F643" s="57" t="inlineStr">
        <is>
          <t>forced_from_sheet_name</t>
        </is>
      </c>
    </row>
    <row r="644" ht="25" customHeight="1" s="55">
      <c r="A644" s="57" t="inlineStr">
        <is>
          <t>FirstHArvest_OpenFieldLex</t>
        </is>
      </c>
      <c r="B644" s="57" t="n">
        <v>54</v>
      </c>
      <c r="C644" s="57" t="inlineStr">
        <is>
          <t>Date of harvest</t>
        </is>
      </c>
      <c r="D644" s="57" t="inlineStr"/>
      <c r="E644" s="57" t="inlineStr">
        <is>
          <t>2026-07-23</t>
        </is>
      </c>
      <c r="F644" s="57" t="inlineStr">
        <is>
          <t>date_forced:Recorded on first row; South Farm first harvest</t>
        </is>
      </c>
    </row>
    <row r="645" ht="25" customHeight="1" s="55">
      <c r="A645" s="57" t="inlineStr">
        <is>
          <t>FirstHArvest_OpenFieldLex</t>
        </is>
      </c>
      <c r="B645" s="57" t="n">
        <v>55</v>
      </c>
      <c r="C645" s="57" t="inlineStr">
        <is>
          <t>Genotypes</t>
        </is>
      </c>
      <c r="D645" s="57" t="inlineStr">
        <is>
          <t>Mountain Gem-2</t>
        </is>
      </c>
      <c r="E645" s="57" t="inlineStr">
        <is>
          <t>Mt. Gem</t>
        </is>
      </c>
      <c r="F645" s="57" t="inlineStr"/>
    </row>
    <row r="646" ht="25" customHeight="1" s="55">
      <c r="A646" s="57" t="inlineStr">
        <is>
          <t>FirstHArvest_OpenFieldLex</t>
        </is>
      </c>
      <c r="B646" s="57" t="n">
        <v>55</v>
      </c>
      <c r="C646" s="57" t="inlineStr">
        <is>
          <t>Location</t>
        </is>
      </c>
      <c r="D646" s="57" t="inlineStr"/>
      <c r="E646" s="57" t="inlineStr">
        <is>
          <t>South Farm</t>
        </is>
      </c>
      <c r="F646" s="57" t="inlineStr">
        <is>
          <t>forced_from_sheet_name</t>
        </is>
      </c>
    </row>
    <row r="647" ht="25" customHeight="1" s="55">
      <c r="A647" s="57" t="inlineStr">
        <is>
          <t>FirstHArvest_OpenFieldLex</t>
        </is>
      </c>
      <c r="B647" s="57" t="n">
        <v>55</v>
      </c>
      <c r="C647" s="57" t="inlineStr">
        <is>
          <t>Harvest</t>
        </is>
      </c>
      <c r="D647" s="57" t="inlineStr"/>
      <c r="E647" s="57" t="inlineStr">
        <is>
          <t>First</t>
        </is>
      </c>
      <c r="F647" s="57" t="inlineStr">
        <is>
          <t>forced_from_sheet_name</t>
        </is>
      </c>
    </row>
    <row r="648" ht="25" customHeight="1" s="55">
      <c r="A648" s="57" t="inlineStr">
        <is>
          <t>FirstHArvest_OpenFieldLex</t>
        </is>
      </c>
      <c r="B648" s="57" t="n">
        <v>55</v>
      </c>
      <c r="C648" s="57" t="inlineStr">
        <is>
          <t>Date of harvest</t>
        </is>
      </c>
      <c r="D648" s="57" t="inlineStr"/>
      <c r="E648" s="57" t="inlineStr">
        <is>
          <t>2026-07-23</t>
        </is>
      </c>
      <c r="F648" s="57" t="inlineStr">
        <is>
          <t>date_forced:Recorded on first row; South Farm first harvest</t>
        </is>
      </c>
    </row>
    <row r="649" ht="25" customHeight="1" s="55">
      <c r="A649" s="57" t="inlineStr">
        <is>
          <t>FirstHArvest_OpenFieldLex</t>
        </is>
      </c>
      <c r="B649" s="57" t="n">
        <v>56</v>
      </c>
      <c r="C649" s="57" t="inlineStr">
        <is>
          <t>Genotypes</t>
        </is>
      </c>
      <c r="D649" s="57" t="inlineStr">
        <is>
          <t>NC25209G-1</t>
        </is>
      </c>
      <c r="E649" s="57" t="inlineStr">
        <is>
          <t>NC25209G</t>
        </is>
      </c>
      <c r="F649" s="57" t="inlineStr"/>
    </row>
    <row r="650" ht="25" customHeight="1" s="55">
      <c r="A650" s="57" t="inlineStr">
        <is>
          <t>FirstHArvest_OpenFieldLex</t>
        </is>
      </c>
      <c r="B650" s="57" t="n">
        <v>56</v>
      </c>
      <c r="C650" s="57" t="inlineStr">
        <is>
          <t>Location</t>
        </is>
      </c>
      <c r="D650" s="57" t="inlineStr"/>
      <c r="E650" s="57" t="inlineStr">
        <is>
          <t>South Farm</t>
        </is>
      </c>
      <c r="F650" s="57" t="inlineStr">
        <is>
          <t>forced_from_sheet_name</t>
        </is>
      </c>
    </row>
    <row r="651" ht="25" customHeight="1" s="55">
      <c r="A651" s="57" t="inlineStr">
        <is>
          <t>FirstHArvest_OpenFieldLex</t>
        </is>
      </c>
      <c r="B651" s="57" t="n">
        <v>56</v>
      </c>
      <c r="C651" s="57" t="inlineStr">
        <is>
          <t>Harvest</t>
        </is>
      </c>
      <c r="D651" s="57" t="inlineStr"/>
      <c r="E651" s="57" t="inlineStr">
        <is>
          <t>First</t>
        </is>
      </c>
      <c r="F651" s="57" t="inlineStr">
        <is>
          <t>forced_from_sheet_name</t>
        </is>
      </c>
    </row>
    <row r="652" ht="25" customHeight="1" s="55">
      <c r="A652" s="57" t="inlineStr">
        <is>
          <t>FirstHArvest_OpenFieldLex</t>
        </is>
      </c>
      <c r="B652" s="57" t="n">
        <v>56</v>
      </c>
      <c r="C652" s="57" t="inlineStr">
        <is>
          <t>Date of harvest</t>
        </is>
      </c>
      <c r="D652" s="57" t="inlineStr"/>
      <c r="E652" s="57" t="inlineStr">
        <is>
          <t>2026-07-23</t>
        </is>
      </c>
      <c r="F652" s="57" t="inlineStr">
        <is>
          <t>date_forced:Recorded on first row; South Farm first harvest</t>
        </is>
      </c>
    </row>
    <row r="653" ht="25" customHeight="1" s="55">
      <c r="A653" s="57" t="inlineStr">
        <is>
          <t>FirstHArvest_OpenFieldLex</t>
        </is>
      </c>
      <c r="B653" s="57" t="n">
        <v>57</v>
      </c>
      <c r="C653" s="57" t="inlineStr">
        <is>
          <t>Genotypes</t>
        </is>
      </c>
      <c r="D653" s="57" t="inlineStr">
        <is>
          <t>Mountain heritage -2</t>
        </is>
      </c>
      <c r="E653" s="57" t="inlineStr">
        <is>
          <t>Mt. Heritage</t>
        </is>
      </c>
      <c r="F653" s="57" t="inlineStr"/>
    </row>
    <row r="654" ht="25" customHeight="1" s="55">
      <c r="A654" s="57" t="inlineStr">
        <is>
          <t>FirstHArvest_OpenFieldLex</t>
        </is>
      </c>
      <c r="B654" s="57" t="n">
        <v>57</v>
      </c>
      <c r="C654" s="57" t="inlineStr">
        <is>
          <t>Location</t>
        </is>
      </c>
      <c r="D654" s="57" t="inlineStr"/>
      <c r="E654" s="57" t="inlineStr">
        <is>
          <t>South Farm</t>
        </is>
      </c>
      <c r="F654" s="57" t="inlineStr">
        <is>
          <t>forced_from_sheet_name</t>
        </is>
      </c>
    </row>
    <row r="655" ht="25" customHeight="1" s="55">
      <c r="A655" s="57" t="inlineStr">
        <is>
          <t>FirstHArvest_OpenFieldLex</t>
        </is>
      </c>
      <c r="B655" s="57" t="n">
        <v>57</v>
      </c>
      <c r="C655" s="57" t="inlineStr">
        <is>
          <t>Harvest</t>
        </is>
      </c>
      <c r="D655" s="57" t="inlineStr"/>
      <c r="E655" s="57" t="inlineStr">
        <is>
          <t>First</t>
        </is>
      </c>
      <c r="F655" s="57" t="inlineStr">
        <is>
          <t>forced_from_sheet_name</t>
        </is>
      </c>
    </row>
    <row r="656" ht="25" customHeight="1" s="55">
      <c r="A656" s="57" t="inlineStr">
        <is>
          <t>FirstHArvest_OpenFieldLex</t>
        </is>
      </c>
      <c r="B656" s="57" t="n">
        <v>57</v>
      </c>
      <c r="C656" s="57" t="inlineStr">
        <is>
          <t>Date of harvest</t>
        </is>
      </c>
      <c r="D656" s="57" t="inlineStr"/>
      <c r="E656" s="57" t="inlineStr">
        <is>
          <t>2026-07-23</t>
        </is>
      </c>
      <c r="F656" s="57" t="inlineStr">
        <is>
          <t>date_forced:Recorded on first row; South Farm first harvest</t>
        </is>
      </c>
    </row>
    <row r="657" ht="25" customHeight="1" s="55">
      <c r="A657" s="57" t="inlineStr">
        <is>
          <t>FirstHArvest_OpenFieldLex</t>
        </is>
      </c>
      <c r="B657" s="57" t="n">
        <v>58</v>
      </c>
      <c r="C657" s="57" t="inlineStr">
        <is>
          <t>Genotypes</t>
        </is>
      </c>
      <c r="D657" s="57" t="inlineStr">
        <is>
          <t>Mountain girl -2</t>
        </is>
      </c>
      <c r="E657" s="57" t="inlineStr">
        <is>
          <t>Mt. Girl</t>
        </is>
      </c>
      <c r="F657" s="57" t="inlineStr"/>
    </row>
    <row r="658" ht="25" customHeight="1" s="55">
      <c r="A658" s="57" t="inlineStr">
        <is>
          <t>FirstHArvest_OpenFieldLex</t>
        </is>
      </c>
      <c r="B658" s="57" t="n">
        <v>58</v>
      </c>
      <c r="C658" s="57" t="inlineStr">
        <is>
          <t>Location</t>
        </is>
      </c>
      <c r="D658" s="57" t="inlineStr"/>
      <c r="E658" s="57" t="inlineStr">
        <is>
          <t>South Farm</t>
        </is>
      </c>
      <c r="F658" s="57" t="inlineStr">
        <is>
          <t>forced_from_sheet_name</t>
        </is>
      </c>
    </row>
    <row r="659" ht="25" customHeight="1" s="55">
      <c r="A659" s="57" t="inlineStr">
        <is>
          <t>FirstHArvest_OpenFieldLex</t>
        </is>
      </c>
      <c r="B659" s="57" t="n">
        <v>58</v>
      </c>
      <c r="C659" s="57" t="inlineStr">
        <is>
          <t>Harvest</t>
        </is>
      </c>
      <c r="D659" s="57" t="inlineStr"/>
      <c r="E659" s="57" t="inlineStr">
        <is>
          <t>First</t>
        </is>
      </c>
      <c r="F659" s="57" t="inlineStr">
        <is>
          <t>forced_from_sheet_name</t>
        </is>
      </c>
    </row>
    <row r="660" ht="25" customHeight="1" s="55">
      <c r="A660" s="57" t="inlineStr">
        <is>
          <t>FirstHArvest_OpenFieldLex</t>
        </is>
      </c>
      <c r="B660" s="57" t="n">
        <v>58</v>
      </c>
      <c r="C660" s="57" t="inlineStr">
        <is>
          <t>Date of harvest</t>
        </is>
      </c>
      <c r="D660" s="57" t="inlineStr"/>
      <c r="E660" s="57" t="inlineStr">
        <is>
          <t>2026-07-23</t>
        </is>
      </c>
      <c r="F660" s="57" t="inlineStr">
        <is>
          <t>date_forced:Recorded on first row; South Farm first harvest</t>
        </is>
      </c>
    </row>
    <row r="661" ht="25" customHeight="1" s="55">
      <c r="A661" s="57" t="inlineStr">
        <is>
          <t>FirstHArvest_OpenFieldLex</t>
        </is>
      </c>
      <c r="B661" s="57" t="n">
        <v>59</v>
      </c>
      <c r="C661" s="57" t="inlineStr">
        <is>
          <t>Genotypes</t>
        </is>
      </c>
      <c r="D661" s="57" t="inlineStr">
        <is>
          <t xml:space="preserve">MOUNTAIN fRESH PLUS F2 </t>
        </is>
      </c>
      <c r="E661" s="57" t="inlineStr">
        <is>
          <t>Mountain Fresh Plus</t>
        </is>
      </c>
      <c r="F661" s="57" t="inlineStr"/>
    </row>
    <row r="662" ht="25" customHeight="1" s="55">
      <c r="A662" s="57" t="inlineStr">
        <is>
          <t>FirstHArvest_OpenFieldLex</t>
        </is>
      </c>
      <c r="B662" s="57" t="n">
        <v>59</v>
      </c>
      <c r="C662" s="57" t="inlineStr">
        <is>
          <t>Location</t>
        </is>
      </c>
      <c r="D662" s="57" t="inlineStr"/>
      <c r="E662" s="57" t="inlineStr">
        <is>
          <t>South Farm</t>
        </is>
      </c>
      <c r="F662" s="57" t="inlineStr">
        <is>
          <t>forced_from_sheet_name</t>
        </is>
      </c>
    </row>
    <row r="663" ht="25" customHeight="1" s="55">
      <c r="A663" s="57" t="inlineStr">
        <is>
          <t>FirstHArvest_OpenFieldLex</t>
        </is>
      </c>
      <c r="B663" s="57" t="n">
        <v>59</v>
      </c>
      <c r="C663" s="57" t="inlineStr">
        <is>
          <t>Harvest</t>
        </is>
      </c>
      <c r="D663" s="57" t="inlineStr"/>
      <c r="E663" s="57" t="inlineStr">
        <is>
          <t>First</t>
        </is>
      </c>
      <c r="F663" s="57" t="inlineStr">
        <is>
          <t>forced_from_sheet_name</t>
        </is>
      </c>
    </row>
    <row r="664" ht="25" customHeight="1" s="55">
      <c r="A664" s="57" t="inlineStr">
        <is>
          <t>FirstHArvest_OpenFieldLex</t>
        </is>
      </c>
      <c r="B664" s="57" t="n">
        <v>59</v>
      </c>
      <c r="C664" s="57" t="inlineStr">
        <is>
          <t>Date of harvest</t>
        </is>
      </c>
      <c r="D664" s="57" t="inlineStr"/>
      <c r="E664" s="57" t="inlineStr">
        <is>
          <t>2026-07-23</t>
        </is>
      </c>
      <c r="F664" s="57" t="inlineStr">
        <is>
          <t>date_forced:Recorded on first row; South Farm first harvest</t>
        </is>
      </c>
    </row>
    <row r="665" ht="25" customHeight="1" s="55">
      <c r="A665" s="57" t="inlineStr">
        <is>
          <t>FirstHArvest_OpenFieldLex</t>
        </is>
      </c>
      <c r="B665" s="57" t="n">
        <v>60</v>
      </c>
      <c r="C665" s="57" t="inlineStr">
        <is>
          <t>Genotypes</t>
        </is>
      </c>
      <c r="D665" s="57" t="inlineStr">
        <is>
          <t>MOUNTAIN FRESH PLUSF3</t>
        </is>
      </c>
      <c r="E665" s="57" t="inlineStr">
        <is>
          <t>Mountain Fresh Plus</t>
        </is>
      </c>
      <c r="F665" s="57" t="inlineStr"/>
    </row>
    <row r="666" ht="25" customHeight="1" s="55">
      <c r="A666" s="57" t="inlineStr">
        <is>
          <t>FirstHArvest_OpenFieldLex</t>
        </is>
      </c>
      <c r="B666" s="57" t="n">
        <v>60</v>
      </c>
      <c r="C666" s="57" t="inlineStr">
        <is>
          <t>Location</t>
        </is>
      </c>
      <c r="D666" s="57" t="inlineStr"/>
      <c r="E666" s="57" t="inlineStr">
        <is>
          <t>South Farm</t>
        </is>
      </c>
      <c r="F666" s="57" t="inlineStr">
        <is>
          <t>forced_from_sheet_name</t>
        </is>
      </c>
    </row>
    <row r="667" ht="25" customHeight="1" s="55">
      <c r="A667" s="57" t="inlineStr">
        <is>
          <t>FirstHArvest_OpenFieldLex</t>
        </is>
      </c>
      <c r="B667" s="57" t="n">
        <v>60</v>
      </c>
      <c r="C667" s="57" t="inlineStr">
        <is>
          <t>Harvest</t>
        </is>
      </c>
      <c r="D667" s="57" t="inlineStr"/>
      <c r="E667" s="57" t="inlineStr">
        <is>
          <t>First</t>
        </is>
      </c>
      <c r="F667" s="57" t="inlineStr">
        <is>
          <t>forced_from_sheet_name</t>
        </is>
      </c>
    </row>
    <row r="668" ht="25" customHeight="1" s="55">
      <c r="A668" s="57" t="inlineStr">
        <is>
          <t>FirstHArvest_OpenFieldLex</t>
        </is>
      </c>
      <c r="B668" s="57" t="n">
        <v>60</v>
      </c>
      <c r="C668" s="57" t="inlineStr">
        <is>
          <t>Date of harvest</t>
        </is>
      </c>
      <c r="D668" s="57" t="inlineStr"/>
      <c r="E668" s="57" t="inlineStr">
        <is>
          <t>2026-07-23</t>
        </is>
      </c>
      <c r="F668" s="57" t="inlineStr">
        <is>
          <t>date_forced:Recorded on first row; South Farm first harvest</t>
        </is>
      </c>
    </row>
    <row r="669" ht="25" customHeight="1" s="55">
      <c r="A669" s="57" t="inlineStr">
        <is>
          <t>FirstHArvest_OpenFieldLex</t>
        </is>
      </c>
      <c r="B669" s="57" t="n">
        <v>61</v>
      </c>
      <c r="C669" s="57" t="inlineStr">
        <is>
          <t>Genotypes</t>
        </is>
      </c>
      <c r="D669" s="57" t="inlineStr">
        <is>
          <t>NC25315G-2</t>
        </is>
      </c>
      <c r="E669" s="57" t="inlineStr">
        <is>
          <t>NC25315G</t>
        </is>
      </c>
      <c r="F669" s="57" t="inlineStr"/>
    </row>
    <row r="670" ht="25" customHeight="1" s="55">
      <c r="A670" s="57" t="inlineStr">
        <is>
          <t>FirstHArvest_OpenFieldLex</t>
        </is>
      </c>
      <c r="B670" s="57" t="n">
        <v>61</v>
      </c>
      <c r="C670" s="57" t="inlineStr">
        <is>
          <t>Location</t>
        </is>
      </c>
      <c r="D670" s="57" t="inlineStr"/>
      <c r="E670" s="57" t="inlineStr">
        <is>
          <t>South Farm</t>
        </is>
      </c>
      <c r="F670" s="57" t="inlineStr">
        <is>
          <t>forced_from_sheet_name</t>
        </is>
      </c>
    </row>
    <row r="671" ht="25" customHeight="1" s="55">
      <c r="A671" s="57" t="inlineStr">
        <is>
          <t>FirstHArvest_OpenFieldLex</t>
        </is>
      </c>
      <c r="B671" s="57" t="n">
        <v>61</v>
      </c>
      <c r="C671" s="57" t="inlineStr">
        <is>
          <t>Harvest</t>
        </is>
      </c>
      <c r="D671" s="57" t="inlineStr"/>
      <c r="E671" s="57" t="inlineStr">
        <is>
          <t>First</t>
        </is>
      </c>
      <c r="F671" s="57" t="inlineStr">
        <is>
          <t>forced_from_sheet_name</t>
        </is>
      </c>
    </row>
    <row r="672" ht="25" customHeight="1" s="55">
      <c r="A672" s="57" t="inlineStr">
        <is>
          <t>FirstHArvest_OpenFieldLex</t>
        </is>
      </c>
      <c r="B672" s="57" t="n">
        <v>61</v>
      </c>
      <c r="C672" s="57" t="inlineStr">
        <is>
          <t>Date of harvest</t>
        </is>
      </c>
      <c r="D672" s="57" t="inlineStr"/>
      <c r="E672" s="57" t="inlineStr">
        <is>
          <t>2026-07-23</t>
        </is>
      </c>
      <c r="F672" s="57" t="inlineStr">
        <is>
          <t>date_forced:Recorded on first row; South Farm first harvest</t>
        </is>
      </c>
    </row>
    <row r="673" ht="25" customHeight="1" s="55">
      <c r="A673" s="57" t="inlineStr">
        <is>
          <t>FirstHArvest_OpenFieldLex</t>
        </is>
      </c>
      <c r="B673" s="57" t="n">
        <v>62</v>
      </c>
      <c r="C673" s="57" t="inlineStr">
        <is>
          <t>Genotypes</t>
        </is>
      </c>
      <c r="D673" s="57" t="inlineStr">
        <is>
          <t xml:space="preserve">26-038 R2 </t>
        </is>
      </c>
      <c r="E673" s="57" t="inlineStr">
        <is>
          <t>UKYT-26-038</t>
        </is>
      </c>
      <c r="F673" s="57" t="inlineStr"/>
    </row>
    <row r="674" ht="25" customHeight="1" s="55">
      <c r="A674" s="57" t="inlineStr">
        <is>
          <t>FirstHArvest_OpenFieldLex</t>
        </is>
      </c>
      <c r="B674" s="57" t="n">
        <v>62</v>
      </c>
      <c r="C674" s="57" t="inlineStr">
        <is>
          <t>Location</t>
        </is>
      </c>
      <c r="D674" s="57" t="inlineStr"/>
      <c r="E674" s="57" t="inlineStr">
        <is>
          <t>South Farm</t>
        </is>
      </c>
      <c r="F674" s="57" t="inlineStr">
        <is>
          <t>forced_from_sheet_name</t>
        </is>
      </c>
    </row>
    <row r="675" ht="25" customHeight="1" s="55">
      <c r="A675" s="57" t="inlineStr">
        <is>
          <t>FirstHArvest_OpenFieldLex</t>
        </is>
      </c>
      <c r="B675" s="57" t="n">
        <v>62</v>
      </c>
      <c r="C675" s="57" t="inlineStr">
        <is>
          <t>Harvest</t>
        </is>
      </c>
      <c r="D675" s="57" t="inlineStr"/>
      <c r="E675" s="57" t="inlineStr">
        <is>
          <t>First</t>
        </is>
      </c>
      <c r="F675" s="57" t="inlineStr">
        <is>
          <t>forced_from_sheet_name</t>
        </is>
      </c>
    </row>
    <row r="676" ht="25" customHeight="1" s="55">
      <c r="A676" s="57" t="inlineStr">
        <is>
          <t>FirstHArvest_OpenFieldLex</t>
        </is>
      </c>
      <c r="B676" s="57" t="n">
        <v>62</v>
      </c>
      <c r="C676" s="57" t="inlineStr">
        <is>
          <t>Date of harvest</t>
        </is>
      </c>
      <c r="D676" s="57" t="inlineStr"/>
      <c r="E676" s="57" t="inlineStr">
        <is>
          <t>2026-07-23</t>
        </is>
      </c>
      <c r="F676" s="57" t="inlineStr">
        <is>
          <t>date_forced:Recorded on first row; South Farm first harvest</t>
        </is>
      </c>
    </row>
    <row r="677" ht="25" customHeight="1" s="55">
      <c r="A677" s="57" t="inlineStr">
        <is>
          <t>FirstHArvest_OpenFieldLex</t>
        </is>
      </c>
      <c r="B677" s="57" t="n">
        <v>63</v>
      </c>
      <c r="C677" s="57" t="inlineStr">
        <is>
          <t>Genotypes</t>
        </is>
      </c>
      <c r="D677" s="57" t="inlineStr">
        <is>
          <t xml:space="preserve">26-039 R2 </t>
        </is>
      </c>
      <c r="E677" s="57" t="inlineStr">
        <is>
          <t>UKYT-26-039</t>
        </is>
      </c>
      <c r="F677" s="57" t="inlineStr"/>
    </row>
    <row r="678" ht="25" customHeight="1" s="55">
      <c r="A678" s="57" t="inlineStr">
        <is>
          <t>FirstHArvest_OpenFieldLex</t>
        </is>
      </c>
      <c r="B678" s="57" t="n">
        <v>63</v>
      </c>
      <c r="C678" s="57" t="inlineStr">
        <is>
          <t>Location</t>
        </is>
      </c>
      <c r="D678" s="57" t="inlineStr"/>
      <c r="E678" s="57" t="inlineStr">
        <is>
          <t>South Farm</t>
        </is>
      </c>
      <c r="F678" s="57" t="inlineStr">
        <is>
          <t>forced_from_sheet_name</t>
        </is>
      </c>
    </row>
    <row r="679" ht="25" customHeight="1" s="55">
      <c r="A679" s="57" t="inlineStr">
        <is>
          <t>FirstHArvest_OpenFieldLex</t>
        </is>
      </c>
      <c r="B679" s="57" t="n">
        <v>63</v>
      </c>
      <c r="C679" s="57" t="inlineStr">
        <is>
          <t>Harvest</t>
        </is>
      </c>
      <c r="D679" s="57" t="inlineStr"/>
      <c r="E679" s="57" t="inlineStr">
        <is>
          <t>First</t>
        </is>
      </c>
      <c r="F679" s="57" t="inlineStr">
        <is>
          <t>forced_from_sheet_name</t>
        </is>
      </c>
    </row>
    <row r="680" ht="25" customHeight="1" s="55">
      <c r="A680" s="57" t="inlineStr">
        <is>
          <t>FirstHArvest_OpenFieldLex</t>
        </is>
      </c>
      <c r="B680" s="57" t="n">
        <v>63</v>
      </c>
      <c r="C680" s="57" t="inlineStr">
        <is>
          <t>Date of harvest</t>
        </is>
      </c>
      <c r="D680" s="57" t="inlineStr"/>
      <c r="E680" s="57" t="inlineStr">
        <is>
          <t>2026-07-23</t>
        </is>
      </c>
      <c r="F680" s="57" t="inlineStr">
        <is>
          <t>date_forced:Recorded on first row; South Farm first harvest</t>
        </is>
      </c>
    </row>
    <row r="681" ht="25" customHeight="1" s="55">
      <c r="A681" s="57" t="inlineStr">
        <is>
          <t>FirstHArvest_OpenFieldLex</t>
        </is>
      </c>
      <c r="B681" s="57" t="n">
        <v>64</v>
      </c>
      <c r="C681" s="57" t="inlineStr">
        <is>
          <t>Genotypes</t>
        </is>
      </c>
      <c r="D681" s="57" t="inlineStr">
        <is>
          <t>NC25313G-2</t>
        </is>
      </c>
      <c r="E681" s="57" t="inlineStr">
        <is>
          <t>NC25313G</t>
        </is>
      </c>
      <c r="F681" s="57" t="inlineStr"/>
    </row>
    <row r="682" ht="25" customHeight="1" s="55">
      <c r="A682" s="57" t="inlineStr">
        <is>
          <t>FirstHArvest_OpenFieldLex</t>
        </is>
      </c>
      <c r="B682" s="57" t="n">
        <v>64</v>
      </c>
      <c r="C682" s="57" t="inlineStr">
        <is>
          <t>Location</t>
        </is>
      </c>
      <c r="D682" s="57" t="inlineStr"/>
      <c r="E682" s="57" t="inlineStr">
        <is>
          <t>South Farm</t>
        </is>
      </c>
      <c r="F682" s="57" t="inlineStr">
        <is>
          <t>forced_from_sheet_name</t>
        </is>
      </c>
    </row>
    <row r="683" ht="25" customHeight="1" s="55">
      <c r="A683" s="57" t="inlineStr">
        <is>
          <t>FirstHArvest_OpenFieldLex</t>
        </is>
      </c>
      <c r="B683" s="57" t="n">
        <v>64</v>
      </c>
      <c r="C683" s="57" t="inlineStr">
        <is>
          <t>Harvest</t>
        </is>
      </c>
      <c r="D683" s="57" t="inlineStr"/>
      <c r="E683" s="57" t="inlineStr">
        <is>
          <t>First</t>
        </is>
      </c>
      <c r="F683" s="57" t="inlineStr">
        <is>
          <t>forced_from_sheet_name</t>
        </is>
      </c>
    </row>
    <row r="684" ht="25" customHeight="1" s="55">
      <c r="A684" s="57" t="inlineStr">
        <is>
          <t>FirstHArvest_OpenFieldLex</t>
        </is>
      </c>
      <c r="B684" s="57" t="n">
        <v>64</v>
      </c>
      <c r="C684" s="57" t="inlineStr">
        <is>
          <t>Date of harvest</t>
        </is>
      </c>
      <c r="D684" s="57" t="inlineStr"/>
      <c r="E684" s="57" t="inlineStr">
        <is>
          <t>2026-07-23</t>
        </is>
      </c>
      <c r="F684" s="57" t="inlineStr">
        <is>
          <t>date_forced:Recorded on first row; South Farm first harvest</t>
        </is>
      </c>
    </row>
    <row r="685" ht="25" customHeight="1" s="55">
      <c r="A685" s="57" t="inlineStr">
        <is>
          <t>FirstHArvest_OpenFieldLex</t>
        </is>
      </c>
      <c r="B685" s="57" t="n">
        <v>65</v>
      </c>
      <c r="C685" s="57" t="inlineStr">
        <is>
          <t>Genotypes</t>
        </is>
      </c>
      <c r="D685" s="57" t="inlineStr">
        <is>
          <t>NC25210G-1</t>
        </is>
      </c>
      <c r="E685" s="57" t="inlineStr">
        <is>
          <t>NC25210G</t>
        </is>
      </c>
      <c r="F685" s="57" t="inlineStr"/>
    </row>
    <row r="686" ht="25" customHeight="1" s="55">
      <c r="A686" s="57" t="inlineStr">
        <is>
          <t>FirstHArvest_OpenFieldLex</t>
        </is>
      </c>
      <c r="B686" s="57" t="n">
        <v>65</v>
      </c>
      <c r="C686" s="57" t="inlineStr">
        <is>
          <t>Location</t>
        </is>
      </c>
      <c r="D686" s="57" t="inlineStr"/>
      <c r="E686" s="57" t="inlineStr">
        <is>
          <t>South Farm</t>
        </is>
      </c>
      <c r="F686" s="57" t="inlineStr">
        <is>
          <t>forced_from_sheet_name</t>
        </is>
      </c>
    </row>
    <row r="687" ht="25" customHeight="1" s="55">
      <c r="A687" s="57" t="inlineStr">
        <is>
          <t>FirstHArvest_OpenFieldLex</t>
        </is>
      </c>
      <c r="B687" s="57" t="n">
        <v>65</v>
      </c>
      <c r="C687" s="57" t="inlineStr">
        <is>
          <t>Harvest</t>
        </is>
      </c>
      <c r="D687" s="57" t="inlineStr"/>
      <c r="E687" s="57" t="inlineStr">
        <is>
          <t>First</t>
        </is>
      </c>
      <c r="F687" s="57" t="inlineStr">
        <is>
          <t>forced_from_sheet_name</t>
        </is>
      </c>
    </row>
    <row r="688" ht="25" customHeight="1" s="55">
      <c r="A688" s="57" t="inlineStr">
        <is>
          <t>FirstHArvest_OpenFieldLex</t>
        </is>
      </c>
      <c r="B688" s="57" t="n">
        <v>65</v>
      </c>
      <c r="C688" s="57" t="inlineStr">
        <is>
          <t>Date of harvest</t>
        </is>
      </c>
      <c r="D688" s="57" t="inlineStr"/>
      <c r="E688" s="57" t="inlineStr">
        <is>
          <t>2026-07-23</t>
        </is>
      </c>
      <c r="F688" s="57" t="inlineStr">
        <is>
          <t>date_forced:Recorded on first row; South Farm first harvest</t>
        </is>
      </c>
    </row>
    <row r="689" ht="25" customHeight="1" s="55">
      <c r="A689" s="57" t="inlineStr">
        <is>
          <t>FirstHArvest_OpenFieldLex</t>
        </is>
      </c>
      <c r="B689" s="57" t="n">
        <v>66</v>
      </c>
      <c r="C689" s="57" t="inlineStr">
        <is>
          <t>Genotypes</t>
        </is>
      </c>
      <c r="D689" s="57" t="inlineStr">
        <is>
          <t>26-038</t>
        </is>
      </c>
      <c r="E689" s="57" t="inlineStr">
        <is>
          <t>UKYT-26-038</t>
        </is>
      </c>
      <c r="F689" s="57" t="inlineStr"/>
    </row>
    <row r="690" ht="25" customHeight="1" s="55">
      <c r="A690" s="57" t="inlineStr">
        <is>
          <t>FirstHArvest_OpenFieldLex</t>
        </is>
      </c>
      <c r="B690" s="57" t="n">
        <v>66</v>
      </c>
      <c r="C690" s="57" t="inlineStr">
        <is>
          <t>Location</t>
        </is>
      </c>
      <c r="D690" s="57" t="inlineStr"/>
      <c r="E690" s="57" t="inlineStr">
        <is>
          <t>South Farm</t>
        </is>
      </c>
      <c r="F690" s="57" t="inlineStr">
        <is>
          <t>forced_from_sheet_name</t>
        </is>
      </c>
    </row>
    <row r="691" ht="25" customHeight="1" s="55">
      <c r="A691" s="57" t="inlineStr">
        <is>
          <t>FirstHArvest_OpenFieldLex</t>
        </is>
      </c>
      <c r="B691" s="57" t="n">
        <v>66</v>
      </c>
      <c r="C691" s="57" t="inlineStr">
        <is>
          <t>Harvest</t>
        </is>
      </c>
      <c r="D691" s="57" t="inlineStr"/>
      <c r="E691" s="57" t="inlineStr">
        <is>
          <t>First</t>
        </is>
      </c>
      <c r="F691" s="57" t="inlineStr">
        <is>
          <t>forced_from_sheet_name</t>
        </is>
      </c>
    </row>
    <row r="692" ht="25" customHeight="1" s="55">
      <c r="A692" s="57" t="inlineStr">
        <is>
          <t>FirstHArvest_OpenFieldLex</t>
        </is>
      </c>
      <c r="B692" s="57" t="n">
        <v>66</v>
      </c>
      <c r="C692" s="57" t="inlineStr">
        <is>
          <t>Date of harvest</t>
        </is>
      </c>
      <c r="D692" s="57" t="inlineStr"/>
      <c r="E692" s="57" t="inlineStr">
        <is>
          <t>2026-07-23</t>
        </is>
      </c>
      <c r="F692" s="57" t="inlineStr">
        <is>
          <t>date_forced:Recorded on first row; South Farm first harvest</t>
        </is>
      </c>
    </row>
    <row r="693" ht="25" customHeight="1" s="55">
      <c r="A693" s="57" t="inlineStr">
        <is>
          <t>FirstHArvest_OpenFieldLex</t>
        </is>
      </c>
      <c r="B693" s="57" t="n">
        <v>67</v>
      </c>
      <c r="C693" s="57" t="inlineStr">
        <is>
          <t>Genotypes</t>
        </is>
      </c>
      <c r="D693" s="57" t="inlineStr">
        <is>
          <t>26-009 R1</t>
        </is>
      </c>
      <c r="E693" s="57" t="inlineStr">
        <is>
          <t>UKYT-26-009</t>
        </is>
      </c>
      <c r="F693" s="57" t="inlineStr"/>
    </row>
    <row r="694" ht="25" customHeight="1" s="55">
      <c r="A694" s="57" t="inlineStr">
        <is>
          <t>FirstHArvest_OpenFieldLex</t>
        </is>
      </c>
      <c r="B694" s="57" t="n">
        <v>67</v>
      </c>
      <c r="C694" s="57" t="inlineStr">
        <is>
          <t>Location</t>
        </is>
      </c>
      <c r="D694" s="57" t="inlineStr"/>
      <c r="E694" s="57" t="inlineStr">
        <is>
          <t>South Farm</t>
        </is>
      </c>
      <c r="F694" s="57" t="inlineStr">
        <is>
          <t>forced_from_sheet_name</t>
        </is>
      </c>
    </row>
    <row r="695" ht="25" customHeight="1" s="55">
      <c r="A695" s="57" t="inlineStr">
        <is>
          <t>FirstHArvest_OpenFieldLex</t>
        </is>
      </c>
      <c r="B695" s="57" t="n">
        <v>67</v>
      </c>
      <c r="C695" s="57" t="inlineStr">
        <is>
          <t>Harvest</t>
        </is>
      </c>
      <c r="D695" s="57" t="inlineStr"/>
      <c r="E695" s="57" t="inlineStr">
        <is>
          <t>First</t>
        </is>
      </c>
      <c r="F695" s="57" t="inlineStr">
        <is>
          <t>forced_from_sheet_name</t>
        </is>
      </c>
    </row>
    <row r="696" ht="25" customHeight="1" s="55">
      <c r="A696" s="57" t="inlineStr">
        <is>
          <t>FirstHArvest_OpenFieldLex</t>
        </is>
      </c>
      <c r="B696" s="57" t="n">
        <v>67</v>
      </c>
      <c r="C696" s="57" t="inlineStr">
        <is>
          <t>Date of harvest</t>
        </is>
      </c>
      <c r="D696" s="57" t="inlineStr"/>
      <c r="E696" s="57" t="inlineStr">
        <is>
          <t>2026-07-23</t>
        </is>
      </c>
      <c r="F696" s="57" t="inlineStr">
        <is>
          <t>date_forced:Recorded on first row; South Farm first harvest</t>
        </is>
      </c>
    </row>
    <row r="697" ht="25" customHeight="1" s="55">
      <c r="A697" s="57" t="inlineStr">
        <is>
          <t>FirstHArvest_OpenFieldLex</t>
        </is>
      </c>
      <c r="B697" s="57" t="n">
        <v>68</v>
      </c>
      <c r="C697" s="57" t="inlineStr">
        <is>
          <t>Genotypes</t>
        </is>
      </c>
      <c r="D697" s="57" t="inlineStr">
        <is>
          <t>NC25317G-2</t>
        </is>
      </c>
      <c r="E697" s="57" t="inlineStr">
        <is>
          <t>NC25317G</t>
        </is>
      </c>
      <c r="F697" s="57" t="inlineStr"/>
    </row>
    <row r="698" ht="25" customHeight="1" s="55">
      <c r="A698" s="57" t="inlineStr">
        <is>
          <t>FirstHArvest_OpenFieldLex</t>
        </is>
      </c>
      <c r="B698" s="57" t="n">
        <v>68</v>
      </c>
      <c r="C698" s="57" t="inlineStr">
        <is>
          <t>Location</t>
        </is>
      </c>
      <c r="D698" s="57" t="inlineStr"/>
      <c r="E698" s="57" t="inlineStr">
        <is>
          <t>South Farm</t>
        </is>
      </c>
      <c r="F698" s="57" t="inlineStr">
        <is>
          <t>forced_from_sheet_name</t>
        </is>
      </c>
    </row>
    <row r="699" ht="25" customHeight="1" s="55">
      <c r="A699" s="57" t="inlineStr">
        <is>
          <t>FirstHArvest_OpenFieldLex</t>
        </is>
      </c>
      <c r="B699" s="57" t="n">
        <v>68</v>
      </c>
      <c r="C699" s="57" t="inlineStr">
        <is>
          <t>Harvest</t>
        </is>
      </c>
      <c r="D699" s="57" t="inlineStr"/>
      <c r="E699" s="57" t="inlineStr">
        <is>
          <t>First</t>
        </is>
      </c>
      <c r="F699" s="57" t="inlineStr">
        <is>
          <t>forced_from_sheet_name</t>
        </is>
      </c>
    </row>
    <row r="700" ht="25" customHeight="1" s="55">
      <c r="A700" s="57" t="inlineStr">
        <is>
          <t>FirstHArvest_OpenFieldLex</t>
        </is>
      </c>
      <c r="B700" s="57" t="n">
        <v>68</v>
      </c>
      <c r="C700" s="57" t="inlineStr">
        <is>
          <t>Date of harvest</t>
        </is>
      </c>
      <c r="D700" s="57" t="inlineStr"/>
      <c r="E700" s="57" t="inlineStr">
        <is>
          <t>2026-07-23</t>
        </is>
      </c>
      <c r="F700" s="57" t="inlineStr">
        <is>
          <t>date_forced:Recorded on first row; South Farm first harvest</t>
        </is>
      </c>
    </row>
    <row r="701" ht="25" customHeight="1" s="55">
      <c r="A701" s="57" t="inlineStr">
        <is>
          <t>FirstHArvest_OpenFieldLex</t>
        </is>
      </c>
      <c r="B701" s="57" t="n">
        <v>69</v>
      </c>
      <c r="C701" s="57" t="inlineStr">
        <is>
          <t>Genotypes</t>
        </is>
      </c>
      <c r="D701" s="57" t="inlineStr">
        <is>
          <t>26-037</t>
        </is>
      </c>
      <c r="E701" s="57" t="inlineStr">
        <is>
          <t>UKYT-26-037</t>
        </is>
      </c>
      <c r="F701" s="57" t="inlineStr"/>
    </row>
    <row r="702" ht="25" customHeight="1" s="55">
      <c r="A702" s="57" t="inlineStr">
        <is>
          <t>FirstHArvest_OpenFieldLex</t>
        </is>
      </c>
      <c r="B702" s="57" t="n">
        <v>69</v>
      </c>
      <c r="C702" s="57" t="inlineStr">
        <is>
          <t>Location</t>
        </is>
      </c>
      <c r="D702" s="57" t="inlineStr"/>
      <c r="E702" s="57" t="inlineStr">
        <is>
          <t>South Farm</t>
        </is>
      </c>
      <c r="F702" s="57" t="inlineStr">
        <is>
          <t>forced_from_sheet_name</t>
        </is>
      </c>
    </row>
    <row r="703" ht="25" customHeight="1" s="55">
      <c r="A703" s="57" t="inlineStr">
        <is>
          <t>FirstHArvest_OpenFieldLex</t>
        </is>
      </c>
      <c r="B703" s="57" t="n">
        <v>69</v>
      </c>
      <c r="C703" s="57" t="inlineStr">
        <is>
          <t>Harvest</t>
        </is>
      </c>
      <c r="D703" s="57" t="inlineStr"/>
      <c r="E703" s="57" t="inlineStr">
        <is>
          <t>First</t>
        </is>
      </c>
      <c r="F703" s="57" t="inlineStr">
        <is>
          <t>forced_from_sheet_name</t>
        </is>
      </c>
    </row>
    <row r="704" ht="25" customHeight="1" s="55">
      <c r="A704" s="57" t="inlineStr">
        <is>
          <t>FirstHArvest_OpenFieldLex</t>
        </is>
      </c>
      <c r="B704" s="57" t="n">
        <v>69</v>
      </c>
      <c r="C704" s="57" t="inlineStr">
        <is>
          <t>Date of harvest</t>
        </is>
      </c>
      <c r="D704" s="57" t="inlineStr"/>
      <c r="E704" s="57" t="inlineStr">
        <is>
          <t>2026-07-23</t>
        </is>
      </c>
      <c r="F704" s="57" t="inlineStr">
        <is>
          <t>date_forced:Recorded on first row; South Farm first harvest</t>
        </is>
      </c>
    </row>
    <row r="705" ht="25" customHeight="1" s="55">
      <c r="A705" s="57" t="inlineStr">
        <is>
          <t>FirstHArvest_OpenFieldLex</t>
        </is>
      </c>
      <c r="B705" s="57" t="n">
        <v>70</v>
      </c>
      <c r="C705" s="57" t="inlineStr">
        <is>
          <t>Genotypes</t>
        </is>
      </c>
      <c r="D705" s="57" t="inlineStr">
        <is>
          <t>26-035 R3</t>
        </is>
      </c>
      <c r="E705" s="57" t="inlineStr">
        <is>
          <t>UKYT-26-035</t>
        </is>
      </c>
      <c r="F705" s="57" t="inlineStr"/>
    </row>
    <row r="706" ht="25" customHeight="1" s="55">
      <c r="A706" s="57" t="inlineStr">
        <is>
          <t>FirstHArvest_OpenFieldLex</t>
        </is>
      </c>
      <c r="B706" s="57" t="n">
        <v>70</v>
      </c>
      <c r="C706" s="57" t="inlineStr">
        <is>
          <t>Location</t>
        </is>
      </c>
      <c r="D706" s="57" t="inlineStr"/>
      <c r="E706" s="57" t="inlineStr">
        <is>
          <t>South Farm</t>
        </is>
      </c>
      <c r="F706" s="57" t="inlineStr">
        <is>
          <t>forced_from_sheet_name</t>
        </is>
      </c>
    </row>
    <row r="707" ht="25" customHeight="1" s="55">
      <c r="A707" s="57" t="inlineStr">
        <is>
          <t>FirstHArvest_OpenFieldLex</t>
        </is>
      </c>
      <c r="B707" s="57" t="n">
        <v>70</v>
      </c>
      <c r="C707" s="57" t="inlineStr">
        <is>
          <t>Harvest</t>
        </is>
      </c>
      <c r="D707" s="57" t="inlineStr"/>
      <c r="E707" s="57" t="inlineStr">
        <is>
          <t>First</t>
        </is>
      </c>
      <c r="F707" s="57" t="inlineStr">
        <is>
          <t>forced_from_sheet_name</t>
        </is>
      </c>
    </row>
    <row r="708" ht="25" customHeight="1" s="55">
      <c r="A708" s="57" t="inlineStr">
        <is>
          <t>FirstHArvest_OpenFieldLex</t>
        </is>
      </c>
      <c r="B708" s="57" t="n">
        <v>70</v>
      </c>
      <c r="C708" s="57" t="inlineStr">
        <is>
          <t>Date of harvest</t>
        </is>
      </c>
      <c r="D708" s="57" t="inlineStr"/>
      <c r="E708" s="57" t="inlineStr">
        <is>
          <t>2026-07-23</t>
        </is>
      </c>
      <c r="F708" s="57" t="inlineStr">
        <is>
          <t>date_forced:Recorded on first row; South Farm first harvest</t>
        </is>
      </c>
    </row>
    <row r="709" ht="25" customHeight="1" s="55">
      <c r="A709" s="57" t="inlineStr">
        <is>
          <t>FirstHArvest_OpenFieldLex</t>
        </is>
      </c>
      <c r="B709" s="57" t="n">
        <v>71</v>
      </c>
      <c r="C709" s="57" t="inlineStr">
        <is>
          <t>Genotypes</t>
        </is>
      </c>
      <c r="D709" s="57" t="inlineStr">
        <is>
          <t>26-008 R1</t>
        </is>
      </c>
      <c r="E709" s="57" t="inlineStr">
        <is>
          <t>UKYT-26-008</t>
        </is>
      </c>
      <c r="F709" s="57" t="inlineStr"/>
    </row>
    <row r="710" ht="25" customHeight="1" s="55">
      <c r="A710" s="57" t="inlineStr">
        <is>
          <t>FirstHArvest_OpenFieldLex</t>
        </is>
      </c>
      <c r="B710" s="57" t="n">
        <v>71</v>
      </c>
      <c r="C710" s="57" t="inlineStr">
        <is>
          <t>Location</t>
        </is>
      </c>
      <c r="D710" s="57" t="inlineStr"/>
      <c r="E710" s="57" t="inlineStr">
        <is>
          <t>South Farm</t>
        </is>
      </c>
      <c r="F710" s="57" t="inlineStr">
        <is>
          <t>forced_from_sheet_name</t>
        </is>
      </c>
    </row>
    <row r="711" ht="25" customHeight="1" s="55">
      <c r="A711" s="57" t="inlineStr">
        <is>
          <t>FirstHArvest_OpenFieldLex</t>
        </is>
      </c>
      <c r="B711" s="57" t="n">
        <v>71</v>
      </c>
      <c r="C711" s="57" t="inlineStr">
        <is>
          <t>Harvest</t>
        </is>
      </c>
      <c r="D711" s="57" t="inlineStr"/>
      <c r="E711" s="57" t="inlineStr">
        <is>
          <t>First</t>
        </is>
      </c>
      <c r="F711" s="57" t="inlineStr">
        <is>
          <t>forced_from_sheet_name</t>
        </is>
      </c>
    </row>
    <row r="712" ht="25" customHeight="1" s="55">
      <c r="A712" s="57" t="inlineStr">
        <is>
          <t>FirstHArvest_OpenFieldLex</t>
        </is>
      </c>
      <c r="B712" s="57" t="n">
        <v>71</v>
      </c>
      <c r="C712" s="57" t="inlineStr">
        <is>
          <t>Date of harvest</t>
        </is>
      </c>
      <c r="D712" s="57" t="inlineStr"/>
      <c r="E712" s="57" t="inlineStr">
        <is>
          <t>2026-07-23</t>
        </is>
      </c>
      <c r="F712" s="57" t="inlineStr">
        <is>
          <t>date_forced:Recorded on first row; South Farm first harvest</t>
        </is>
      </c>
    </row>
    <row r="713" ht="25" customHeight="1" s="55">
      <c r="A713" s="57" t="inlineStr">
        <is>
          <t>FirstHArvest_OpenFieldLex</t>
        </is>
      </c>
      <c r="B713" s="57" t="n">
        <v>72</v>
      </c>
      <c r="C713" s="57" t="inlineStr">
        <is>
          <t>Genotypes</t>
        </is>
      </c>
      <c r="D713" s="57" t="inlineStr">
        <is>
          <t>26-036 R2</t>
        </is>
      </c>
      <c r="E713" s="57" t="inlineStr">
        <is>
          <t>UKYT-26-036</t>
        </is>
      </c>
      <c r="F713" s="57" t="inlineStr"/>
    </row>
    <row r="714" ht="25" customHeight="1" s="55">
      <c r="A714" s="57" t="inlineStr">
        <is>
          <t>FirstHArvest_OpenFieldLex</t>
        </is>
      </c>
      <c r="B714" s="57" t="n">
        <v>72</v>
      </c>
      <c r="C714" s="57" t="inlineStr">
        <is>
          <t>Location</t>
        </is>
      </c>
      <c r="D714" s="57" t="inlineStr"/>
      <c r="E714" s="57" t="inlineStr">
        <is>
          <t>South Farm</t>
        </is>
      </c>
      <c r="F714" s="57" t="inlineStr">
        <is>
          <t>forced_from_sheet_name</t>
        </is>
      </c>
    </row>
    <row r="715" ht="25" customHeight="1" s="55">
      <c r="A715" s="57" t="inlineStr">
        <is>
          <t>FirstHArvest_OpenFieldLex</t>
        </is>
      </c>
      <c r="B715" s="57" t="n">
        <v>72</v>
      </c>
      <c r="C715" s="57" t="inlineStr">
        <is>
          <t>Harvest</t>
        </is>
      </c>
      <c r="D715" s="57" t="inlineStr"/>
      <c r="E715" s="57" t="inlineStr">
        <is>
          <t>First</t>
        </is>
      </c>
      <c r="F715" s="57" t="inlineStr">
        <is>
          <t>forced_from_sheet_name</t>
        </is>
      </c>
    </row>
    <row r="716" ht="25" customHeight="1" s="55">
      <c r="A716" s="57" t="inlineStr">
        <is>
          <t>FirstHArvest_OpenFieldLex</t>
        </is>
      </c>
      <c r="B716" s="57" t="n">
        <v>72</v>
      </c>
      <c r="C716" s="57" t="inlineStr">
        <is>
          <t>Date of harvest</t>
        </is>
      </c>
      <c r="D716" s="57" t="inlineStr"/>
      <c r="E716" s="57" t="inlineStr">
        <is>
          <t>2026-07-23</t>
        </is>
      </c>
      <c r="F716" s="57" t="inlineStr">
        <is>
          <t>date_forced:Recorded on first row; South Farm first harvest</t>
        </is>
      </c>
    </row>
    <row r="717" ht="25" customHeight="1" s="55">
      <c r="A717" s="57" t="inlineStr">
        <is>
          <t>FirstHArvest_OpenFieldLex</t>
        </is>
      </c>
      <c r="B717" s="57" t="n">
        <v>73</v>
      </c>
      <c r="C717" s="57" t="inlineStr">
        <is>
          <t>Genotypes</t>
        </is>
      </c>
      <c r="D717" s="57" t="inlineStr">
        <is>
          <t>26-037 R2</t>
        </is>
      </c>
      <c r="E717" s="57" t="inlineStr">
        <is>
          <t>UKYT-26-037</t>
        </is>
      </c>
      <c r="F717" s="57" t="inlineStr"/>
    </row>
    <row r="718" ht="25" customHeight="1" s="55">
      <c r="A718" s="57" t="inlineStr">
        <is>
          <t>FirstHArvest_OpenFieldLex</t>
        </is>
      </c>
      <c r="B718" s="57" t="n">
        <v>73</v>
      </c>
      <c r="C718" s="57" t="inlineStr">
        <is>
          <t>Location</t>
        </is>
      </c>
      <c r="D718" s="57" t="inlineStr"/>
      <c r="E718" s="57" t="inlineStr">
        <is>
          <t>South Farm</t>
        </is>
      </c>
      <c r="F718" s="57" t="inlineStr">
        <is>
          <t>forced_from_sheet_name</t>
        </is>
      </c>
    </row>
    <row r="719" ht="25" customHeight="1" s="55">
      <c r="A719" s="57" t="inlineStr">
        <is>
          <t>FirstHArvest_OpenFieldLex</t>
        </is>
      </c>
      <c r="B719" s="57" t="n">
        <v>73</v>
      </c>
      <c r="C719" s="57" t="inlineStr">
        <is>
          <t>Harvest</t>
        </is>
      </c>
      <c r="D719" s="57" t="inlineStr"/>
      <c r="E719" s="57" t="inlineStr">
        <is>
          <t>First</t>
        </is>
      </c>
      <c r="F719" s="57" t="inlineStr">
        <is>
          <t>forced_from_sheet_name</t>
        </is>
      </c>
    </row>
    <row r="720" ht="25" customHeight="1" s="55">
      <c r="A720" s="57" t="inlineStr">
        <is>
          <t>FirstHArvest_OpenFieldLex</t>
        </is>
      </c>
      <c r="B720" s="57" t="n">
        <v>73</v>
      </c>
      <c r="C720" s="57" t="inlineStr">
        <is>
          <t>Date of harvest</t>
        </is>
      </c>
      <c r="D720" s="57" t="inlineStr"/>
      <c r="E720" s="57" t="inlineStr">
        <is>
          <t>2026-07-23</t>
        </is>
      </c>
      <c r="F720" s="57" t="inlineStr">
        <is>
          <t>date_forced:Recorded on first row; South Farm first harvest</t>
        </is>
      </c>
    </row>
    <row r="721" ht="25" customHeight="1" s="55">
      <c r="A721" s="57" t="inlineStr">
        <is>
          <t>FirstHArvest_OpenFieldLex</t>
        </is>
      </c>
      <c r="B721" s="57" t="n">
        <v>74</v>
      </c>
      <c r="C721" s="57" t="inlineStr">
        <is>
          <t>Genotypes</t>
        </is>
      </c>
      <c r="D721" s="57" t="inlineStr">
        <is>
          <t>26-034 R3</t>
        </is>
      </c>
      <c r="E721" s="57" t="inlineStr">
        <is>
          <t>UKYT-26-034</t>
        </is>
      </c>
      <c r="F721" s="57" t="inlineStr"/>
    </row>
    <row r="722" ht="25" customHeight="1" s="55">
      <c r="A722" s="57" t="inlineStr">
        <is>
          <t>FirstHArvest_OpenFieldLex</t>
        </is>
      </c>
      <c r="B722" s="57" t="n">
        <v>74</v>
      </c>
      <c r="C722" s="57" t="inlineStr">
        <is>
          <t>Location</t>
        </is>
      </c>
      <c r="D722" s="57" t="inlineStr"/>
      <c r="E722" s="57" t="inlineStr">
        <is>
          <t>South Farm</t>
        </is>
      </c>
      <c r="F722" s="57" t="inlineStr">
        <is>
          <t>forced_from_sheet_name</t>
        </is>
      </c>
    </row>
    <row r="723" ht="25" customHeight="1" s="55">
      <c r="A723" s="57" t="inlineStr">
        <is>
          <t>FirstHArvest_OpenFieldLex</t>
        </is>
      </c>
      <c r="B723" s="57" t="n">
        <v>74</v>
      </c>
      <c r="C723" s="57" t="inlineStr">
        <is>
          <t>Harvest</t>
        </is>
      </c>
      <c r="D723" s="57" t="inlineStr"/>
      <c r="E723" s="57" t="inlineStr">
        <is>
          <t>First</t>
        </is>
      </c>
      <c r="F723" s="57" t="inlineStr">
        <is>
          <t>forced_from_sheet_name</t>
        </is>
      </c>
    </row>
    <row r="724" ht="25" customHeight="1" s="55">
      <c r="A724" s="57" t="inlineStr">
        <is>
          <t>FirstHArvest_OpenFieldLex</t>
        </is>
      </c>
      <c r="B724" s="57" t="n">
        <v>74</v>
      </c>
      <c r="C724" s="57" t="inlineStr">
        <is>
          <t>Date of harvest</t>
        </is>
      </c>
      <c r="D724" s="57" t="inlineStr"/>
      <c r="E724" s="57" t="inlineStr">
        <is>
          <t>2026-07-23</t>
        </is>
      </c>
      <c r="F724" s="57" t="inlineStr">
        <is>
          <t>date_forced:Recorded on first row; South Farm first harvest</t>
        </is>
      </c>
    </row>
    <row r="725" ht="25" customHeight="1" s="55">
      <c r="A725" s="57" t="inlineStr">
        <is>
          <t>FirstHArvest_OpenFieldLex</t>
        </is>
      </c>
      <c r="B725" s="57" t="n">
        <v>75</v>
      </c>
      <c r="C725" s="57" t="inlineStr">
        <is>
          <t>Genotypes</t>
        </is>
      </c>
      <c r="D725" s="57" t="inlineStr">
        <is>
          <t>Cherokee Purple R2</t>
        </is>
      </c>
      <c r="E725" s="57" t="inlineStr">
        <is>
          <t>Cherokee Purple</t>
        </is>
      </c>
      <c r="F725" s="57" t="inlineStr"/>
    </row>
    <row r="726" ht="25" customHeight="1" s="55">
      <c r="A726" s="57" t="inlineStr">
        <is>
          <t>FirstHArvest_OpenFieldLex</t>
        </is>
      </c>
      <c r="B726" s="57" t="n">
        <v>75</v>
      </c>
      <c r="C726" s="57" t="inlineStr">
        <is>
          <t>Location</t>
        </is>
      </c>
      <c r="D726" s="57" t="inlineStr"/>
      <c r="E726" s="57" t="inlineStr">
        <is>
          <t>South Farm</t>
        </is>
      </c>
      <c r="F726" s="57" t="inlineStr">
        <is>
          <t>forced_from_sheet_name</t>
        </is>
      </c>
    </row>
    <row r="727" ht="25" customHeight="1" s="55">
      <c r="A727" s="57" t="inlineStr">
        <is>
          <t>FirstHArvest_OpenFieldLex</t>
        </is>
      </c>
      <c r="B727" s="57" t="n">
        <v>75</v>
      </c>
      <c r="C727" s="57" t="inlineStr">
        <is>
          <t>Harvest</t>
        </is>
      </c>
      <c r="D727" s="57" t="inlineStr"/>
      <c r="E727" s="57" t="inlineStr">
        <is>
          <t>First</t>
        </is>
      </c>
      <c r="F727" s="57" t="inlineStr">
        <is>
          <t>forced_from_sheet_name</t>
        </is>
      </c>
    </row>
    <row r="728" ht="25" customHeight="1" s="55">
      <c r="A728" s="57" t="inlineStr">
        <is>
          <t>FirstHArvest_OpenFieldLex</t>
        </is>
      </c>
      <c r="B728" s="57" t="n">
        <v>75</v>
      </c>
      <c r="C728" s="57" t="inlineStr">
        <is>
          <t>Date of harvest</t>
        </is>
      </c>
      <c r="D728" s="57" t="inlineStr"/>
      <c r="E728" s="57" t="inlineStr">
        <is>
          <t>2026-07-23</t>
        </is>
      </c>
      <c r="F728" s="57" t="inlineStr">
        <is>
          <t>date_forced:Recorded on first row; South Farm first harvest</t>
        </is>
      </c>
    </row>
    <row r="729" ht="25" customHeight="1" s="55">
      <c r="A729" s="57" t="inlineStr">
        <is>
          <t>FirstHArvest_OpenFieldLex</t>
        </is>
      </c>
      <c r="B729" s="57" t="n">
        <v>76</v>
      </c>
      <c r="C729" s="57" t="inlineStr">
        <is>
          <t>Genotypes</t>
        </is>
      </c>
      <c r="D729" s="57" t="inlineStr">
        <is>
          <t>26-036 R3</t>
        </is>
      </c>
      <c r="E729" s="57" t="inlineStr">
        <is>
          <t>UKYT-26-036</t>
        </is>
      </c>
      <c r="F729" s="57" t="inlineStr"/>
    </row>
    <row r="730" ht="25" customHeight="1" s="55">
      <c r="A730" s="57" t="inlineStr">
        <is>
          <t>FirstHArvest_OpenFieldLex</t>
        </is>
      </c>
      <c r="B730" s="57" t="n">
        <v>76</v>
      </c>
      <c r="C730" s="57" t="inlineStr">
        <is>
          <t>Location</t>
        </is>
      </c>
      <c r="D730" s="57" t="inlineStr"/>
      <c r="E730" s="57" t="inlineStr">
        <is>
          <t>South Farm</t>
        </is>
      </c>
      <c r="F730" s="57" t="inlineStr">
        <is>
          <t>forced_from_sheet_name</t>
        </is>
      </c>
    </row>
    <row r="731" ht="25" customHeight="1" s="55">
      <c r="A731" s="57" t="inlineStr">
        <is>
          <t>FirstHArvest_OpenFieldLex</t>
        </is>
      </c>
      <c r="B731" s="57" t="n">
        <v>76</v>
      </c>
      <c r="C731" s="57" t="inlineStr">
        <is>
          <t>Harvest</t>
        </is>
      </c>
      <c r="D731" s="57" t="inlineStr"/>
      <c r="E731" s="57" t="inlineStr">
        <is>
          <t>First</t>
        </is>
      </c>
      <c r="F731" s="57" t="inlineStr">
        <is>
          <t>forced_from_sheet_name</t>
        </is>
      </c>
    </row>
    <row r="732" ht="25" customHeight="1" s="55">
      <c r="A732" s="57" t="inlineStr">
        <is>
          <t>FirstHArvest_OpenFieldLex</t>
        </is>
      </c>
      <c r="B732" s="57" t="n">
        <v>76</v>
      </c>
      <c r="C732" s="57" t="inlineStr">
        <is>
          <t>Date of harvest</t>
        </is>
      </c>
      <c r="D732" s="57" t="inlineStr"/>
      <c r="E732" s="57" t="inlineStr">
        <is>
          <t>2026-07-23</t>
        </is>
      </c>
      <c r="F732" s="57" t="inlineStr">
        <is>
          <t>date_forced:Recorded on first row; South Farm first harvest</t>
        </is>
      </c>
    </row>
    <row r="733" ht="25" customHeight="1" s="55">
      <c r="A733" s="57" t="inlineStr">
        <is>
          <t>FirstHArvest_OpenFieldLex</t>
        </is>
      </c>
      <c r="B733" s="57" t="n">
        <v>77</v>
      </c>
      <c r="C733" s="57" t="inlineStr">
        <is>
          <t>Genotypes</t>
        </is>
      </c>
      <c r="D733" s="57" t="inlineStr">
        <is>
          <t>Cherokee Purple R3</t>
        </is>
      </c>
      <c r="E733" s="57" t="inlineStr">
        <is>
          <t>Cherokee Purple</t>
        </is>
      </c>
      <c r="F733" s="57" t="inlineStr"/>
    </row>
    <row r="734" ht="25" customHeight="1" s="55">
      <c r="A734" s="57" t="inlineStr">
        <is>
          <t>FirstHArvest_OpenFieldLex</t>
        </is>
      </c>
      <c r="B734" s="57" t="n">
        <v>77</v>
      </c>
      <c r="C734" s="57" t="inlineStr">
        <is>
          <t>Location</t>
        </is>
      </c>
      <c r="D734" s="57" t="inlineStr"/>
      <c r="E734" s="57" t="inlineStr">
        <is>
          <t>South Farm</t>
        </is>
      </c>
      <c r="F734" s="57" t="inlineStr">
        <is>
          <t>forced_from_sheet_name</t>
        </is>
      </c>
    </row>
    <row r="735" ht="25" customHeight="1" s="55">
      <c r="A735" s="57" t="inlineStr">
        <is>
          <t>FirstHArvest_OpenFieldLex</t>
        </is>
      </c>
      <c r="B735" s="57" t="n">
        <v>77</v>
      </c>
      <c r="C735" s="57" t="inlineStr">
        <is>
          <t>Harvest</t>
        </is>
      </c>
      <c r="D735" s="57" t="inlineStr"/>
      <c r="E735" s="57" t="inlineStr">
        <is>
          <t>First</t>
        </is>
      </c>
      <c r="F735" s="57" t="inlineStr">
        <is>
          <t>forced_from_sheet_name</t>
        </is>
      </c>
    </row>
    <row r="736" ht="25" customHeight="1" s="55">
      <c r="A736" s="57" t="inlineStr">
        <is>
          <t>FirstHArvest_OpenFieldLex</t>
        </is>
      </c>
      <c r="B736" s="57" t="n">
        <v>77</v>
      </c>
      <c r="C736" s="57" t="inlineStr">
        <is>
          <t>Date of harvest</t>
        </is>
      </c>
      <c r="D736" s="57" t="inlineStr"/>
      <c r="E736" s="57" t="inlineStr">
        <is>
          <t>2026-07-23</t>
        </is>
      </c>
      <c r="F736" s="57" t="inlineStr">
        <is>
          <t>date_forced:Recorded on first row; South Farm first harvest</t>
        </is>
      </c>
    </row>
    <row r="737" ht="25" customHeight="1" s="55">
      <c r="A737" s="57" t="inlineStr">
        <is>
          <t>FirstHArvest_OpenFieldLex</t>
        </is>
      </c>
      <c r="B737" s="57" t="n">
        <v>78</v>
      </c>
      <c r="C737" s="57" t="inlineStr">
        <is>
          <t>Genotypes</t>
        </is>
      </c>
      <c r="D737" s="57" t="inlineStr">
        <is>
          <t>Mountain Magic -2</t>
        </is>
      </c>
      <c r="E737" s="57" t="inlineStr">
        <is>
          <t>Mt. Magic</t>
        </is>
      </c>
      <c r="F737" s="57" t="inlineStr"/>
    </row>
    <row r="738" ht="25" customHeight="1" s="55">
      <c r="A738" s="57" t="inlineStr">
        <is>
          <t>FirstHArvest_OpenFieldLex</t>
        </is>
      </c>
      <c r="B738" s="57" t="n">
        <v>78</v>
      </c>
      <c r="C738" s="57" t="inlineStr">
        <is>
          <t>Location</t>
        </is>
      </c>
      <c r="D738" s="57" t="inlineStr"/>
      <c r="E738" s="57" t="inlineStr">
        <is>
          <t>South Farm</t>
        </is>
      </c>
      <c r="F738" s="57" t="inlineStr">
        <is>
          <t>forced_from_sheet_name</t>
        </is>
      </c>
    </row>
    <row r="739" ht="25" customHeight="1" s="55">
      <c r="A739" s="57" t="inlineStr">
        <is>
          <t>FirstHArvest_OpenFieldLex</t>
        </is>
      </c>
      <c r="B739" s="57" t="n">
        <v>78</v>
      </c>
      <c r="C739" s="57" t="inlineStr">
        <is>
          <t>Harvest</t>
        </is>
      </c>
      <c r="D739" s="57" t="inlineStr"/>
      <c r="E739" s="57" t="inlineStr">
        <is>
          <t>First</t>
        </is>
      </c>
      <c r="F739" s="57" t="inlineStr">
        <is>
          <t>forced_from_sheet_name</t>
        </is>
      </c>
    </row>
    <row r="740" ht="25" customHeight="1" s="55">
      <c r="A740" s="57" t="inlineStr">
        <is>
          <t>FirstHArvest_OpenFieldLex</t>
        </is>
      </c>
      <c r="B740" s="57" t="n">
        <v>78</v>
      </c>
      <c r="C740" s="57" t="inlineStr">
        <is>
          <t>Date of harvest</t>
        </is>
      </c>
      <c r="D740" s="57" t="inlineStr"/>
      <c r="E740" s="57" t="inlineStr">
        <is>
          <t>2026-07-23</t>
        </is>
      </c>
      <c r="F740" s="57" t="inlineStr">
        <is>
          <t>date_forced:Recorded on first row; South Farm first harvest</t>
        </is>
      </c>
    </row>
    <row r="741" ht="25" customHeight="1" s="55">
      <c r="A741" s="57" t="inlineStr">
        <is>
          <t>FirstHArvest_OpenFieldLex</t>
        </is>
      </c>
      <c r="B741" s="57" t="n">
        <v>79</v>
      </c>
      <c r="C741" s="57" t="inlineStr">
        <is>
          <t>Genotypes</t>
        </is>
      </c>
      <c r="D741" s="57" t="inlineStr">
        <is>
          <t>Peacevine Cherry R2</t>
        </is>
      </c>
      <c r="E741" s="57" t="inlineStr">
        <is>
          <t>Peace Vine</t>
        </is>
      </c>
      <c r="F741" s="57" t="inlineStr"/>
    </row>
    <row r="742" ht="25" customHeight="1" s="55">
      <c r="A742" s="57" t="inlineStr">
        <is>
          <t>FirstHArvest_OpenFieldLex</t>
        </is>
      </c>
      <c r="B742" s="57" t="n">
        <v>79</v>
      </c>
      <c r="C742" s="57" t="inlineStr">
        <is>
          <t>Location</t>
        </is>
      </c>
      <c r="D742" s="57" t="inlineStr"/>
      <c r="E742" s="57" t="inlineStr">
        <is>
          <t>South Farm</t>
        </is>
      </c>
      <c r="F742" s="57" t="inlineStr">
        <is>
          <t>forced_from_sheet_name</t>
        </is>
      </c>
    </row>
    <row r="743" ht="25" customHeight="1" s="55">
      <c r="A743" s="57" t="inlineStr">
        <is>
          <t>FirstHArvest_OpenFieldLex</t>
        </is>
      </c>
      <c r="B743" s="57" t="n">
        <v>79</v>
      </c>
      <c r="C743" s="57" t="inlineStr">
        <is>
          <t>Harvest</t>
        </is>
      </c>
      <c r="D743" s="57" t="inlineStr"/>
      <c r="E743" s="57" t="inlineStr">
        <is>
          <t>First</t>
        </is>
      </c>
      <c r="F743" s="57" t="inlineStr">
        <is>
          <t>forced_from_sheet_name</t>
        </is>
      </c>
    </row>
    <row r="744" ht="25" customHeight="1" s="55">
      <c r="A744" s="57" t="inlineStr">
        <is>
          <t>FirstHArvest_OpenFieldLex</t>
        </is>
      </c>
      <c r="B744" s="57" t="n">
        <v>79</v>
      </c>
      <c r="C744" s="57" t="inlineStr">
        <is>
          <t>Date of harvest</t>
        </is>
      </c>
      <c r="D744" s="57" t="inlineStr"/>
      <c r="E744" s="57" t="inlineStr">
        <is>
          <t>2026-07-23</t>
        </is>
      </c>
      <c r="F744" s="57" t="inlineStr">
        <is>
          <t>date_forced:Recorded on first row; South Farm first harvest</t>
        </is>
      </c>
    </row>
    <row r="745" ht="25" customHeight="1" s="55">
      <c r="A745" s="57" t="inlineStr">
        <is>
          <t>FirstHArvest_OpenFieldLex</t>
        </is>
      </c>
      <c r="B745" s="57" t="n">
        <v>80</v>
      </c>
      <c r="C745" s="57" t="inlineStr">
        <is>
          <t>Genotypes</t>
        </is>
      </c>
      <c r="D745" s="57" t="inlineStr">
        <is>
          <t>26-25 R3</t>
        </is>
      </c>
      <c r="E745" s="57" t="inlineStr">
        <is>
          <t>UKYT-26-025</t>
        </is>
      </c>
      <c r="F745" s="57" t="inlineStr"/>
    </row>
    <row r="746" ht="25" customHeight="1" s="55">
      <c r="A746" s="57" t="inlineStr">
        <is>
          <t>FirstHArvest_OpenFieldLex</t>
        </is>
      </c>
      <c r="B746" s="57" t="n">
        <v>80</v>
      </c>
      <c r="C746" s="57" t="inlineStr">
        <is>
          <t>Location</t>
        </is>
      </c>
      <c r="D746" s="57" t="inlineStr"/>
      <c r="E746" s="57" t="inlineStr">
        <is>
          <t>South Farm</t>
        </is>
      </c>
      <c r="F746" s="57" t="inlineStr">
        <is>
          <t>forced_from_sheet_name</t>
        </is>
      </c>
    </row>
    <row r="747" ht="25" customHeight="1" s="55">
      <c r="A747" s="57" t="inlineStr">
        <is>
          <t>FirstHArvest_OpenFieldLex</t>
        </is>
      </c>
      <c r="B747" s="57" t="n">
        <v>80</v>
      </c>
      <c r="C747" s="57" t="inlineStr">
        <is>
          <t>Harvest</t>
        </is>
      </c>
      <c r="D747" s="57" t="inlineStr"/>
      <c r="E747" s="57" t="inlineStr">
        <is>
          <t>First</t>
        </is>
      </c>
      <c r="F747" s="57" t="inlineStr">
        <is>
          <t>forced_from_sheet_name</t>
        </is>
      </c>
    </row>
    <row r="748" ht="25" customHeight="1" s="55">
      <c r="A748" s="57" t="inlineStr">
        <is>
          <t>FirstHArvest_OpenFieldLex</t>
        </is>
      </c>
      <c r="B748" s="57" t="n">
        <v>80</v>
      </c>
      <c r="C748" s="57" t="inlineStr">
        <is>
          <t>Date of harvest</t>
        </is>
      </c>
      <c r="D748" s="57" t="inlineStr"/>
      <c r="E748" s="57" t="inlineStr">
        <is>
          <t>2026-07-23</t>
        </is>
      </c>
      <c r="F748" s="57" t="inlineStr">
        <is>
          <t>date_forced:Recorded on first row; South Farm first harvest</t>
        </is>
      </c>
    </row>
    <row r="749" ht="25" customHeight="1" s="55">
      <c r="A749" s="57" t="inlineStr">
        <is>
          <t>FirstHArvest_OpenFieldLex</t>
        </is>
      </c>
      <c r="B749" s="57" t="n">
        <v>81</v>
      </c>
      <c r="C749" s="57" t="inlineStr">
        <is>
          <t>Genotypes</t>
        </is>
      </c>
      <c r="D749" s="57" t="inlineStr">
        <is>
          <t>26-26R3</t>
        </is>
      </c>
      <c r="E749" s="57" t="inlineStr">
        <is>
          <t>UKYT-26-026</t>
        </is>
      </c>
      <c r="F749" s="57" t="inlineStr"/>
    </row>
    <row r="750" ht="25" customHeight="1" s="55">
      <c r="A750" s="57" t="inlineStr">
        <is>
          <t>FirstHArvest_OpenFieldLex</t>
        </is>
      </c>
      <c r="B750" s="57" t="n">
        <v>81</v>
      </c>
      <c r="C750" s="57" t="inlineStr">
        <is>
          <t>Location</t>
        </is>
      </c>
      <c r="D750" s="57" t="inlineStr"/>
      <c r="E750" s="57" t="inlineStr">
        <is>
          <t>South Farm</t>
        </is>
      </c>
      <c r="F750" s="57" t="inlineStr">
        <is>
          <t>forced_from_sheet_name</t>
        </is>
      </c>
    </row>
    <row r="751" ht="25" customHeight="1" s="55">
      <c r="A751" s="57" t="inlineStr">
        <is>
          <t>FirstHArvest_OpenFieldLex</t>
        </is>
      </c>
      <c r="B751" s="57" t="n">
        <v>81</v>
      </c>
      <c r="C751" s="57" t="inlineStr">
        <is>
          <t>Harvest</t>
        </is>
      </c>
      <c r="D751" s="57" t="inlineStr"/>
      <c r="E751" s="57" t="inlineStr">
        <is>
          <t>First</t>
        </is>
      </c>
      <c r="F751" s="57" t="inlineStr">
        <is>
          <t>forced_from_sheet_name</t>
        </is>
      </c>
    </row>
    <row r="752" ht="25" customHeight="1" s="55">
      <c r="A752" s="57" t="inlineStr">
        <is>
          <t>FirstHArvest_OpenFieldLex</t>
        </is>
      </c>
      <c r="B752" s="57" t="n">
        <v>81</v>
      </c>
      <c r="C752" s="57" t="inlineStr">
        <is>
          <t>Date of harvest</t>
        </is>
      </c>
      <c r="D752" s="57" t="inlineStr"/>
      <c r="E752" s="57" t="inlineStr">
        <is>
          <t>2026-07-23</t>
        </is>
      </c>
      <c r="F752" s="57" t="inlineStr">
        <is>
          <t>date_forced:Recorded on first row; South Farm first harvest</t>
        </is>
      </c>
    </row>
    <row r="753" ht="25" customHeight="1" s="55">
      <c r="A753" s="57" t="inlineStr">
        <is>
          <t>FirstHArvest_OpenFieldLex</t>
        </is>
      </c>
      <c r="B753" s="57" t="n">
        <v>82</v>
      </c>
      <c r="C753" s="57" t="inlineStr">
        <is>
          <t>Genotypes</t>
        </is>
      </c>
      <c r="D753" s="57" t="inlineStr">
        <is>
          <t>26-27 R3</t>
        </is>
      </c>
      <c r="E753" s="57" t="inlineStr">
        <is>
          <t>UKYT-26-027</t>
        </is>
      </c>
      <c r="F753" s="57" t="inlineStr"/>
    </row>
    <row r="754" ht="25" customHeight="1" s="55">
      <c r="A754" s="57" t="inlineStr">
        <is>
          <t>FirstHArvest_OpenFieldLex</t>
        </is>
      </c>
      <c r="B754" s="57" t="n">
        <v>82</v>
      </c>
      <c r="C754" s="57" t="inlineStr">
        <is>
          <t>Location</t>
        </is>
      </c>
      <c r="D754" s="57" t="inlineStr"/>
      <c r="E754" s="57" t="inlineStr">
        <is>
          <t>South Farm</t>
        </is>
      </c>
      <c r="F754" s="57" t="inlineStr">
        <is>
          <t>forced_from_sheet_name</t>
        </is>
      </c>
    </row>
    <row r="755" ht="25" customHeight="1" s="55">
      <c r="A755" s="57" t="inlineStr">
        <is>
          <t>FirstHArvest_OpenFieldLex</t>
        </is>
      </c>
      <c r="B755" s="57" t="n">
        <v>82</v>
      </c>
      <c r="C755" s="57" t="inlineStr">
        <is>
          <t>Harvest</t>
        </is>
      </c>
      <c r="D755" s="57" t="inlineStr"/>
      <c r="E755" s="57" t="inlineStr">
        <is>
          <t>First</t>
        </is>
      </c>
      <c r="F755" s="57" t="inlineStr">
        <is>
          <t>forced_from_sheet_name</t>
        </is>
      </c>
    </row>
    <row r="756" ht="25" customHeight="1" s="55">
      <c r="A756" s="57" t="inlineStr">
        <is>
          <t>FirstHArvest_OpenFieldLex</t>
        </is>
      </c>
      <c r="B756" s="57" t="n">
        <v>82</v>
      </c>
      <c r="C756" s="57" t="inlineStr">
        <is>
          <t>Date of harvest</t>
        </is>
      </c>
      <c r="D756" s="57" t="inlineStr"/>
      <c r="E756" s="57" t="inlineStr">
        <is>
          <t>2026-07-23</t>
        </is>
      </c>
      <c r="F756" s="57" t="inlineStr">
        <is>
          <t>date_forced:Recorded on first row; South Farm first harvest</t>
        </is>
      </c>
    </row>
    <row r="757" ht="25" customHeight="1" s="55">
      <c r="A757" s="57" t="inlineStr">
        <is>
          <t>FirstHArvest_OpenFieldLex</t>
        </is>
      </c>
      <c r="B757" s="57" t="n">
        <v>83</v>
      </c>
      <c r="C757" s="57" t="inlineStr">
        <is>
          <t>Genotypes</t>
        </is>
      </c>
      <c r="D757" s="57" t="inlineStr">
        <is>
          <t>26-28 R3</t>
        </is>
      </c>
      <c r="E757" s="57" t="inlineStr">
        <is>
          <t>UKYT-26-028</t>
        </is>
      </c>
      <c r="F757" s="57" t="inlineStr"/>
    </row>
    <row r="758" ht="25" customHeight="1" s="55">
      <c r="A758" s="57" t="inlineStr">
        <is>
          <t>FirstHArvest_OpenFieldLex</t>
        </is>
      </c>
      <c r="B758" s="57" t="n">
        <v>83</v>
      </c>
      <c r="C758" s="57" t="inlineStr">
        <is>
          <t>Location</t>
        </is>
      </c>
      <c r="D758" s="57" t="inlineStr"/>
      <c r="E758" s="57" t="inlineStr">
        <is>
          <t>South Farm</t>
        </is>
      </c>
      <c r="F758" s="57" t="inlineStr">
        <is>
          <t>forced_from_sheet_name</t>
        </is>
      </c>
    </row>
    <row r="759" ht="25" customHeight="1" s="55">
      <c r="A759" s="57" t="inlineStr">
        <is>
          <t>FirstHArvest_OpenFieldLex</t>
        </is>
      </c>
      <c r="B759" s="57" t="n">
        <v>83</v>
      </c>
      <c r="C759" s="57" t="inlineStr">
        <is>
          <t>Harvest</t>
        </is>
      </c>
      <c r="D759" s="57" t="inlineStr"/>
      <c r="E759" s="57" t="inlineStr">
        <is>
          <t>First</t>
        </is>
      </c>
      <c r="F759" s="57" t="inlineStr">
        <is>
          <t>forced_from_sheet_name</t>
        </is>
      </c>
    </row>
    <row r="760" ht="25" customHeight="1" s="55">
      <c r="A760" s="57" t="inlineStr">
        <is>
          <t>FirstHArvest_OpenFieldLex</t>
        </is>
      </c>
      <c r="B760" s="57" t="n">
        <v>83</v>
      </c>
      <c r="C760" s="57" t="inlineStr">
        <is>
          <t>Date of harvest</t>
        </is>
      </c>
      <c r="D760" s="57" t="inlineStr"/>
      <c r="E760" s="57" t="inlineStr">
        <is>
          <t>2026-07-23</t>
        </is>
      </c>
      <c r="F760" s="57" t="inlineStr">
        <is>
          <t>date_forced:Recorded on first row; South Farm first harvest</t>
        </is>
      </c>
    </row>
    <row r="761" ht="25" customHeight="1" s="55">
      <c r="A761" s="57" t="inlineStr">
        <is>
          <t>FirstHArvest_OpenFieldLex</t>
        </is>
      </c>
      <c r="B761" s="57" t="n">
        <v>84</v>
      </c>
      <c r="C761" s="57" t="inlineStr">
        <is>
          <t>Genotypes</t>
        </is>
      </c>
      <c r="D761" s="57" t="inlineStr">
        <is>
          <t>26-29 R3</t>
        </is>
      </c>
      <c r="E761" s="57" t="inlineStr">
        <is>
          <t>UKYT-26-029</t>
        </is>
      </c>
      <c r="F761" s="57" t="inlineStr"/>
    </row>
    <row r="762" ht="25" customHeight="1" s="55">
      <c r="A762" s="57" t="inlineStr">
        <is>
          <t>FirstHArvest_OpenFieldLex</t>
        </is>
      </c>
      <c r="B762" s="57" t="n">
        <v>84</v>
      </c>
      <c r="C762" s="57" t="inlineStr">
        <is>
          <t>Location</t>
        </is>
      </c>
      <c r="D762" s="57" t="inlineStr"/>
      <c r="E762" s="57" t="inlineStr">
        <is>
          <t>South Farm</t>
        </is>
      </c>
      <c r="F762" s="57" t="inlineStr">
        <is>
          <t>forced_from_sheet_name</t>
        </is>
      </c>
    </row>
    <row r="763" ht="25" customHeight="1" s="55">
      <c r="A763" s="57" t="inlineStr">
        <is>
          <t>FirstHArvest_OpenFieldLex</t>
        </is>
      </c>
      <c r="B763" s="57" t="n">
        <v>84</v>
      </c>
      <c r="C763" s="57" t="inlineStr">
        <is>
          <t>Harvest</t>
        </is>
      </c>
      <c r="D763" s="57" t="inlineStr"/>
      <c r="E763" s="57" t="inlineStr">
        <is>
          <t>First</t>
        </is>
      </c>
      <c r="F763" s="57" t="inlineStr">
        <is>
          <t>forced_from_sheet_name</t>
        </is>
      </c>
    </row>
    <row r="764" ht="25" customHeight="1" s="55">
      <c r="A764" s="57" t="inlineStr">
        <is>
          <t>FirstHArvest_OpenFieldLex</t>
        </is>
      </c>
      <c r="B764" s="57" t="n">
        <v>84</v>
      </c>
      <c r="C764" s="57" t="inlineStr">
        <is>
          <t>Date of harvest</t>
        </is>
      </c>
      <c r="D764" s="57" t="inlineStr"/>
      <c r="E764" s="57" t="inlineStr">
        <is>
          <t>2026-07-23</t>
        </is>
      </c>
      <c r="F764" s="57" t="inlineStr">
        <is>
          <t>date_forced:Recorded on first row; South Farm first harvest</t>
        </is>
      </c>
    </row>
    <row r="765" ht="25" customHeight="1" s="55">
      <c r="A765" s="57" t="inlineStr">
        <is>
          <t>FirstHArvest_OpenFieldLex</t>
        </is>
      </c>
      <c r="B765" s="57" t="n">
        <v>85</v>
      </c>
      <c r="C765" s="57" t="inlineStr">
        <is>
          <t>Genotypes</t>
        </is>
      </c>
      <c r="D765" s="57" t="inlineStr">
        <is>
          <t xml:space="preserve">26-30 R3 </t>
        </is>
      </c>
      <c r="E765" s="57" t="inlineStr">
        <is>
          <t>UKYT-26-030</t>
        </is>
      </c>
      <c r="F765" s="57" t="inlineStr"/>
    </row>
    <row r="766" ht="25" customHeight="1" s="55">
      <c r="A766" s="57" t="inlineStr">
        <is>
          <t>FirstHArvest_OpenFieldLex</t>
        </is>
      </c>
      <c r="B766" s="57" t="n">
        <v>85</v>
      </c>
      <c r="C766" s="57" t="inlineStr">
        <is>
          <t>Location</t>
        </is>
      </c>
      <c r="D766" s="57" t="inlineStr"/>
      <c r="E766" s="57" t="inlineStr">
        <is>
          <t>South Farm</t>
        </is>
      </c>
      <c r="F766" s="57" t="inlineStr">
        <is>
          <t>forced_from_sheet_name</t>
        </is>
      </c>
    </row>
    <row r="767" ht="25" customHeight="1" s="55">
      <c r="A767" s="57" t="inlineStr">
        <is>
          <t>FirstHArvest_OpenFieldLex</t>
        </is>
      </c>
      <c r="B767" s="57" t="n">
        <v>85</v>
      </c>
      <c r="C767" s="57" t="inlineStr">
        <is>
          <t>Harvest</t>
        </is>
      </c>
      <c r="D767" s="57" t="inlineStr"/>
      <c r="E767" s="57" t="inlineStr">
        <is>
          <t>First</t>
        </is>
      </c>
      <c r="F767" s="57" t="inlineStr">
        <is>
          <t>forced_from_sheet_name</t>
        </is>
      </c>
    </row>
    <row r="768" ht="25" customHeight="1" s="55">
      <c r="A768" s="57" t="inlineStr">
        <is>
          <t>FirstHArvest_OpenFieldLex</t>
        </is>
      </c>
      <c r="B768" s="57" t="n">
        <v>85</v>
      </c>
      <c r="C768" s="57" t="inlineStr">
        <is>
          <t>Date of harvest</t>
        </is>
      </c>
      <c r="D768" s="57" t="inlineStr"/>
      <c r="E768" s="57" t="inlineStr">
        <is>
          <t>2026-07-23</t>
        </is>
      </c>
      <c r="F768" s="57" t="inlineStr">
        <is>
          <t>date_forced:Recorded on first row; South Farm first harvest</t>
        </is>
      </c>
    </row>
    <row r="769" ht="25" customHeight="1" s="55">
      <c r="A769" s="57" t="inlineStr">
        <is>
          <t>FirstHArvest_OpenFieldLex</t>
        </is>
      </c>
      <c r="B769" s="57" t="n">
        <v>86</v>
      </c>
      <c r="C769" s="57" t="inlineStr">
        <is>
          <t>Genotypes</t>
        </is>
      </c>
      <c r="D769" s="57" t="inlineStr">
        <is>
          <t xml:space="preserve">26-12 R1 </t>
        </is>
      </c>
      <c r="E769" s="57" t="inlineStr">
        <is>
          <t>UKYT-26-012</t>
        </is>
      </c>
      <c r="F769" s="57" t="inlineStr"/>
    </row>
    <row r="770" ht="25" customHeight="1" s="55">
      <c r="A770" s="57" t="inlineStr">
        <is>
          <t>FirstHArvest_OpenFieldLex</t>
        </is>
      </c>
      <c r="B770" s="57" t="n">
        <v>86</v>
      </c>
      <c r="C770" s="57" t="inlineStr">
        <is>
          <t>Location</t>
        </is>
      </c>
      <c r="D770" s="57" t="inlineStr"/>
      <c r="E770" s="57" t="inlineStr">
        <is>
          <t>South Farm</t>
        </is>
      </c>
      <c r="F770" s="57" t="inlineStr">
        <is>
          <t>forced_from_sheet_name</t>
        </is>
      </c>
    </row>
    <row r="771" ht="25" customHeight="1" s="55">
      <c r="A771" s="57" t="inlineStr">
        <is>
          <t>FirstHArvest_OpenFieldLex</t>
        </is>
      </c>
      <c r="B771" s="57" t="n">
        <v>86</v>
      </c>
      <c r="C771" s="57" t="inlineStr">
        <is>
          <t>Harvest</t>
        </is>
      </c>
      <c r="D771" s="57" t="inlineStr"/>
      <c r="E771" s="57" t="inlineStr">
        <is>
          <t>First</t>
        </is>
      </c>
      <c r="F771" s="57" t="inlineStr">
        <is>
          <t>forced_from_sheet_name</t>
        </is>
      </c>
    </row>
    <row r="772" ht="25" customHeight="1" s="55">
      <c r="A772" s="57" t="inlineStr">
        <is>
          <t>FirstHArvest_OpenFieldLex</t>
        </is>
      </c>
      <c r="B772" s="57" t="n">
        <v>86</v>
      </c>
      <c r="C772" s="57" t="inlineStr">
        <is>
          <t>Date of harvest</t>
        </is>
      </c>
      <c r="D772" s="57" t="inlineStr"/>
      <c r="E772" s="57" t="inlineStr">
        <is>
          <t>2026-07-23</t>
        </is>
      </c>
      <c r="F772" s="57" t="inlineStr">
        <is>
          <t>date_forced:Recorded on first row; South Farm first harvest</t>
        </is>
      </c>
    </row>
    <row r="773" ht="25" customHeight="1" s="55">
      <c r="A773" s="57" t="inlineStr">
        <is>
          <t>FirstHArvest_OpenFieldLex</t>
        </is>
      </c>
      <c r="B773" s="57" t="n">
        <v>87</v>
      </c>
      <c r="C773" s="57" t="inlineStr">
        <is>
          <t>Genotypes</t>
        </is>
      </c>
      <c r="D773" s="57" t="inlineStr">
        <is>
          <t>26-29 R2</t>
        </is>
      </c>
      <c r="E773" s="57" t="inlineStr">
        <is>
          <t>UKYT-26-029</t>
        </is>
      </c>
      <c r="F773" s="57" t="inlineStr"/>
    </row>
    <row r="774" ht="25" customHeight="1" s="55">
      <c r="A774" s="57" t="inlineStr">
        <is>
          <t>FirstHArvest_OpenFieldLex</t>
        </is>
      </c>
      <c r="B774" s="57" t="n">
        <v>87</v>
      </c>
      <c r="C774" s="57" t="inlineStr">
        <is>
          <t>Location</t>
        </is>
      </c>
      <c r="D774" s="57" t="inlineStr"/>
      <c r="E774" s="57" t="inlineStr">
        <is>
          <t>South Farm</t>
        </is>
      </c>
      <c r="F774" s="57" t="inlineStr">
        <is>
          <t>forced_from_sheet_name</t>
        </is>
      </c>
    </row>
    <row r="775" ht="25" customHeight="1" s="55">
      <c r="A775" s="57" t="inlineStr">
        <is>
          <t>FirstHArvest_OpenFieldLex</t>
        </is>
      </c>
      <c r="B775" s="57" t="n">
        <v>87</v>
      </c>
      <c r="C775" s="57" t="inlineStr">
        <is>
          <t>Harvest</t>
        </is>
      </c>
      <c r="D775" s="57" t="inlineStr"/>
      <c r="E775" s="57" t="inlineStr">
        <is>
          <t>First</t>
        </is>
      </c>
      <c r="F775" s="57" t="inlineStr">
        <is>
          <t>forced_from_sheet_name</t>
        </is>
      </c>
    </row>
    <row r="776" ht="25" customHeight="1" s="55">
      <c r="A776" s="57" t="inlineStr">
        <is>
          <t>FirstHArvest_OpenFieldLex</t>
        </is>
      </c>
      <c r="B776" s="57" t="n">
        <v>87</v>
      </c>
      <c r="C776" s="57" t="inlineStr">
        <is>
          <t>Date of harvest</t>
        </is>
      </c>
      <c r="D776" s="57" t="inlineStr"/>
      <c r="E776" s="57" t="inlineStr">
        <is>
          <t>2026-07-23</t>
        </is>
      </c>
      <c r="F776" s="57" t="inlineStr">
        <is>
          <t>date_forced:Recorded on first row; South Farm first harvest</t>
        </is>
      </c>
    </row>
    <row r="777" ht="25" customHeight="1" s="55">
      <c r="A777" s="57" t="inlineStr">
        <is>
          <t>FirstHArvest_OpenFieldLex</t>
        </is>
      </c>
      <c r="B777" s="57" t="n">
        <v>88</v>
      </c>
      <c r="C777" s="57" t="inlineStr">
        <is>
          <t>Genotypes</t>
        </is>
      </c>
      <c r="D777" s="57" t="inlineStr">
        <is>
          <t>26-31 R2</t>
        </is>
      </c>
      <c r="E777" s="57" t="inlineStr">
        <is>
          <t>UKYT-26-031</t>
        </is>
      </c>
      <c r="F777" s="57" t="inlineStr"/>
    </row>
    <row r="778" ht="25" customHeight="1" s="55">
      <c r="A778" s="57" t="inlineStr">
        <is>
          <t>FirstHArvest_OpenFieldLex</t>
        </is>
      </c>
      <c r="B778" s="57" t="n">
        <v>88</v>
      </c>
      <c r="C778" s="57" t="inlineStr">
        <is>
          <t>Location</t>
        </is>
      </c>
      <c r="D778" s="57" t="inlineStr"/>
      <c r="E778" s="57" t="inlineStr">
        <is>
          <t>South Farm</t>
        </is>
      </c>
      <c r="F778" s="57" t="inlineStr">
        <is>
          <t>forced_from_sheet_name</t>
        </is>
      </c>
    </row>
    <row r="779" ht="25" customHeight="1" s="55">
      <c r="A779" s="57" t="inlineStr">
        <is>
          <t>FirstHArvest_OpenFieldLex</t>
        </is>
      </c>
      <c r="B779" s="57" t="n">
        <v>88</v>
      </c>
      <c r="C779" s="57" t="inlineStr">
        <is>
          <t>Harvest</t>
        </is>
      </c>
      <c r="D779" s="57" t="inlineStr"/>
      <c r="E779" s="57" t="inlineStr">
        <is>
          <t>First</t>
        </is>
      </c>
      <c r="F779" s="57" t="inlineStr">
        <is>
          <t>forced_from_sheet_name</t>
        </is>
      </c>
    </row>
    <row r="780" ht="25" customHeight="1" s="55">
      <c r="A780" s="57" t="inlineStr">
        <is>
          <t>FirstHArvest_OpenFieldLex</t>
        </is>
      </c>
      <c r="B780" s="57" t="n">
        <v>88</v>
      </c>
      <c r="C780" s="57" t="inlineStr">
        <is>
          <t>Date of harvest</t>
        </is>
      </c>
      <c r="D780" s="57" t="inlineStr"/>
      <c r="E780" s="57" t="inlineStr">
        <is>
          <t>2026-07-23</t>
        </is>
      </c>
      <c r="F780" s="57" t="inlineStr">
        <is>
          <t>date_forced:Recorded on first row; South Farm first harvest</t>
        </is>
      </c>
    </row>
    <row r="781" ht="25" customHeight="1" s="55">
      <c r="A781" s="57" t="inlineStr">
        <is>
          <t>FirstHArvest_OpenFieldLex</t>
        </is>
      </c>
      <c r="B781" s="57" t="n">
        <v>89</v>
      </c>
      <c r="C781" s="57" t="inlineStr">
        <is>
          <t>Genotypes</t>
        </is>
      </c>
      <c r="D781" s="57" t="inlineStr">
        <is>
          <t xml:space="preserve">26-33 R2 </t>
        </is>
      </c>
      <c r="E781" s="57" t="inlineStr">
        <is>
          <t>UKYT-26-033</t>
        </is>
      </c>
      <c r="F781" s="57" t="inlineStr"/>
    </row>
    <row r="782" ht="25" customHeight="1" s="55">
      <c r="A782" s="57" t="inlineStr">
        <is>
          <t>FirstHArvest_OpenFieldLex</t>
        </is>
      </c>
      <c r="B782" s="57" t="n">
        <v>89</v>
      </c>
      <c r="C782" s="57" t="inlineStr">
        <is>
          <t>Location</t>
        </is>
      </c>
      <c r="D782" s="57" t="inlineStr"/>
      <c r="E782" s="57" t="inlineStr">
        <is>
          <t>South Farm</t>
        </is>
      </c>
      <c r="F782" s="57" t="inlineStr">
        <is>
          <t>forced_from_sheet_name</t>
        </is>
      </c>
    </row>
    <row r="783" ht="25" customHeight="1" s="55">
      <c r="A783" s="57" t="inlineStr">
        <is>
          <t>FirstHArvest_OpenFieldLex</t>
        </is>
      </c>
      <c r="B783" s="57" t="n">
        <v>89</v>
      </c>
      <c r="C783" s="57" t="inlineStr">
        <is>
          <t>Harvest</t>
        </is>
      </c>
      <c r="D783" s="57" t="inlineStr"/>
      <c r="E783" s="57" t="inlineStr">
        <is>
          <t>First</t>
        </is>
      </c>
      <c r="F783" s="57" t="inlineStr">
        <is>
          <t>forced_from_sheet_name</t>
        </is>
      </c>
    </row>
    <row r="784" ht="25" customHeight="1" s="55">
      <c r="A784" s="57" t="inlineStr">
        <is>
          <t>FirstHArvest_OpenFieldLex</t>
        </is>
      </c>
      <c r="B784" s="57" t="n">
        <v>89</v>
      </c>
      <c r="C784" s="57" t="inlineStr">
        <is>
          <t>Date of harvest</t>
        </is>
      </c>
      <c r="D784" s="57" t="inlineStr"/>
      <c r="E784" s="57" t="inlineStr">
        <is>
          <t>2026-07-23</t>
        </is>
      </c>
      <c r="F784" s="57" t="inlineStr">
        <is>
          <t>date_forced:Recorded on first row; South Farm first harvest</t>
        </is>
      </c>
    </row>
    <row r="785" ht="25" customHeight="1" s="55">
      <c r="A785" s="57" t="inlineStr">
        <is>
          <t>FirstHArvest_OpenFieldLex</t>
        </is>
      </c>
      <c r="B785" s="57" t="n">
        <v>90</v>
      </c>
      <c r="C785" s="57" t="inlineStr">
        <is>
          <t>Genotypes</t>
        </is>
      </c>
      <c r="D785" s="57" t="inlineStr">
        <is>
          <t>26-42 R2</t>
        </is>
      </c>
      <c r="E785" s="57" t="inlineStr">
        <is>
          <t>UKYT-26-042</t>
        </is>
      </c>
      <c r="F785" s="57" t="inlineStr"/>
    </row>
    <row r="786" ht="25" customHeight="1" s="55">
      <c r="A786" s="57" t="inlineStr">
        <is>
          <t>FirstHArvest_OpenFieldLex</t>
        </is>
      </c>
      <c r="B786" s="57" t="n">
        <v>90</v>
      </c>
      <c r="C786" s="57" t="inlineStr">
        <is>
          <t>Location</t>
        </is>
      </c>
      <c r="D786" s="57" t="inlineStr"/>
      <c r="E786" s="57" t="inlineStr">
        <is>
          <t>South Farm</t>
        </is>
      </c>
      <c r="F786" s="57" t="inlineStr">
        <is>
          <t>forced_from_sheet_name</t>
        </is>
      </c>
    </row>
    <row r="787" ht="25" customHeight="1" s="55">
      <c r="A787" s="57" t="inlineStr">
        <is>
          <t>FirstHArvest_OpenFieldLex</t>
        </is>
      </c>
      <c r="B787" s="57" t="n">
        <v>90</v>
      </c>
      <c r="C787" s="57" t="inlineStr">
        <is>
          <t>Harvest</t>
        </is>
      </c>
      <c r="D787" s="57" t="inlineStr"/>
      <c r="E787" s="57" t="inlineStr">
        <is>
          <t>First</t>
        </is>
      </c>
      <c r="F787" s="57" t="inlineStr">
        <is>
          <t>forced_from_sheet_name</t>
        </is>
      </c>
    </row>
    <row r="788" ht="25" customHeight="1" s="55">
      <c r="A788" s="57" t="inlineStr">
        <is>
          <t>FirstHArvest_OpenFieldLex</t>
        </is>
      </c>
      <c r="B788" s="57" t="n">
        <v>90</v>
      </c>
      <c r="C788" s="57" t="inlineStr">
        <is>
          <t>Date of harvest</t>
        </is>
      </c>
      <c r="D788" s="57" t="inlineStr"/>
      <c r="E788" s="57" t="inlineStr">
        <is>
          <t>2026-07-23</t>
        </is>
      </c>
      <c r="F788" s="57" t="inlineStr">
        <is>
          <t>date_forced:Recorded on first row; South Farm first harvest</t>
        </is>
      </c>
    </row>
    <row r="789" ht="25" customHeight="1" s="55">
      <c r="A789" s="57" t="inlineStr">
        <is>
          <t>FirstHArvest_OpenFieldLex</t>
        </is>
      </c>
      <c r="B789" s="57" t="n">
        <v>91</v>
      </c>
      <c r="C789" s="57" t="inlineStr">
        <is>
          <t>Genotypes</t>
        </is>
      </c>
      <c r="D789" s="57" t="inlineStr">
        <is>
          <t>26-34 R2</t>
        </is>
      </c>
      <c r="E789" s="57" t="inlineStr">
        <is>
          <t>UKYT-26-034</t>
        </is>
      </c>
      <c r="F789" s="57" t="inlineStr"/>
    </row>
    <row r="790" ht="25" customHeight="1" s="55">
      <c r="A790" s="57" t="inlineStr">
        <is>
          <t>FirstHArvest_OpenFieldLex</t>
        </is>
      </c>
      <c r="B790" s="57" t="n">
        <v>91</v>
      </c>
      <c r="C790" s="57" t="inlineStr">
        <is>
          <t>Location</t>
        </is>
      </c>
      <c r="D790" s="57" t="inlineStr"/>
      <c r="E790" s="57" t="inlineStr">
        <is>
          <t>South Farm</t>
        </is>
      </c>
      <c r="F790" s="57" t="inlineStr">
        <is>
          <t>forced_from_sheet_name</t>
        </is>
      </c>
    </row>
    <row r="791" ht="25" customHeight="1" s="55">
      <c r="A791" s="57" t="inlineStr">
        <is>
          <t>FirstHArvest_OpenFieldLex</t>
        </is>
      </c>
      <c r="B791" s="57" t="n">
        <v>91</v>
      </c>
      <c r="C791" s="57" t="inlineStr">
        <is>
          <t>Harvest</t>
        </is>
      </c>
      <c r="D791" s="57" t="inlineStr"/>
      <c r="E791" s="57" t="inlineStr">
        <is>
          <t>First</t>
        </is>
      </c>
      <c r="F791" s="57" t="inlineStr">
        <is>
          <t>forced_from_sheet_name</t>
        </is>
      </c>
    </row>
    <row r="792" ht="25" customHeight="1" s="55">
      <c r="A792" s="57" t="inlineStr">
        <is>
          <t>FirstHArvest_OpenFieldLex</t>
        </is>
      </c>
      <c r="B792" s="57" t="n">
        <v>91</v>
      </c>
      <c r="C792" s="57" t="inlineStr">
        <is>
          <t>Date of harvest</t>
        </is>
      </c>
      <c r="D792" s="57" t="inlineStr"/>
      <c r="E792" s="57" t="inlineStr">
        <is>
          <t>2026-07-23</t>
        </is>
      </c>
      <c r="F792" s="57" t="inlineStr">
        <is>
          <t>date_forced:Recorded on first row; South Farm first harvest</t>
        </is>
      </c>
    </row>
    <row r="793" ht="25" customHeight="1" s="55">
      <c r="A793" s="57" t="inlineStr">
        <is>
          <t>FirstHArvest_OpenFieldLex</t>
        </is>
      </c>
      <c r="B793" s="57" t="n">
        <v>92</v>
      </c>
      <c r="C793" s="57" t="inlineStr">
        <is>
          <t>Genotypes</t>
        </is>
      </c>
      <c r="D793" s="57" t="inlineStr">
        <is>
          <t>26-32 R2</t>
        </is>
      </c>
      <c r="E793" s="57" t="inlineStr">
        <is>
          <t>UKYT-26-032</t>
        </is>
      </c>
      <c r="F793" s="57" t="inlineStr"/>
    </row>
    <row r="794" ht="25" customHeight="1" s="55">
      <c r="A794" s="57" t="inlineStr">
        <is>
          <t>FirstHArvest_OpenFieldLex</t>
        </is>
      </c>
      <c r="B794" s="57" t="n">
        <v>92</v>
      </c>
      <c r="C794" s="57" t="inlineStr">
        <is>
          <t>Location</t>
        </is>
      </c>
      <c r="D794" s="57" t="inlineStr"/>
      <c r="E794" s="57" t="inlineStr">
        <is>
          <t>South Farm</t>
        </is>
      </c>
      <c r="F794" s="57" t="inlineStr">
        <is>
          <t>forced_from_sheet_name</t>
        </is>
      </c>
    </row>
    <row r="795" ht="25" customHeight="1" s="55">
      <c r="A795" s="57" t="inlineStr">
        <is>
          <t>FirstHArvest_OpenFieldLex</t>
        </is>
      </c>
      <c r="B795" s="57" t="n">
        <v>92</v>
      </c>
      <c r="C795" s="57" t="inlineStr">
        <is>
          <t>Harvest</t>
        </is>
      </c>
      <c r="D795" s="57" t="inlineStr"/>
      <c r="E795" s="57" t="inlineStr">
        <is>
          <t>First</t>
        </is>
      </c>
      <c r="F795" s="57" t="inlineStr">
        <is>
          <t>forced_from_sheet_name</t>
        </is>
      </c>
    </row>
    <row r="796" ht="25" customHeight="1" s="55">
      <c r="A796" s="57" t="inlineStr">
        <is>
          <t>FirstHArvest_OpenFieldLex</t>
        </is>
      </c>
      <c r="B796" s="57" t="n">
        <v>92</v>
      </c>
      <c r="C796" s="57" t="inlineStr">
        <is>
          <t>Date of harvest</t>
        </is>
      </c>
      <c r="D796" s="57" t="inlineStr"/>
      <c r="E796" s="57" t="inlineStr">
        <is>
          <t>2026-07-23</t>
        </is>
      </c>
      <c r="F796" s="57" t="inlineStr">
        <is>
          <t>date_forced:Recorded on first row; South Farm first harvest</t>
        </is>
      </c>
    </row>
    <row r="797" ht="25" customHeight="1" s="55">
      <c r="A797" s="57" t="inlineStr">
        <is>
          <t>FirstHArvest_OpenFieldLex</t>
        </is>
      </c>
      <c r="B797" s="57" t="n">
        <v>93</v>
      </c>
      <c r="C797" s="57" t="inlineStr">
        <is>
          <t>Genotypes</t>
        </is>
      </c>
      <c r="D797" s="57" t="inlineStr">
        <is>
          <t xml:space="preserve">26-30 R2 </t>
        </is>
      </c>
      <c r="E797" s="57" t="inlineStr">
        <is>
          <t>UKYT-26-030</t>
        </is>
      </c>
      <c r="F797" s="57" t="inlineStr"/>
    </row>
    <row r="798" ht="25" customHeight="1" s="55">
      <c r="A798" s="57" t="inlineStr">
        <is>
          <t>FirstHArvest_OpenFieldLex</t>
        </is>
      </c>
      <c r="B798" s="57" t="n">
        <v>93</v>
      </c>
      <c r="C798" s="57" t="inlineStr">
        <is>
          <t>Location</t>
        </is>
      </c>
      <c r="D798" s="57" t="inlineStr"/>
      <c r="E798" s="57" t="inlineStr">
        <is>
          <t>South Farm</t>
        </is>
      </c>
      <c r="F798" s="57" t="inlineStr">
        <is>
          <t>forced_from_sheet_name</t>
        </is>
      </c>
    </row>
    <row r="799" ht="25" customHeight="1" s="55">
      <c r="A799" s="57" t="inlineStr">
        <is>
          <t>FirstHArvest_OpenFieldLex</t>
        </is>
      </c>
      <c r="B799" s="57" t="n">
        <v>93</v>
      </c>
      <c r="C799" s="57" t="inlineStr">
        <is>
          <t>Harvest</t>
        </is>
      </c>
      <c r="D799" s="57" t="inlineStr"/>
      <c r="E799" s="57" t="inlineStr">
        <is>
          <t>First</t>
        </is>
      </c>
      <c r="F799" s="57" t="inlineStr">
        <is>
          <t>forced_from_sheet_name</t>
        </is>
      </c>
    </row>
    <row r="800" ht="25" customHeight="1" s="55">
      <c r="A800" s="57" t="inlineStr">
        <is>
          <t>FirstHArvest_OpenFieldLex</t>
        </is>
      </c>
      <c r="B800" s="57" t="n">
        <v>93</v>
      </c>
      <c r="C800" s="57" t="inlineStr">
        <is>
          <t>Date of harvest</t>
        </is>
      </c>
      <c r="D800" s="57" t="inlineStr"/>
      <c r="E800" s="57" t="inlineStr">
        <is>
          <t>2026-07-23</t>
        </is>
      </c>
      <c r="F800" s="57" t="inlineStr">
        <is>
          <t>date_forced:Recorded on first row; South Farm first harvest</t>
        </is>
      </c>
    </row>
    <row r="801" ht="25" customHeight="1" s="55">
      <c r="A801" s="57" t="inlineStr">
        <is>
          <t>FirstHArvest_OpenFieldLex</t>
        </is>
      </c>
      <c r="B801" s="57" t="n">
        <v>94</v>
      </c>
      <c r="C801" s="57" t="inlineStr">
        <is>
          <t>Genotypes</t>
        </is>
      </c>
      <c r="D801" s="57" t="inlineStr">
        <is>
          <t>26-31 R3</t>
        </is>
      </c>
      <c r="E801" s="57" t="inlineStr">
        <is>
          <t>UKYT-26-031</t>
        </is>
      </c>
      <c r="F801" s="57" t="inlineStr"/>
    </row>
    <row r="802" ht="25" customHeight="1" s="55">
      <c r="A802" s="57" t="inlineStr">
        <is>
          <t>FirstHArvest_OpenFieldLex</t>
        </is>
      </c>
      <c r="B802" s="57" t="n">
        <v>94</v>
      </c>
      <c r="C802" s="57" t="inlineStr">
        <is>
          <t>Location</t>
        </is>
      </c>
      <c r="D802" s="57" t="inlineStr"/>
      <c r="E802" s="57" t="inlineStr">
        <is>
          <t>South Farm</t>
        </is>
      </c>
      <c r="F802" s="57" t="inlineStr">
        <is>
          <t>forced_from_sheet_name</t>
        </is>
      </c>
    </row>
    <row r="803" ht="25" customHeight="1" s="55">
      <c r="A803" s="57" t="inlineStr">
        <is>
          <t>FirstHArvest_OpenFieldLex</t>
        </is>
      </c>
      <c r="B803" s="57" t="n">
        <v>94</v>
      </c>
      <c r="C803" s="57" t="inlineStr">
        <is>
          <t>Harvest</t>
        </is>
      </c>
      <c r="D803" s="57" t="inlineStr"/>
      <c r="E803" s="57" t="inlineStr">
        <is>
          <t>First</t>
        </is>
      </c>
      <c r="F803" s="57" t="inlineStr">
        <is>
          <t>forced_from_sheet_name</t>
        </is>
      </c>
    </row>
    <row r="804" ht="25" customHeight="1" s="55">
      <c r="A804" s="57" t="inlineStr">
        <is>
          <t>FirstHArvest_OpenFieldLex</t>
        </is>
      </c>
      <c r="B804" s="57" t="n">
        <v>94</v>
      </c>
      <c r="C804" s="57" t="inlineStr">
        <is>
          <t>Date of harvest</t>
        </is>
      </c>
      <c r="D804" s="57" t="inlineStr"/>
      <c r="E804" s="57" t="inlineStr">
        <is>
          <t>2026-07-23</t>
        </is>
      </c>
      <c r="F804" s="57" t="inlineStr">
        <is>
          <t>date_forced:Recorded on first row; South Farm first harvest</t>
        </is>
      </c>
    </row>
    <row r="805" ht="25" customHeight="1" s="55">
      <c r="A805" s="57" t="inlineStr">
        <is>
          <t>FirstHArvest_OpenFieldLex</t>
        </is>
      </c>
      <c r="B805" s="57" t="n">
        <v>95</v>
      </c>
      <c r="C805" s="57" t="inlineStr">
        <is>
          <t>Genotypes</t>
        </is>
      </c>
      <c r="D805" s="57" t="inlineStr">
        <is>
          <t xml:space="preserve">26-032 R3 </t>
        </is>
      </c>
      <c r="E805" s="57" t="inlineStr">
        <is>
          <t>UKYT-26-032</t>
        </is>
      </c>
      <c r="F805" s="57" t="inlineStr"/>
    </row>
    <row r="806" ht="25" customHeight="1" s="55">
      <c r="A806" s="57" t="inlineStr">
        <is>
          <t>FirstHArvest_OpenFieldLex</t>
        </is>
      </c>
      <c r="B806" s="57" t="n">
        <v>95</v>
      </c>
      <c r="C806" s="57" t="inlineStr">
        <is>
          <t>Location</t>
        </is>
      </c>
      <c r="D806" s="57" t="inlineStr"/>
      <c r="E806" s="57" t="inlineStr">
        <is>
          <t>South Farm</t>
        </is>
      </c>
      <c r="F806" s="57" t="inlineStr">
        <is>
          <t>forced_from_sheet_name</t>
        </is>
      </c>
    </row>
    <row r="807" ht="25" customHeight="1" s="55">
      <c r="A807" s="57" t="inlineStr">
        <is>
          <t>FirstHArvest_OpenFieldLex</t>
        </is>
      </c>
      <c r="B807" s="57" t="n">
        <v>95</v>
      </c>
      <c r="C807" s="57" t="inlineStr">
        <is>
          <t>Harvest</t>
        </is>
      </c>
      <c r="D807" s="57" t="inlineStr"/>
      <c r="E807" s="57" t="inlineStr">
        <is>
          <t>First</t>
        </is>
      </c>
      <c r="F807" s="57" t="inlineStr">
        <is>
          <t>forced_from_sheet_name</t>
        </is>
      </c>
    </row>
    <row r="808" ht="25" customHeight="1" s="55">
      <c r="A808" s="57" t="inlineStr">
        <is>
          <t>FirstHArvest_OpenFieldLex</t>
        </is>
      </c>
      <c r="B808" s="57" t="n">
        <v>95</v>
      </c>
      <c r="C808" s="57" t="inlineStr">
        <is>
          <t>Date of harvest</t>
        </is>
      </c>
      <c r="D808" s="57" t="inlineStr"/>
      <c r="E808" s="57" t="inlineStr">
        <is>
          <t>2026-07-23</t>
        </is>
      </c>
      <c r="F808" s="57" t="inlineStr">
        <is>
          <t>date_forced:Recorded on first row; South Farm first harvest</t>
        </is>
      </c>
    </row>
    <row r="809" ht="25" customHeight="1" s="55">
      <c r="A809" s="57" t="inlineStr">
        <is>
          <t>FirstHArvest_OpenFieldLex</t>
        </is>
      </c>
      <c r="B809" s="57" t="n">
        <v>96</v>
      </c>
      <c r="C809" s="57" t="inlineStr">
        <is>
          <t>Genotypes</t>
        </is>
      </c>
      <c r="D809" s="57" t="inlineStr">
        <is>
          <t xml:space="preserve">26-33 R3 </t>
        </is>
      </c>
      <c r="E809" s="57" t="inlineStr">
        <is>
          <t>UKYT-26-033</t>
        </is>
      </c>
      <c r="F809" s="57" t="inlineStr"/>
    </row>
    <row r="810" ht="25" customHeight="1" s="55">
      <c r="A810" s="57" t="inlineStr">
        <is>
          <t>FirstHArvest_OpenFieldLex</t>
        </is>
      </c>
      <c r="B810" s="57" t="n">
        <v>96</v>
      </c>
      <c r="C810" s="57" t="inlineStr">
        <is>
          <t>Location</t>
        </is>
      </c>
      <c r="D810" s="57" t="inlineStr"/>
      <c r="E810" s="57" t="inlineStr">
        <is>
          <t>South Farm</t>
        </is>
      </c>
      <c r="F810" s="57" t="inlineStr">
        <is>
          <t>forced_from_sheet_name</t>
        </is>
      </c>
    </row>
    <row r="811" ht="25" customHeight="1" s="55">
      <c r="A811" s="57" t="inlineStr">
        <is>
          <t>FirstHArvest_OpenFieldLex</t>
        </is>
      </c>
      <c r="B811" s="57" t="n">
        <v>96</v>
      </c>
      <c r="C811" s="57" t="inlineStr">
        <is>
          <t>Harvest</t>
        </is>
      </c>
      <c r="D811" s="57" t="inlineStr"/>
      <c r="E811" s="57" t="inlineStr">
        <is>
          <t>First</t>
        </is>
      </c>
      <c r="F811" s="57" t="inlineStr">
        <is>
          <t>forced_from_sheet_name</t>
        </is>
      </c>
    </row>
    <row r="812" ht="25" customHeight="1" s="55">
      <c r="A812" s="57" t="inlineStr">
        <is>
          <t>FirstHArvest_OpenFieldLex</t>
        </is>
      </c>
      <c r="B812" s="57" t="n">
        <v>96</v>
      </c>
      <c r="C812" s="57" t="inlineStr">
        <is>
          <t>Date of harvest</t>
        </is>
      </c>
      <c r="D812" s="57" t="inlineStr"/>
      <c r="E812" s="57" t="inlineStr">
        <is>
          <t>2026-07-23</t>
        </is>
      </c>
      <c r="F812" s="57" t="inlineStr">
        <is>
          <t>date_forced:Recorded on first row; South Farm first harvest</t>
        </is>
      </c>
    </row>
    <row r="813" ht="25" customHeight="1" s="55">
      <c r="A813" s="57" t="inlineStr">
        <is>
          <t>FirstHArvest_OpenFieldLex</t>
        </is>
      </c>
      <c r="B813" s="57" t="n">
        <v>97</v>
      </c>
      <c r="C813" s="57" t="inlineStr">
        <is>
          <t>Genotypes</t>
        </is>
      </c>
      <c r="D813" s="57" t="inlineStr">
        <is>
          <t xml:space="preserve">25-16 R1 </t>
        </is>
      </c>
      <c r="E813" s="57" t="inlineStr">
        <is>
          <t>UKYT-25-016</t>
        </is>
      </c>
      <c r="F813" s="57" t="inlineStr"/>
    </row>
    <row r="814" ht="25" customHeight="1" s="55">
      <c r="A814" s="57" t="inlineStr">
        <is>
          <t>FirstHArvest_OpenFieldLex</t>
        </is>
      </c>
      <c r="B814" s="57" t="n">
        <v>97</v>
      </c>
      <c r="C814" s="57" t="inlineStr">
        <is>
          <t>Location</t>
        </is>
      </c>
      <c r="D814" s="57" t="inlineStr"/>
      <c r="E814" s="57" t="inlineStr">
        <is>
          <t>South Farm</t>
        </is>
      </c>
      <c r="F814" s="57" t="inlineStr">
        <is>
          <t>forced_from_sheet_name</t>
        </is>
      </c>
    </row>
    <row r="815" ht="25" customHeight="1" s="55">
      <c r="A815" s="57" t="inlineStr">
        <is>
          <t>FirstHArvest_OpenFieldLex</t>
        </is>
      </c>
      <c r="B815" s="57" t="n">
        <v>97</v>
      </c>
      <c r="C815" s="57" t="inlineStr">
        <is>
          <t>Harvest</t>
        </is>
      </c>
      <c r="D815" s="57" t="inlineStr"/>
      <c r="E815" s="57" t="inlineStr">
        <is>
          <t>First</t>
        </is>
      </c>
      <c r="F815" s="57" t="inlineStr">
        <is>
          <t>forced_from_sheet_name</t>
        </is>
      </c>
    </row>
    <row r="816" ht="25" customHeight="1" s="55">
      <c r="A816" s="57" t="inlineStr">
        <is>
          <t>FirstHArvest_OpenFieldLex</t>
        </is>
      </c>
      <c r="B816" s="57" t="n">
        <v>97</v>
      </c>
      <c r="C816" s="57" t="inlineStr">
        <is>
          <t>Date of harvest</t>
        </is>
      </c>
      <c r="D816" s="57" t="inlineStr"/>
      <c r="E816" s="57" t="inlineStr">
        <is>
          <t>2026-07-23</t>
        </is>
      </c>
      <c r="F816" s="57" t="inlineStr">
        <is>
          <t>date_forced:Recorded on first row; South Farm first harvest</t>
        </is>
      </c>
    </row>
    <row r="817" ht="25" customHeight="1" s="55">
      <c r="A817" s="57" t="inlineStr">
        <is>
          <t>FirstHArvest_OpenFieldLex</t>
        </is>
      </c>
      <c r="B817" s="57" t="n">
        <v>98</v>
      </c>
      <c r="C817" s="57" t="inlineStr">
        <is>
          <t>Genotypes</t>
        </is>
      </c>
      <c r="D817" s="57" t="inlineStr">
        <is>
          <t xml:space="preserve">26-28 R2 </t>
        </is>
      </c>
      <c r="E817" s="57" t="inlineStr">
        <is>
          <t>UKYT-26-028</t>
        </is>
      </c>
      <c r="F817" s="57" t="inlineStr"/>
    </row>
    <row r="818" ht="25" customHeight="1" s="55">
      <c r="A818" s="57" t="inlineStr">
        <is>
          <t>FirstHArvest_OpenFieldLex</t>
        </is>
      </c>
      <c r="B818" s="57" t="n">
        <v>98</v>
      </c>
      <c r="C818" s="57" t="inlineStr">
        <is>
          <t>Location</t>
        </is>
      </c>
      <c r="D818" s="57" t="inlineStr"/>
      <c r="E818" s="57" t="inlineStr">
        <is>
          <t>South Farm</t>
        </is>
      </c>
      <c r="F818" s="57" t="inlineStr">
        <is>
          <t>forced_from_sheet_name</t>
        </is>
      </c>
    </row>
    <row r="819" ht="25" customHeight="1" s="55">
      <c r="A819" s="57" t="inlineStr">
        <is>
          <t>FirstHArvest_OpenFieldLex</t>
        </is>
      </c>
      <c r="B819" s="57" t="n">
        <v>98</v>
      </c>
      <c r="C819" s="57" t="inlineStr">
        <is>
          <t>Harvest</t>
        </is>
      </c>
      <c r="D819" s="57" t="inlineStr"/>
      <c r="E819" s="57" t="inlineStr">
        <is>
          <t>First</t>
        </is>
      </c>
      <c r="F819" s="57" t="inlineStr">
        <is>
          <t>forced_from_sheet_name</t>
        </is>
      </c>
    </row>
    <row r="820" ht="25" customHeight="1" s="55">
      <c r="A820" s="57" t="inlineStr">
        <is>
          <t>FirstHArvest_OpenFieldLex</t>
        </is>
      </c>
      <c r="B820" s="57" t="n">
        <v>98</v>
      </c>
      <c r="C820" s="57" t="inlineStr">
        <is>
          <t>Date of harvest</t>
        </is>
      </c>
      <c r="D820" s="57" t="inlineStr"/>
      <c r="E820" s="57" t="inlineStr">
        <is>
          <t>2026-07-23</t>
        </is>
      </c>
      <c r="F820" s="57" t="inlineStr">
        <is>
          <t>date_forced:Recorded on first row; South Farm first harvest</t>
        </is>
      </c>
    </row>
    <row r="821" ht="25" customHeight="1" s="55">
      <c r="A821" s="57" t="inlineStr">
        <is>
          <t>FirstHArvest_OpenFieldLex</t>
        </is>
      </c>
      <c r="B821" s="57" t="n">
        <v>99</v>
      </c>
      <c r="C821" s="57" t="inlineStr">
        <is>
          <t>Genotypes</t>
        </is>
      </c>
      <c r="D821" s="57" t="inlineStr">
        <is>
          <t xml:space="preserve">26-27 R2 </t>
        </is>
      </c>
      <c r="E821" s="57" t="inlineStr">
        <is>
          <t>UKYT-26-027</t>
        </is>
      </c>
      <c r="F821" s="57" t="inlineStr"/>
    </row>
    <row r="822" ht="25" customHeight="1" s="55">
      <c r="A822" s="57" t="inlineStr">
        <is>
          <t>FirstHArvest_OpenFieldLex</t>
        </is>
      </c>
      <c r="B822" s="57" t="n">
        <v>99</v>
      </c>
      <c r="C822" s="57" t="inlineStr">
        <is>
          <t>Location</t>
        </is>
      </c>
      <c r="D822" s="57" t="inlineStr"/>
      <c r="E822" s="57" t="inlineStr">
        <is>
          <t>South Farm</t>
        </is>
      </c>
      <c r="F822" s="57" t="inlineStr">
        <is>
          <t>forced_from_sheet_name</t>
        </is>
      </c>
    </row>
    <row r="823" ht="25" customHeight="1" s="55">
      <c r="A823" s="57" t="inlineStr">
        <is>
          <t>FirstHArvest_OpenFieldLex</t>
        </is>
      </c>
      <c r="B823" s="57" t="n">
        <v>99</v>
      </c>
      <c r="C823" s="57" t="inlineStr">
        <is>
          <t>Harvest</t>
        </is>
      </c>
      <c r="D823" s="57" t="inlineStr"/>
      <c r="E823" s="57" t="inlineStr">
        <is>
          <t>First</t>
        </is>
      </c>
      <c r="F823" s="57" t="inlineStr">
        <is>
          <t>forced_from_sheet_name</t>
        </is>
      </c>
    </row>
    <row r="824" ht="25" customHeight="1" s="55">
      <c r="A824" s="57" t="inlineStr">
        <is>
          <t>FirstHArvest_OpenFieldLex</t>
        </is>
      </c>
      <c r="B824" s="57" t="n">
        <v>99</v>
      </c>
      <c r="C824" s="57" t="inlineStr">
        <is>
          <t>Date of harvest</t>
        </is>
      </c>
      <c r="D824" s="57" t="inlineStr"/>
      <c r="E824" s="57" t="inlineStr">
        <is>
          <t>2026-07-23</t>
        </is>
      </c>
      <c r="F824" s="57" t="inlineStr">
        <is>
          <t>date_forced:Recorded on first row; South Farm first harvest</t>
        </is>
      </c>
    </row>
    <row r="825" ht="25" customHeight="1" s="55">
      <c r="A825" s="57" t="inlineStr">
        <is>
          <t>FirstHArvest_OpenFieldLex</t>
        </is>
      </c>
      <c r="B825" s="57" t="n">
        <v>100</v>
      </c>
      <c r="C825" s="57" t="inlineStr">
        <is>
          <t>Genotypes</t>
        </is>
      </c>
      <c r="D825" s="57" t="inlineStr">
        <is>
          <t xml:space="preserve">26-10 R1 </t>
        </is>
      </c>
      <c r="E825" s="57" t="inlineStr">
        <is>
          <t>UKYT-26-010</t>
        </is>
      </c>
      <c r="F825" s="57" t="inlineStr"/>
    </row>
    <row r="826" ht="25" customHeight="1" s="55">
      <c r="A826" s="57" t="inlineStr">
        <is>
          <t>FirstHArvest_OpenFieldLex</t>
        </is>
      </c>
      <c r="B826" s="57" t="n">
        <v>100</v>
      </c>
      <c r="C826" s="57" t="inlineStr">
        <is>
          <t>Location</t>
        </is>
      </c>
      <c r="D826" s="57" t="inlineStr"/>
      <c r="E826" s="57" t="inlineStr">
        <is>
          <t>South Farm</t>
        </is>
      </c>
      <c r="F826" s="57" t="inlineStr">
        <is>
          <t>forced_from_sheet_name</t>
        </is>
      </c>
    </row>
    <row r="827" ht="25" customHeight="1" s="55">
      <c r="A827" s="57" t="inlineStr">
        <is>
          <t>FirstHArvest_OpenFieldLex</t>
        </is>
      </c>
      <c r="B827" s="57" t="n">
        <v>100</v>
      </c>
      <c r="C827" s="57" t="inlineStr">
        <is>
          <t>Harvest</t>
        </is>
      </c>
      <c r="D827" s="57" t="inlineStr"/>
      <c r="E827" s="57" t="inlineStr">
        <is>
          <t>First</t>
        </is>
      </c>
      <c r="F827" s="57" t="inlineStr">
        <is>
          <t>forced_from_sheet_name</t>
        </is>
      </c>
    </row>
    <row r="828" ht="25" customHeight="1" s="55">
      <c r="A828" s="57" t="inlineStr">
        <is>
          <t>FirstHArvest_OpenFieldLex</t>
        </is>
      </c>
      <c r="B828" s="57" t="n">
        <v>100</v>
      </c>
      <c r="C828" s="57" t="inlineStr">
        <is>
          <t>Date of harvest</t>
        </is>
      </c>
      <c r="D828" s="57" t="inlineStr"/>
      <c r="E828" s="57" t="inlineStr">
        <is>
          <t>2026-07-23</t>
        </is>
      </c>
      <c r="F828" s="57" t="inlineStr">
        <is>
          <t>date_forced:Recorded on first row; South Farm first harvest</t>
        </is>
      </c>
    </row>
    <row r="829" ht="25" customHeight="1" s="55">
      <c r="A829" s="57" t="inlineStr">
        <is>
          <t>FirstHArvest_OpenFieldLex</t>
        </is>
      </c>
      <c r="B829" s="57" t="n">
        <v>101</v>
      </c>
      <c r="C829" s="57" t="inlineStr">
        <is>
          <t>Genotypes</t>
        </is>
      </c>
      <c r="D829" s="57" t="inlineStr">
        <is>
          <t xml:space="preserve">26-11 R1 </t>
        </is>
      </c>
      <c r="E829" s="57" t="inlineStr">
        <is>
          <t>UKYT-26-011</t>
        </is>
      </c>
      <c r="F829" s="57" t="inlineStr"/>
    </row>
    <row r="830" ht="25" customHeight="1" s="55">
      <c r="A830" s="57" t="inlineStr">
        <is>
          <t>FirstHArvest_OpenFieldLex</t>
        </is>
      </c>
      <c r="B830" s="57" t="n">
        <v>101</v>
      </c>
      <c r="C830" s="57" t="inlineStr">
        <is>
          <t>Location</t>
        </is>
      </c>
      <c r="D830" s="57" t="inlineStr"/>
      <c r="E830" s="57" t="inlineStr">
        <is>
          <t>South Farm</t>
        </is>
      </c>
      <c r="F830" s="57" t="inlineStr">
        <is>
          <t>forced_from_sheet_name</t>
        </is>
      </c>
    </row>
    <row r="831" ht="25" customHeight="1" s="55">
      <c r="A831" s="57" t="inlineStr">
        <is>
          <t>FirstHArvest_OpenFieldLex</t>
        </is>
      </c>
      <c r="B831" s="57" t="n">
        <v>101</v>
      </c>
      <c r="C831" s="57" t="inlineStr">
        <is>
          <t>Harvest</t>
        </is>
      </c>
      <c r="D831" s="57" t="inlineStr"/>
      <c r="E831" s="57" t="inlineStr">
        <is>
          <t>First</t>
        </is>
      </c>
      <c r="F831" s="57" t="inlineStr">
        <is>
          <t>forced_from_sheet_name</t>
        </is>
      </c>
    </row>
    <row r="832" ht="25" customHeight="1" s="55">
      <c r="A832" s="57" t="inlineStr">
        <is>
          <t>FirstHArvest_OpenFieldLex</t>
        </is>
      </c>
      <c r="B832" s="57" t="n">
        <v>101</v>
      </c>
      <c r="C832" s="57" t="inlineStr">
        <is>
          <t>Date of harvest</t>
        </is>
      </c>
      <c r="D832" s="57" t="inlineStr"/>
      <c r="E832" s="57" t="inlineStr">
        <is>
          <t>2026-07-23</t>
        </is>
      </c>
      <c r="F832" s="57" t="inlineStr">
        <is>
          <t>date_forced:Recorded on first row; South Farm first harvest</t>
        </is>
      </c>
    </row>
    <row r="833" ht="25" customHeight="1" s="55">
      <c r="A833" s="57" t="inlineStr">
        <is>
          <t>FirstHArvest_OpenFieldLex</t>
        </is>
      </c>
      <c r="B833" s="57" t="n">
        <v>102</v>
      </c>
      <c r="C833" s="57" t="inlineStr">
        <is>
          <t>Genotypes</t>
        </is>
      </c>
      <c r="D833" s="57" t="inlineStr">
        <is>
          <t>25-15 R1</t>
        </is>
      </c>
      <c r="E833" s="57" t="inlineStr">
        <is>
          <t>UKYT-25-015</t>
        </is>
      </c>
      <c r="F833" s="57" t="inlineStr"/>
    </row>
    <row r="834" ht="25" customHeight="1" s="55">
      <c r="A834" s="57" t="inlineStr">
        <is>
          <t>FirstHArvest_OpenFieldLex</t>
        </is>
      </c>
      <c r="B834" s="57" t="n">
        <v>102</v>
      </c>
      <c r="C834" s="57" t="inlineStr">
        <is>
          <t>Location</t>
        </is>
      </c>
      <c r="D834" s="57" t="inlineStr"/>
      <c r="E834" s="57" t="inlineStr">
        <is>
          <t>South Farm</t>
        </is>
      </c>
      <c r="F834" s="57" t="inlineStr">
        <is>
          <t>forced_from_sheet_name</t>
        </is>
      </c>
    </row>
    <row r="835" ht="25" customHeight="1" s="55">
      <c r="A835" s="57" t="inlineStr">
        <is>
          <t>FirstHArvest_OpenFieldLex</t>
        </is>
      </c>
      <c r="B835" s="57" t="n">
        <v>102</v>
      </c>
      <c r="C835" s="57" t="inlineStr">
        <is>
          <t>Harvest</t>
        </is>
      </c>
      <c r="D835" s="57" t="inlineStr"/>
      <c r="E835" s="57" t="inlineStr">
        <is>
          <t>First</t>
        </is>
      </c>
      <c r="F835" s="57" t="inlineStr">
        <is>
          <t>forced_from_sheet_name</t>
        </is>
      </c>
    </row>
    <row r="836" ht="25" customHeight="1" s="55">
      <c r="A836" s="57" t="inlineStr">
        <is>
          <t>FirstHArvest_OpenFieldLex</t>
        </is>
      </c>
      <c r="B836" s="57" t="n">
        <v>102</v>
      </c>
      <c r="C836" s="57" t="inlineStr">
        <is>
          <t>Date of harvest</t>
        </is>
      </c>
      <c r="D836" s="57" t="inlineStr"/>
      <c r="E836" s="57" t="inlineStr">
        <is>
          <t>2026-07-23</t>
        </is>
      </c>
      <c r="F836" s="57" t="inlineStr">
        <is>
          <t>date_forced:Recorded on first row; South Farm first harvest</t>
        </is>
      </c>
    </row>
    <row r="837" ht="25" customHeight="1" s="55">
      <c r="A837" s="57" t="inlineStr">
        <is>
          <t>FirstHArvest_OpenFieldLex</t>
        </is>
      </c>
      <c r="B837" s="57" t="n">
        <v>103</v>
      </c>
      <c r="C837" s="57" t="inlineStr">
        <is>
          <t>Genotypes</t>
        </is>
      </c>
      <c r="D837" s="57" t="inlineStr">
        <is>
          <t xml:space="preserve">25-14 R1 </t>
        </is>
      </c>
      <c r="E837" s="57" t="inlineStr">
        <is>
          <t>UKYT-25-014</t>
        </is>
      </c>
      <c r="F837" s="57" t="inlineStr"/>
    </row>
    <row r="838" ht="25" customHeight="1" s="55">
      <c r="A838" s="57" t="inlineStr">
        <is>
          <t>FirstHArvest_OpenFieldLex</t>
        </is>
      </c>
      <c r="B838" s="57" t="n">
        <v>103</v>
      </c>
      <c r="C838" s="57" t="inlineStr">
        <is>
          <t>Location</t>
        </is>
      </c>
      <c r="D838" s="57" t="inlineStr"/>
      <c r="E838" s="57" t="inlineStr">
        <is>
          <t>South Farm</t>
        </is>
      </c>
      <c r="F838" s="57" t="inlineStr">
        <is>
          <t>forced_from_sheet_name</t>
        </is>
      </c>
    </row>
    <row r="839" ht="25" customHeight="1" s="55">
      <c r="A839" s="57" t="inlineStr">
        <is>
          <t>FirstHArvest_OpenFieldLex</t>
        </is>
      </c>
      <c r="B839" s="57" t="n">
        <v>103</v>
      </c>
      <c r="C839" s="57" t="inlineStr">
        <is>
          <t>Harvest</t>
        </is>
      </c>
      <c r="D839" s="57" t="inlineStr"/>
      <c r="E839" s="57" t="inlineStr">
        <is>
          <t>First</t>
        </is>
      </c>
      <c r="F839" s="57" t="inlineStr">
        <is>
          <t>forced_from_sheet_name</t>
        </is>
      </c>
    </row>
    <row r="840" ht="25" customHeight="1" s="55">
      <c r="A840" s="57" t="inlineStr">
        <is>
          <t>FirstHArvest_OpenFieldLex</t>
        </is>
      </c>
      <c r="B840" s="57" t="n">
        <v>103</v>
      </c>
      <c r="C840" s="57" t="inlineStr">
        <is>
          <t>Date of harvest</t>
        </is>
      </c>
      <c r="D840" s="57" t="inlineStr"/>
      <c r="E840" s="57" t="inlineStr">
        <is>
          <t>2026-07-23</t>
        </is>
      </c>
      <c r="F840" s="57" t="inlineStr">
        <is>
          <t>date_forced:Recorded on first row; South Farm first harvest</t>
        </is>
      </c>
    </row>
    <row r="841" ht="25" customHeight="1" s="55">
      <c r="A841" s="57" t="inlineStr">
        <is>
          <t>FirstHArvest_OpenFieldLex</t>
        </is>
      </c>
      <c r="B841" s="57" t="n">
        <v>104</v>
      </c>
      <c r="C841" s="57" t="inlineStr">
        <is>
          <t>Genotypes</t>
        </is>
      </c>
      <c r="D841" s="57" t="inlineStr">
        <is>
          <t>26-13 R3</t>
        </is>
      </c>
      <c r="E841" s="57" t="inlineStr">
        <is>
          <t>UKYT-26-013</t>
        </is>
      </c>
      <c r="F841" s="57" t="inlineStr"/>
    </row>
    <row r="842" ht="25" customHeight="1" s="55">
      <c r="A842" s="57" t="inlineStr">
        <is>
          <t>FirstHArvest_OpenFieldLex</t>
        </is>
      </c>
      <c r="B842" s="57" t="n">
        <v>104</v>
      </c>
      <c r="C842" s="57" t="inlineStr">
        <is>
          <t>Location</t>
        </is>
      </c>
      <c r="D842" s="57" t="inlineStr"/>
      <c r="E842" s="57" t="inlineStr">
        <is>
          <t>South Farm</t>
        </is>
      </c>
      <c r="F842" s="57" t="inlineStr">
        <is>
          <t>forced_from_sheet_name</t>
        </is>
      </c>
    </row>
    <row r="843" ht="25" customHeight="1" s="55">
      <c r="A843" s="57" t="inlineStr">
        <is>
          <t>FirstHArvest_OpenFieldLex</t>
        </is>
      </c>
      <c r="B843" s="57" t="n">
        <v>104</v>
      </c>
      <c r="C843" s="57" t="inlineStr">
        <is>
          <t>Harvest</t>
        </is>
      </c>
      <c r="D843" s="57" t="inlineStr"/>
      <c r="E843" s="57" t="inlineStr">
        <is>
          <t>First</t>
        </is>
      </c>
      <c r="F843" s="57" t="inlineStr">
        <is>
          <t>forced_from_sheet_name</t>
        </is>
      </c>
    </row>
    <row r="844" ht="25" customHeight="1" s="55">
      <c r="A844" s="57" t="inlineStr">
        <is>
          <t>FirstHArvest_OpenFieldLex</t>
        </is>
      </c>
      <c r="B844" s="57" t="n">
        <v>104</v>
      </c>
      <c r="C844" s="57" t="inlineStr">
        <is>
          <t>Date of harvest</t>
        </is>
      </c>
      <c r="D844" s="57" t="inlineStr"/>
      <c r="E844" s="57" t="inlineStr">
        <is>
          <t>2026-07-23</t>
        </is>
      </c>
      <c r="F844" s="57" t="inlineStr">
        <is>
          <t>date_forced:Recorded on first row; South Farm first harvest</t>
        </is>
      </c>
    </row>
    <row r="845" ht="25" customHeight="1" s="55">
      <c r="A845" s="57" t="inlineStr">
        <is>
          <t>FirstHArvest_OpenFieldLex</t>
        </is>
      </c>
      <c r="B845" s="57" t="n">
        <v>105</v>
      </c>
      <c r="C845" s="57" t="inlineStr">
        <is>
          <t>Genotypes</t>
        </is>
      </c>
      <c r="D845" s="57" t="inlineStr">
        <is>
          <t xml:space="preserve">26-19 R2 </t>
        </is>
      </c>
      <c r="E845" s="57" t="inlineStr">
        <is>
          <t>UKYT-26-019</t>
        </is>
      </c>
      <c r="F845" s="57" t="inlineStr"/>
    </row>
    <row r="846" ht="25" customHeight="1" s="55">
      <c r="A846" s="57" t="inlineStr">
        <is>
          <t>FirstHArvest_OpenFieldLex</t>
        </is>
      </c>
      <c r="B846" s="57" t="n">
        <v>105</v>
      </c>
      <c r="C846" s="57" t="inlineStr">
        <is>
          <t>Location</t>
        </is>
      </c>
      <c r="D846" s="57" t="inlineStr"/>
      <c r="E846" s="57" t="inlineStr">
        <is>
          <t>South Farm</t>
        </is>
      </c>
      <c r="F846" s="57" t="inlineStr">
        <is>
          <t>forced_from_sheet_name</t>
        </is>
      </c>
    </row>
    <row r="847" ht="25" customHeight="1" s="55">
      <c r="A847" s="57" t="inlineStr">
        <is>
          <t>FirstHArvest_OpenFieldLex</t>
        </is>
      </c>
      <c r="B847" s="57" t="n">
        <v>105</v>
      </c>
      <c r="C847" s="57" t="inlineStr">
        <is>
          <t>Harvest</t>
        </is>
      </c>
      <c r="D847" s="57" t="inlineStr"/>
      <c r="E847" s="57" t="inlineStr">
        <is>
          <t>First</t>
        </is>
      </c>
      <c r="F847" s="57" t="inlineStr">
        <is>
          <t>forced_from_sheet_name</t>
        </is>
      </c>
    </row>
    <row r="848" ht="25" customHeight="1" s="55">
      <c r="A848" s="57" t="inlineStr">
        <is>
          <t>FirstHArvest_OpenFieldLex</t>
        </is>
      </c>
      <c r="B848" s="57" t="n">
        <v>105</v>
      </c>
      <c r="C848" s="57" t="inlineStr">
        <is>
          <t>Date of harvest</t>
        </is>
      </c>
      <c r="D848" s="57" t="inlineStr"/>
      <c r="E848" s="57" t="inlineStr">
        <is>
          <t>2026-07-23</t>
        </is>
      </c>
      <c r="F848" s="57" t="inlineStr">
        <is>
          <t>date_forced:Recorded on first row; South Farm first harvest</t>
        </is>
      </c>
    </row>
    <row r="849" ht="25" customHeight="1" s="55">
      <c r="A849" s="57" t="inlineStr">
        <is>
          <t>FirstHArvest_OpenFieldLex</t>
        </is>
      </c>
      <c r="B849" s="57" t="n">
        <v>106</v>
      </c>
      <c r="C849" s="57" t="inlineStr">
        <is>
          <t>Genotypes</t>
        </is>
      </c>
      <c r="D849" s="57" t="inlineStr">
        <is>
          <t>26-26-R2</t>
        </is>
      </c>
      <c r="E849" s="57" t="inlineStr">
        <is>
          <t>UKYT-26-026</t>
        </is>
      </c>
      <c r="F849" s="57" t="inlineStr"/>
    </row>
    <row r="850" ht="25" customHeight="1" s="55">
      <c r="A850" s="57" t="inlineStr">
        <is>
          <t>FirstHArvest_OpenFieldLex</t>
        </is>
      </c>
      <c r="B850" s="57" t="n">
        <v>106</v>
      </c>
      <c r="C850" s="57" t="inlineStr">
        <is>
          <t>Location</t>
        </is>
      </c>
      <c r="D850" s="57" t="inlineStr"/>
      <c r="E850" s="57" t="inlineStr">
        <is>
          <t>South Farm</t>
        </is>
      </c>
      <c r="F850" s="57" t="inlineStr">
        <is>
          <t>forced_from_sheet_name</t>
        </is>
      </c>
    </row>
    <row r="851" ht="25" customHeight="1" s="55">
      <c r="A851" s="57" t="inlineStr">
        <is>
          <t>FirstHArvest_OpenFieldLex</t>
        </is>
      </c>
      <c r="B851" s="57" t="n">
        <v>106</v>
      </c>
      <c r="C851" s="57" t="inlineStr">
        <is>
          <t>Harvest</t>
        </is>
      </c>
      <c r="D851" s="57" t="inlineStr"/>
      <c r="E851" s="57" t="inlineStr">
        <is>
          <t>First</t>
        </is>
      </c>
      <c r="F851" s="57" t="inlineStr">
        <is>
          <t>forced_from_sheet_name</t>
        </is>
      </c>
    </row>
    <row r="852" ht="25" customHeight="1" s="55">
      <c r="A852" s="57" t="inlineStr">
        <is>
          <t>FirstHArvest_OpenFieldLex</t>
        </is>
      </c>
      <c r="B852" s="57" t="n">
        <v>106</v>
      </c>
      <c r="C852" s="57" t="inlineStr">
        <is>
          <t>Date of harvest</t>
        </is>
      </c>
      <c r="D852" s="57" t="inlineStr"/>
      <c r="E852" s="57" t="inlineStr">
        <is>
          <t>2026-07-23</t>
        </is>
      </c>
      <c r="F852" s="57" t="inlineStr">
        <is>
          <t>date_forced:Recorded on first row; South Farm first harvest</t>
        </is>
      </c>
    </row>
    <row r="853" ht="25" customHeight="1" s="55">
      <c r="A853" s="57" t="inlineStr">
        <is>
          <t>FirstHArvest_OpenFieldLex</t>
        </is>
      </c>
      <c r="B853" s="57" t="n">
        <v>107</v>
      </c>
      <c r="C853" s="57" t="inlineStr">
        <is>
          <t>Genotypes</t>
        </is>
      </c>
      <c r="D853" s="57" t="inlineStr">
        <is>
          <t>26-21 R3</t>
        </is>
      </c>
      <c r="E853" s="57" t="inlineStr">
        <is>
          <t>UKYT-26-021</t>
        </is>
      </c>
      <c r="F853" s="57" t="inlineStr"/>
    </row>
    <row r="854" ht="25" customHeight="1" s="55">
      <c r="A854" s="57" t="inlineStr">
        <is>
          <t>FirstHArvest_OpenFieldLex</t>
        </is>
      </c>
      <c r="B854" s="57" t="n">
        <v>107</v>
      </c>
      <c r="C854" s="57" t="inlineStr">
        <is>
          <t>Location</t>
        </is>
      </c>
      <c r="D854" s="57" t="inlineStr"/>
      <c r="E854" s="57" t="inlineStr">
        <is>
          <t>South Farm</t>
        </is>
      </c>
      <c r="F854" s="57" t="inlineStr">
        <is>
          <t>forced_from_sheet_name</t>
        </is>
      </c>
    </row>
    <row r="855" ht="25" customHeight="1" s="55">
      <c r="A855" s="57" t="inlineStr">
        <is>
          <t>FirstHArvest_OpenFieldLex</t>
        </is>
      </c>
      <c r="B855" s="57" t="n">
        <v>107</v>
      </c>
      <c r="C855" s="57" t="inlineStr">
        <is>
          <t>Harvest</t>
        </is>
      </c>
      <c r="D855" s="57" t="inlineStr"/>
      <c r="E855" s="57" t="inlineStr">
        <is>
          <t>First</t>
        </is>
      </c>
      <c r="F855" s="57" t="inlineStr">
        <is>
          <t>forced_from_sheet_name</t>
        </is>
      </c>
    </row>
    <row r="856" ht="25" customHeight="1" s="55">
      <c r="A856" s="57" t="inlineStr">
        <is>
          <t>FirstHArvest_OpenFieldLex</t>
        </is>
      </c>
      <c r="B856" s="57" t="n">
        <v>107</v>
      </c>
      <c r="C856" s="57" t="inlineStr">
        <is>
          <t>Date of harvest</t>
        </is>
      </c>
      <c r="D856" s="57" t="inlineStr"/>
      <c r="E856" s="57" t="inlineStr">
        <is>
          <t>2026-07-23</t>
        </is>
      </c>
      <c r="F856" s="57" t="inlineStr">
        <is>
          <t>date_forced:Recorded on first row; South Farm first harvest</t>
        </is>
      </c>
    </row>
    <row r="857" ht="25" customHeight="1" s="55">
      <c r="A857" s="57" t="inlineStr">
        <is>
          <t>FirstHArvest_OpenFieldLex</t>
        </is>
      </c>
      <c r="B857" s="57" t="n">
        <v>108</v>
      </c>
      <c r="C857" s="57" t="inlineStr">
        <is>
          <t>Genotypes</t>
        </is>
      </c>
      <c r="D857" s="57" t="inlineStr">
        <is>
          <t>26-22  R3</t>
        </is>
      </c>
      <c r="E857" s="57" t="inlineStr">
        <is>
          <t>UKYT-26-022</t>
        </is>
      </c>
      <c r="F857" s="57" t="inlineStr"/>
    </row>
    <row r="858" ht="25" customHeight="1" s="55">
      <c r="A858" s="57" t="inlineStr">
        <is>
          <t>FirstHArvest_OpenFieldLex</t>
        </is>
      </c>
      <c r="B858" s="57" t="n">
        <v>108</v>
      </c>
      <c r="C858" s="57" t="inlineStr">
        <is>
          <t>Location</t>
        </is>
      </c>
      <c r="D858" s="57" t="inlineStr"/>
      <c r="E858" s="57" t="inlineStr">
        <is>
          <t>South Farm</t>
        </is>
      </c>
      <c r="F858" s="57" t="inlineStr">
        <is>
          <t>forced_from_sheet_name</t>
        </is>
      </c>
    </row>
    <row r="859" ht="25" customHeight="1" s="55">
      <c r="A859" s="57" t="inlineStr">
        <is>
          <t>FirstHArvest_OpenFieldLex</t>
        </is>
      </c>
      <c r="B859" s="57" t="n">
        <v>108</v>
      </c>
      <c r="C859" s="57" t="inlineStr">
        <is>
          <t>Harvest</t>
        </is>
      </c>
      <c r="D859" s="57" t="inlineStr"/>
      <c r="E859" s="57" t="inlineStr">
        <is>
          <t>First</t>
        </is>
      </c>
      <c r="F859" s="57" t="inlineStr">
        <is>
          <t>forced_from_sheet_name</t>
        </is>
      </c>
    </row>
    <row r="860" ht="25" customHeight="1" s="55">
      <c r="A860" s="57" t="inlineStr">
        <is>
          <t>FirstHArvest_OpenFieldLex</t>
        </is>
      </c>
      <c r="B860" s="57" t="n">
        <v>108</v>
      </c>
      <c r="C860" s="57" t="inlineStr">
        <is>
          <t>Date of harvest</t>
        </is>
      </c>
      <c r="D860" s="57" t="inlineStr"/>
      <c r="E860" s="57" t="inlineStr">
        <is>
          <t>2026-07-23</t>
        </is>
      </c>
      <c r="F860" s="57" t="inlineStr">
        <is>
          <t>date_forced:Recorded on first row; South Farm first harvest</t>
        </is>
      </c>
    </row>
    <row r="861" ht="25" customHeight="1" s="55">
      <c r="A861" s="57" t="inlineStr">
        <is>
          <t>FirstHArvest_OpenFieldLex</t>
        </is>
      </c>
      <c r="B861" s="57" t="n">
        <v>109</v>
      </c>
      <c r="C861" s="57" t="inlineStr">
        <is>
          <t>Genotypes</t>
        </is>
      </c>
      <c r="D861" s="57" t="inlineStr">
        <is>
          <t>26-14 R1</t>
        </is>
      </c>
      <c r="E861" s="57" t="inlineStr">
        <is>
          <t>UKYT-26-014</t>
        </is>
      </c>
      <c r="F861" s="57" t="inlineStr"/>
    </row>
    <row r="862" ht="25" customHeight="1" s="55">
      <c r="A862" s="57" t="inlineStr">
        <is>
          <t>FirstHArvest_OpenFieldLex</t>
        </is>
      </c>
      <c r="B862" s="57" t="n">
        <v>109</v>
      </c>
      <c r="C862" s="57" t="inlineStr">
        <is>
          <t>Location</t>
        </is>
      </c>
      <c r="D862" s="57" t="inlineStr"/>
      <c r="E862" s="57" t="inlineStr">
        <is>
          <t>South Farm</t>
        </is>
      </c>
      <c r="F862" s="57" t="inlineStr">
        <is>
          <t>forced_from_sheet_name</t>
        </is>
      </c>
    </row>
    <row r="863" ht="25" customHeight="1" s="55">
      <c r="A863" s="57" t="inlineStr">
        <is>
          <t>FirstHArvest_OpenFieldLex</t>
        </is>
      </c>
      <c r="B863" s="57" t="n">
        <v>109</v>
      </c>
      <c r="C863" s="57" t="inlineStr">
        <is>
          <t>Harvest</t>
        </is>
      </c>
      <c r="D863" s="57" t="inlineStr"/>
      <c r="E863" s="57" t="inlineStr">
        <is>
          <t>First</t>
        </is>
      </c>
      <c r="F863" s="57" t="inlineStr">
        <is>
          <t>forced_from_sheet_name</t>
        </is>
      </c>
    </row>
    <row r="864" ht="25" customHeight="1" s="55">
      <c r="A864" s="57" t="inlineStr">
        <is>
          <t>FirstHArvest_OpenFieldLex</t>
        </is>
      </c>
      <c r="B864" s="57" t="n">
        <v>109</v>
      </c>
      <c r="C864" s="57" t="inlineStr">
        <is>
          <t>Date of harvest</t>
        </is>
      </c>
      <c r="D864" s="57" t="inlineStr"/>
      <c r="E864" s="57" t="inlineStr">
        <is>
          <t>2026-07-23</t>
        </is>
      </c>
      <c r="F864" s="57" t="inlineStr">
        <is>
          <t>date_forced:Recorded on first row; South Farm first harvest</t>
        </is>
      </c>
    </row>
    <row r="865" ht="25" customHeight="1" s="55">
      <c r="A865" s="57" t="inlineStr">
        <is>
          <t>FirstHArvest_OpenFieldLex</t>
        </is>
      </c>
      <c r="B865" s="57" t="n">
        <v>110</v>
      </c>
      <c r="C865" s="57" t="inlineStr">
        <is>
          <t>Genotypes</t>
        </is>
      </c>
      <c r="D865" s="57" t="inlineStr">
        <is>
          <t>26-24 R2</t>
        </is>
      </c>
      <c r="E865" s="57" t="inlineStr">
        <is>
          <t>UKYT-26-024</t>
        </is>
      </c>
      <c r="F865" s="57" t="inlineStr"/>
    </row>
    <row r="866" ht="25" customHeight="1" s="55">
      <c r="A866" s="57" t="inlineStr">
        <is>
          <t>FirstHArvest_OpenFieldLex</t>
        </is>
      </c>
      <c r="B866" s="57" t="n">
        <v>110</v>
      </c>
      <c r="C866" s="57" t="inlineStr">
        <is>
          <t>Location</t>
        </is>
      </c>
      <c r="D866" s="57" t="inlineStr"/>
      <c r="E866" s="57" t="inlineStr">
        <is>
          <t>South Farm</t>
        </is>
      </c>
      <c r="F866" s="57" t="inlineStr">
        <is>
          <t>forced_from_sheet_name</t>
        </is>
      </c>
    </row>
    <row r="867" ht="25" customHeight="1" s="55">
      <c r="A867" s="57" t="inlineStr">
        <is>
          <t>FirstHArvest_OpenFieldLex</t>
        </is>
      </c>
      <c r="B867" s="57" t="n">
        <v>110</v>
      </c>
      <c r="C867" s="57" t="inlineStr">
        <is>
          <t>Harvest</t>
        </is>
      </c>
      <c r="D867" s="57" t="inlineStr"/>
      <c r="E867" s="57" t="inlineStr">
        <is>
          <t>First</t>
        </is>
      </c>
      <c r="F867" s="57" t="inlineStr">
        <is>
          <t>forced_from_sheet_name</t>
        </is>
      </c>
    </row>
    <row r="868" ht="25" customHeight="1" s="55">
      <c r="A868" s="57" t="inlineStr">
        <is>
          <t>FirstHArvest_OpenFieldLex</t>
        </is>
      </c>
      <c r="B868" s="57" t="n">
        <v>110</v>
      </c>
      <c r="C868" s="57" t="inlineStr">
        <is>
          <t>Date of harvest</t>
        </is>
      </c>
      <c r="D868" s="57" t="inlineStr"/>
      <c r="E868" s="57" t="inlineStr">
        <is>
          <t>2026-07-23</t>
        </is>
      </c>
      <c r="F868" s="57" t="inlineStr">
        <is>
          <t>date_forced:Recorded on first row; South Farm first harvest</t>
        </is>
      </c>
    </row>
    <row r="869" ht="25" customHeight="1" s="55">
      <c r="A869" s="57" t="inlineStr">
        <is>
          <t>FirstHArvest_OpenFieldLex</t>
        </is>
      </c>
      <c r="B869" s="57" t="n">
        <v>111</v>
      </c>
      <c r="C869" s="57" t="inlineStr">
        <is>
          <t>Genotypes</t>
        </is>
      </c>
      <c r="D869" s="57" t="inlineStr">
        <is>
          <t xml:space="preserve">26-13 R1 </t>
        </is>
      </c>
      <c r="E869" s="57" t="inlineStr">
        <is>
          <t>UKYT-26-013</t>
        </is>
      </c>
      <c r="F869" s="57" t="inlineStr"/>
    </row>
    <row r="870" ht="25" customHeight="1" s="55">
      <c r="A870" s="57" t="inlineStr">
        <is>
          <t>FirstHArvest_OpenFieldLex</t>
        </is>
      </c>
      <c r="B870" s="57" t="n">
        <v>111</v>
      </c>
      <c r="C870" s="57" t="inlineStr">
        <is>
          <t>Location</t>
        </is>
      </c>
      <c r="D870" s="57" t="inlineStr"/>
      <c r="E870" s="57" t="inlineStr">
        <is>
          <t>South Farm</t>
        </is>
      </c>
      <c r="F870" s="57" t="inlineStr">
        <is>
          <t>forced_from_sheet_name</t>
        </is>
      </c>
    </row>
    <row r="871" ht="25" customHeight="1" s="55">
      <c r="A871" s="57" t="inlineStr">
        <is>
          <t>FirstHArvest_OpenFieldLex</t>
        </is>
      </c>
      <c r="B871" s="57" t="n">
        <v>111</v>
      </c>
      <c r="C871" s="57" t="inlineStr">
        <is>
          <t>Harvest</t>
        </is>
      </c>
      <c r="D871" s="57" t="inlineStr"/>
      <c r="E871" s="57" t="inlineStr">
        <is>
          <t>First</t>
        </is>
      </c>
      <c r="F871" s="57" t="inlineStr">
        <is>
          <t>forced_from_sheet_name</t>
        </is>
      </c>
    </row>
    <row r="872" ht="25" customHeight="1" s="55">
      <c r="A872" s="57" t="inlineStr">
        <is>
          <t>FirstHArvest_OpenFieldLex</t>
        </is>
      </c>
      <c r="B872" s="57" t="n">
        <v>111</v>
      </c>
      <c r="C872" s="57" t="inlineStr">
        <is>
          <t>Date of harvest</t>
        </is>
      </c>
      <c r="D872" s="57" t="inlineStr"/>
      <c r="E872" s="57" t="inlineStr">
        <is>
          <t>2026-07-23</t>
        </is>
      </c>
      <c r="F872" s="57" t="inlineStr">
        <is>
          <t>date_forced:Recorded on first row; South Farm first harvest</t>
        </is>
      </c>
    </row>
    <row r="873" ht="25" customHeight="1" s="55">
      <c r="A873" s="57" t="inlineStr">
        <is>
          <t>FirstHArvest_OpenFieldLex</t>
        </is>
      </c>
      <c r="B873" s="57" t="n">
        <v>112</v>
      </c>
      <c r="C873" s="57" t="inlineStr">
        <is>
          <t>Genotypes</t>
        </is>
      </c>
      <c r="D873" s="57" t="inlineStr">
        <is>
          <t>26-23 R3</t>
        </is>
      </c>
      <c r="E873" s="57" t="inlineStr">
        <is>
          <t>UKYT-26-023</t>
        </is>
      </c>
      <c r="F873" s="57" t="inlineStr"/>
    </row>
    <row r="874" ht="25" customHeight="1" s="55">
      <c r="A874" s="57" t="inlineStr">
        <is>
          <t>FirstHArvest_OpenFieldLex</t>
        </is>
      </c>
      <c r="B874" s="57" t="n">
        <v>112</v>
      </c>
      <c r="C874" s="57" t="inlineStr">
        <is>
          <t>Location</t>
        </is>
      </c>
      <c r="D874" s="57" t="inlineStr"/>
      <c r="E874" s="57" t="inlineStr">
        <is>
          <t>South Farm</t>
        </is>
      </c>
      <c r="F874" s="57" t="inlineStr">
        <is>
          <t>forced_from_sheet_name</t>
        </is>
      </c>
    </row>
    <row r="875" ht="25" customHeight="1" s="55">
      <c r="A875" s="57" t="inlineStr">
        <is>
          <t>FirstHArvest_OpenFieldLex</t>
        </is>
      </c>
      <c r="B875" s="57" t="n">
        <v>112</v>
      </c>
      <c r="C875" s="57" t="inlineStr">
        <is>
          <t>Harvest</t>
        </is>
      </c>
      <c r="D875" s="57" t="inlineStr"/>
      <c r="E875" s="57" t="inlineStr">
        <is>
          <t>First</t>
        </is>
      </c>
      <c r="F875" s="57" t="inlineStr">
        <is>
          <t>forced_from_sheet_name</t>
        </is>
      </c>
    </row>
    <row r="876" ht="25" customHeight="1" s="55">
      <c r="A876" s="57" t="inlineStr">
        <is>
          <t>FirstHArvest_OpenFieldLex</t>
        </is>
      </c>
      <c r="B876" s="57" t="n">
        <v>112</v>
      </c>
      <c r="C876" s="57" t="inlineStr">
        <is>
          <t>Date of harvest</t>
        </is>
      </c>
      <c r="D876" s="57" t="inlineStr"/>
      <c r="E876" s="57" t="inlineStr">
        <is>
          <t>2026-07-23</t>
        </is>
      </c>
      <c r="F876" s="57" t="inlineStr">
        <is>
          <t>date_forced:Recorded on first row; South Farm first harvest</t>
        </is>
      </c>
    </row>
    <row r="877" ht="25" customHeight="1" s="55">
      <c r="A877" s="57" t="inlineStr">
        <is>
          <t>FirstHArvest_OpenFieldLex</t>
        </is>
      </c>
      <c r="B877" s="57" t="n">
        <v>113</v>
      </c>
      <c r="C877" s="57" t="inlineStr">
        <is>
          <t>Genotypes</t>
        </is>
      </c>
      <c r="D877" s="57" t="inlineStr">
        <is>
          <t xml:space="preserve">26-24 R3 </t>
        </is>
      </c>
      <c r="E877" s="57" t="inlineStr">
        <is>
          <t>UKYT-26-024</t>
        </is>
      </c>
      <c r="F877" s="57" t="inlineStr"/>
    </row>
    <row r="878" ht="25" customHeight="1" s="55">
      <c r="A878" s="57" t="inlineStr">
        <is>
          <t>FirstHArvest_OpenFieldLex</t>
        </is>
      </c>
      <c r="B878" s="57" t="n">
        <v>113</v>
      </c>
      <c r="C878" s="57" t="inlineStr">
        <is>
          <t>Location</t>
        </is>
      </c>
      <c r="D878" s="57" t="inlineStr"/>
      <c r="E878" s="57" t="inlineStr">
        <is>
          <t>South Farm</t>
        </is>
      </c>
      <c r="F878" s="57" t="inlineStr">
        <is>
          <t>forced_from_sheet_name</t>
        </is>
      </c>
    </row>
    <row r="879" ht="25" customHeight="1" s="55">
      <c r="A879" s="57" t="inlineStr">
        <is>
          <t>FirstHArvest_OpenFieldLex</t>
        </is>
      </c>
      <c r="B879" s="57" t="n">
        <v>113</v>
      </c>
      <c r="C879" s="57" t="inlineStr">
        <is>
          <t>Harvest</t>
        </is>
      </c>
      <c r="D879" s="57" t="inlineStr"/>
      <c r="E879" s="57" t="inlineStr">
        <is>
          <t>First</t>
        </is>
      </c>
      <c r="F879" s="57" t="inlineStr">
        <is>
          <t>forced_from_sheet_name</t>
        </is>
      </c>
    </row>
    <row r="880" ht="25" customHeight="1" s="55">
      <c r="A880" s="57" t="inlineStr">
        <is>
          <t>FirstHArvest_OpenFieldLex</t>
        </is>
      </c>
      <c r="B880" s="57" t="n">
        <v>113</v>
      </c>
      <c r="C880" s="57" t="inlineStr">
        <is>
          <t>Date of harvest</t>
        </is>
      </c>
      <c r="D880" s="57" t="inlineStr"/>
      <c r="E880" s="57" t="inlineStr">
        <is>
          <t>2026-07-23</t>
        </is>
      </c>
      <c r="F880" s="57" t="inlineStr">
        <is>
          <t>date_forced:Recorded on first row; South Farm first harvest</t>
        </is>
      </c>
    </row>
    <row r="881" ht="25" customHeight="1" s="55">
      <c r="A881" s="57" t="inlineStr">
        <is>
          <t>FirstHArvest_OpenFieldLex</t>
        </is>
      </c>
      <c r="B881" s="57" t="n">
        <v>114</v>
      </c>
      <c r="C881" s="57" t="inlineStr">
        <is>
          <t>Genotypes</t>
        </is>
      </c>
      <c r="D881" s="57" t="inlineStr">
        <is>
          <t>26-23 R2</t>
        </is>
      </c>
      <c r="E881" s="57" t="inlineStr">
        <is>
          <t>UKYT-26-023</t>
        </is>
      </c>
      <c r="F881" s="57" t="inlineStr"/>
    </row>
    <row r="882" ht="25" customHeight="1" s="55">
      <c r="A882" s="57" t="inlineStr">
        <is>
          <t>FirstHArvest_OpenFieldLex</t>
        </is>
      </c>
      <c r="B882" s="57" t="n">
        <v>114</v>
      </c>
      <c r="C882" s="57" t="inlineStr">
        <is>
          <t>Location</t>
        </is>
      </c>
      <c r="D882" s="57" t="inlineStr"/>
      <c r="E882" s="57" t="inlineStr">
        <is>
          <t>South Farm</t>
        </is>
      </c>
      <c r="F882" s="57" t="inlineStr">
        <is>
          <t>forced_from_sheet_name</t>
        </is>
      </c>
    </row>
    <row r="883" ht="25" customHeight="1" s="55">
      <c r="A883" s="57" t="inlineStr">
        <is>
          <t>FirstHArvest_OpenFieldLex</t>
        </is>
      </c>
      <c r="B883" s="57" t="n">
        <v>114</v>
      </c>
      <c r="C883" s="57" t="inlineStr">
        <is>
          <t>Harvest</t>
        </is>
      </c>
      <c r="D883" s="57" t="inlineStr"/>
      <c r="E883" s="57" t="inlineStr">
        <is>
          <t>First</t>
        </is>
      </c>
      <c r="F883" s="57" t="inlineStr">
        <is>
          <t>forced_from_sheet_name</t>
        </is>
      </c>
    </row>
    <row r="884" ht="25" customHeight="1" s="55">
      <c r="A884" s="57" t="inlineStr">
        <is>
          <t>FirstHArvest_OpenFieldLex</t>
        </is>
      </c>
      <c r="B884" s="57" t="n">
        <v>114</v>
      </c>
      <c r="C884" s="57" t="inlineStr">
        <is>
          <t>Date of harvest</t>
        </is>
      </c>
      <c r="D884" s="57" t="inlineStr"/>
      <c r="E884" s="57" t="inlineStr">
        <is>
          <t>2026-07-23</t>
        </is>
      </c>
      <c r="F884" s="57" t="inlineStr">
        <is>
          <t>date_forced:Recorded on first row; South Farm first harvest</t>
        </is>
      </c>
    </row>
    <row r="885" ht="25" customHeight="1" s="55">
      <c r="A885" s="57" t="inlineStr">
        <is>
          <t>FirstHArvest_OpenFieldLex</t>
        </is>
      </c>
      <c r="B885" s="57" t="n">
        <v>115</v>
      </c>
      <c r="C885" s="57" t="inlineStr">
        <is>
          <t>Genotypes</t>
        </is>
      </c>
      <c r="D885" s="57" t="inlineStr">
        <is>
          <t xml:space="preserve">26-20 R2 </t>
        </is>
      </c>
      <c r="E885" s="57" t="inlineStr">
        <is>
          <t>UKYT-26-020</t>
        </is>
      </c>
      <c r="F885" s="57" t="inlineStr"/>
    </row>
    <row r="886" ht="25" customHeight="1" s="55">
      <c r="A886" s="57" t="inlineStr">
        <is>
          <t>FirstHArvest_OpenFieldLex</t>
        </is>
      </c>
      <c r="B886" s="57" t="n">
        <v>115</v>
      </c>
      <c r="C886" s="57" t="inlineStr">
        <is>
          <t>Location</t>
        </is>
      </c>
      <c r="D886" s="57" t="inlineStr"/>
      <c r="E886" s="57" t="inlineStr">
        <is>
          <t>South Farm</t>
        </is>
      </c>
      <c r="F886" s="57" t="inlineStr">
        <is>
          <t>forced_from_sheet_name</t>
        </is>
      </c>
    </row>
    <row r="887" ht="25" customHeight="1" s="55">
      <c r="A887" s="57" t="inlineStr">
        <is>
          <t>FirstHArvest_OpenFieldLex</t>
        </is>
      </c>
      <c r="B887" s="57" t="n">
        <v>115</v>
      </c>
      <c r="C887" s="57" t="inlineStr">
        <is>
          <t>Harvest</t>
        </is>
      </c>
      <c r="D887" s="57" t="inlineStr"/>
      <c r="E887" s="57" t="inlineStr">
        <is>
          <t>First</t>
        </is>
      </c>
      <c r="F887" s="57" t="inlineStr">
        <is>
          <t>forced_from_sheet_name</t>
        </is>
      </c>
    </row>
    <row r="888" ht="25" customHeight="1" s="55">
      <c r="A888" s="57" t="inlineStr">
        <is>
          <t>FirstHArvest_OpenFieldLex</t>
        </is>
      </c>
      <c r="B888" s="57" t="n">
        <v>115</v>
      </c>
      <c r="C888" s="57" t="inlineStr">
        <is>
          <t>Date of harvest</t>
        </is>
      </c>
      <c r="D888" s="57" t="inlineStr"/>
      <c r="E888" s="57" t="inlineStr">
        <is>
          <t>2026-07-23</t>
        </is>
      </c>
      <c r="F888" s="57" t="inlineStr">
        <is>
          <t>date_forced:Recorded on first row; South Farm first harvest</t>
        </is>
      </c>
    </row>
    <row r="889" ht="25" customHeight="1" s="55">
      <c r="A889" s="57" t="inlineStr">
        <is>
          <t>FirstHArvest_OpenFieldLex</t>
        </is>
      </c>
      <c r="B889" s="57" t="n">
        <v>116</v>
      </c>
      <c r="C889" s="57" t="inlineStr">
        <is>
          <t>Genotypes</t>
        </is>
      </c>
      <c r="D889" s="57" t="inlineStr">
        <is>
          <t xml:space="preserve">26-21 R1 </t>
        </is>
      </c>
      <c r="E889" s="57" t="inlineStr">
        <is>
          <t>UKYT-26-021</t>
        </is>
      </c>
      <c r="F889" s="57" t="inlineStr"/>
    </row>
    <row r="890" ht="25" customHeight="1" s="55">
      <c r="A890" s="57" t="inlineStr">
        <is>
          <t>FirstHArvest_OpenFieldLex</t>
        </is>
      </c>
      <c r="B890" s="57" t="n">
        <v>116</v>
      </c>
      <c r="C890" s="57" t="inlineStr">
        <is>
          <t>Location</t>
        </is>
      </c>
      <c r="D890" s="57" t="inlineStr"/>
      <c r="E890" s="57" t="inlineStr">
        <is>
          <t>South Farm</t>
        </is>
      </c>
      <c r="F890" s="57" t="inlineStr">
        <is>
          <t>forced_from_sheet_name</t>
        </is>
      </c>
    </row>
    <row r="891" ht="25" customHeight="1" s="55">
      <c r="A891" s="57" t="inlineStr">
        <is>
          <t>FirstHArvest_OpenFieldLex</t>
        </is>
      </c>
      <c r="B891" s="57" t="n">
        <v>116</v>
      </c>
      <c r="C891" s="57" t="inlineStr">
        <is>
          <t>Harvest</t>
        </is>
      </c>
      <c r="D891" s="57" t="inlineStr"/>
      <c r="E891" s="57" t="inlineStr">
        <is>
          <t>First</t>
        </is>
      </c>
      <c r="F891" s="57" t="inlineStr">
        <is>
          <t>forced_from_sheet_name</t>
        </is>
      </c>
    </row>
    <row r="892" ht="25" customHeight="1" s="55">
      <c r="A892" s="57" t="inlineStr">
        <is>
          <t>FirstHArvest_OpenFieldLex</t>
        </is>
      </c>
      <c r="B892" s="57" t="n">
        <v>116</v>
      </c>
      <c r="C892" s="57" t="inlineStr">
        <is>
          <t>Date of harvest</t>
        </is>
      </c>
      <c r="D892" s="57" t="inlineStr"/>
      <c r="E892" s="57" t="inlineStr">
        <is>
          <t>2026-07-23</t>
        </is>
      </c>
      <c r="F892" s="57" t="inlineStr">
        <is>
          <t>date_forced:Recorded on first row; South Farm first harvest</t>
        </is>
      </c>
    </row>
    <row r="893" ht="25" customHeight="1" s="55">
      <c r="A893" s="57" t="inlineStr">
        <is>
          <t>FirstHArvest_OpenFieldLex</t>
        </is>
      </c>
      <c r="B893" s="57" t="n">
        <v>117</v>
      </c>
      <c r="C893" s="57" t="inlineStr">
        <is>
          <t>Genotypes</t>
        </is>
      </c>
      <c r="D893" s="57" t="inlineStr">
        <is>
          <t>26-25</t>
        </is>
      </c>
      <c r="E893" s="57" t="inlineStr">
        <is>
          <t>UKYT-26-025</t>
        </is>
      </c>
      <c r="F893" s="57" t="inlineStr"/>
    </row>
    <row r="894" ht="25" customHeight="1" s="55">
      <c r="A894" s="57" t="inlineStr">
        <is>
          <t>FirstHArvest_OpenFieldLex</t>
        </is>
      </c>
      <c r="B894" s="57" t="n">
        <v>117</v>
      </c>
      <c r="C894" s="57" t="inlineStr">
        <is>
          <t>Location</t>
        </is>
      </c>
      <c r="D894" s="57" t="inlineStr"/>
      <c r="E894" s="57" t="inlineStr">
        <is>
          <t>South Farm</t>
        </is>
      </c>
      <c r="F894" s="57" t="inlineStr">
        <is>
          <t>forced_from_sheet_name</t>
        </is>
      </c>
    </row>
    <row r="895" ht="25" customHeight="1" s="55">
      <c r="A895" s="57" t="inlineStr">
        <is>
          <t>FirstHArvest_OpenFieldLex</t>
        </is>
      </c>
      <c r="B895" s="57" t="n">
        <v>117</v>
      </c>
      <c r="C895" s="57" t="inlineStr">
        <is>
          <t>Harvest</t>
        </is>
      </c>
      <c r="D895" s="57" t="inlineStr"/>
      <c r="E895" s="57" t="inlineStr">
        <is>
          <t>First</t>
        </is>
      </c>
      <c r="F895" s="57" t="inlineStr">
        <is>
          <t>forced_from_sheet_name</t>
        </is>
      </c>
    </row>
    <row r="896" ht="25" customHeight="1" s="55">
      <c r="A896" s="57" t="inlineStr">
        <is>
          <t>FirstHArvest_OpenFieldLex</t>
        </is>
      </c>
      <c r="B896" s="57" t="n">
        <v>117</v>
      </c>
      <c r="C896" s="57" t="inlineStr">
        <is>
          <t>Date of harvest</t>
        </is>
      </c>
      <c r="D896" s="57" t="inlineStr"/>
      <c r="E896" s="57" t="inlineStr">
        <is>
          <t>2026-07-23</t>
        </is>
      </c>
      <c r="F896" s="57" t="inlineStr">
        <is>
          <t>date_forced:Recorded on first row; South Farm first harvest</t>
        </is>
      </c>
    </row>
    <row r="897" ht="25" customHeight="1" s="55">
      <c r="A897" s="57" t="inlineStr">
        <is>
          <t>FirstHArvest_OpenFieldLex</t>
        </is>
      </c>
      <c r="B897" s="57" t="n">
        <v>118</v>
      </c>
      <c r="C897" s="57" t="inlineStr">
        <is>
          <t>Genotypes</t>
        </is>
      </c>
      <c r="D897" s="57" t="inlineStr">
        <is>
          <t xml:space="preserve">26-19 R2 </t>
        </is>
      </c>
      <c r="E897" s="57" t="inlineStr">
        <is>
          <t>UKYT-26-019</t>
        </is>
      </c>
      <c r="F897" s="57" t="inlineStr"/>
    </row>
    <row r="898" ht="25" customHeight="1" s="55">
      <c r="A898" s="57" t="inlineStr">
        <is>
          <t>FirstHArvest_OpenFieldLex</t>
        </is>
      </c>
      <c r="B898" s="57" t="n">
        <v>118</v>
      </c>
      <c r="C898" s="57" t="inlineStr">
        <is>
          <t>Location</t>
        </is>
      </c>
      <c r="D898" s="57" t="inlineStr"/>
      <c r="E898" s="57" t="inlineStr">
        <is>
          <t>South Farm</t>
        </is>
      </c>
      <c r="F898" s="57" t="inlineStr">
        <is>
          <t>forced_from_sheet_name</t>
        </is>
      </c>
    </row>
    <row r="899" ht="25" customHeight="1" s="55">
      <c r="A899" s="57" t="inlineStr">
        <is>
          <t>FirstHArvest_OpenFieldLex</t>
        </is>
      </c>
      <c r="B899" s="57" t="n">
        <v>118</v>
      </c>
      <c r="C899" s="57" t="inlineStr">
        <is>
          <t>Harvest</t>
        </is>
      </c>
      <c r="D899" s="57" t="inlineStr"/>
      <c r="E899" s="57" t="inlineStr">
        <is>
          <t>First</t>
        </is>
      </c>
      <c r="F899" s="57" t="inlineStr">
        <is>
          <t>forced_from_sheet_name</t>
        </is>
      </c>
    </row>
    <row r="900" ht="25" customHeight="1" s="55">
      <c r="A900" s="57" t="inlineStr">
        <is>
          <t>FirstHArvest_OpenFieldLex</t>
        </is>
      </c>
      <c r="B900" s="57" t="n">
        <v>118</v>
      </c>
      <c r="C900" s="57" t="inlineStr">
        <is>
          <t>Date of harvest</t>
        </is>
      </c>
      <c r="D900" s="57" t="inlineStr"/>
      <c r="E900" s="57" t="inlineStr">
        <is>
          <t>2026-07-23</t>
        </is>
      </c>
      <c r="F900" s="57" t="inlineStr">
        <is>
          <t>date_forced:Recorded on first row; South Farm first harvest</t>
        </is>
      </c>
    </row>
    <row r="901" ht="25" customHeight="1" s="55">
      <c r="A901" s="57" t="inlineStr">
        <is>
          <t>FirstHArvest_OpenFieldLex</t>
        </is>
      </c>
      <c r="B901" s="57" t="n">
        <v>119</v>
      </c>
      <c r="C901" s="57" t="inlineStr">
        <is>
          <t>Genotypes</t>
        </is>
      </c>
      <c r="D901" s="57" t="inlineStr">
        <is>
          <t xml:space="preserve">26-20 R3 </t>
        </is>
      </c>
      <c r="E901" s="57" t="inlineStr">
        <is>
          <t>UKYT-26-020</t>
        </is>
      </c>
      <c r="F901" s="57" t="inlineStr"/>
    </row>
    <row r="902" ht="25" customHeight="1" s="55">
      <c r="A902" s="57" t="inlineStr">
        <is>
          <t>FirstHArvest_OpenFieldLex</t>
        </is>
      </c>
      <c r="B902" s="57" t="n">
        <v>119</v>
      </c>
      <c r="C902" s="57" t="inlineStr">
        <is>
          <t>Location</t>
        </is>
      </c>
      <c r="D902" s="57" t="inlineStr"/>
      <c r="E902" s="57" t="inlineStr">
        <is>
          <t>South Farm</t>
        </is>
      </c>
      <c r="F902" s="57" t="inlineStr">
        <is>
          <t>forced_from_sheet_name</t>
        </is>
      </c>
    </row>
    <row r="903" ht="25" customHeight="1" s="55">
      <c r="A903" s="57" t="inlineStr">
        <is>
          <t>FirstHArvest_OpenFieldLex</t>
        </is>
      </c>
      <c r="B903" s="57" t="n">
        <v>119</v>
      </c>
      <c r="C903" s="57" t="inlineStr">
        <is>
          <t>Harvest</t>
        </is>
      </c>
      <c r="D903" s="57" t="inlineStr"/>
      <c r="E903" s="57" t="inlineStr">
        <is>
          <t>First</t>
        </is>
      </c>
      <c r="F903" s="57" t="inlineStr">
        <is>
          <t>forced_from_sheet_name</t>
        </is>
      </c>
    </row>
    <row r="904" ht="25" customHeight="1" s="55">
      <c r="A904" s="57" t="inlineStr">
        <is>
          <t>FirstHArvest_OpenFieldLex</t>
        </is>
      </c>
      <c r="B904" s="57" t="n">
        <v>119</v>
      </c>
      <c r="C904" s="57" t="inlineStr">
        <is>
          <t>Date of harvest</t>
        </is>
      </c>
      <c r="D904" s="57" t="inlineStr"/>
      <c r="E904" s="57" t="inlineStr">
        <is>
          <t>2026-07-23</t>
        </is>
      </c>
      <c r="F904" s="57" t="inlineStr">
        <is>
          <t>date_forced:Recorded on first row; South Farm first harvest</t>
        </is>
      </c>
    </row>
    <row r="905" ht="25" customHeight="1" s="55">
      <c r="A905" s="57" t="inlineStr">
        <is>
          <t>FirstHArvest_OpenFieldLex</t>
        </is>
      </c>
      <c r="B905" s="57" t="n">
        <v>120</v>
      </c>
      <c r="C905" s="57" t="inlineStr">
        <is>
          <t>Genotypes</t>
        </is>
      </c>
      <c r="D905" s="57" t="inlineStr">
        <is>
          <t xml:space="preserve">25-12 R2 </t>
        </is>
      </c>
      <c r="E905" s="57" t="inlineStr">
        <is>
          <t>UKYT-25-012</t>
        </is>
      </c>
      <c r="F905" s="57" t="inlineStr"/>
    </row>
    <row r="906" ht="25" customHeight="1" s="55">
      <c r="A906" s="57" t="inlineStr">
        <is>
          <t>FirstHArvest_OpenFieldLex</t>
        </is>
      </c>
      <c r="B906" s="57" t="n">
        <v>120</v>
      </c>
      <c r="C906" s="57" t="inlineStr">
        <is>
          <t>Location</t>
        </is>
      </c>
      <c r="D906" s="57" t="inlineStr"/>
      <c r="E906" s="57" t="inlineStr">
        <is>
          <t>South Farm</t>
        </is>
      </c>
      <c r="F906" s="57" t="inlineStr">
        <is>
          <t>forced_from_sheet_name</t>
        </is>
      </c>
    </row>
    <row r="907" ht="25" customHeight="1" s="55">
      <c r="A907" s="57" t="inlineStr">
        <is>
          <t>FirstHArvest_OpenFieldLex</t>
        </is>
      </c>
      <c r="B907" s="57" t="n">
        <v>120</v>
      </c>
      <c r="C907" s="57" t="inlineStr">
        <is>
          <t>Harvest</t>
        </is>
      </c>
      <c r="D907" s="57" t="inlineStr"/>
      <c r="E907" s="57" t="inlineStr">
        <is>
          <t>First</t>
        </is>
      </c>
      <c r="F907" s="57" t="inlineStr">
        <is>
          <t>forced_from_sheet_name</t>
        </is>
      </c>
    </row>
    <row r="908" ht="25" customHeight="1" s="55">
      <c r="A908" s="57" t="inlineStr">
        <is>
          <t>FirstHArvest_OpenFieldLex</t>
        </is>
      </c>
      <c r="B908" s="57" t="n">
        <v>120</v>
      </c>
      <c r="C908" s="57" t="inlineStr">
        <is>
          <t>Date of harvest</t>
        </is>
      </c>
      <c r="D908" s="57" t="inlineStr"/>
      <c r="E908" s="57" t="inlineStr">
        <is>
          <t>2026-07-23</t>
        </is>
      </c>
      <c r="F908" s="57" t="inlineStr">
        <is>
          <t>date_forced:Recorded on first row; South Farm first harvest</t>
        </is>
      </c>
    </row>
    <row r="909" ht="25" customHeight="1" s="55">
      <c r="A909" s="57" t="inlineStr">
        <is>
          <t>FirstHArvest_OpenFieldLex</t>
        </is>
      </c>
      <c r="B909" s="57" t="n">
        <v>121</v>
      </c>
      <c r="C909" s="57" t="inlineStr">
        <is>
          <t>Genotypes</t>
        </is>
      </c>
      <c r="D909" s="57" t="inlineStr">
        <is>
          <t xml:space="preserve">25-11 R2 </t>
        </is>
      </c>
      <c r="E909" s="57" t="inlineStr">
        <is>
          <t>UKYT-25-011</t>
        </is>
      </c>
      <c r="F909" s="57" t="inlineStr"/>
    </row>
    <row r="910" ht="25" customHeight="1" s="55">
      <c r="A910" s="57" t="inlineStr">
        <is>
          <t>FirstHArvest_OpenFieldLex</t>
        </is>
      </c>
      <c r="B910" s="57" t="n">
        <v>121</v>
      </c>
      <c r="C910" s="57" t="inlineStr">
        <is>
          <t>Location</t>
        </is>
      </c>
      <c r="D910" s="57" t="inlineStr"/>
      <c r="E910" s="57" t="inlineStr">
        <is>
          <t>South Farm</t>
        </is>
      </c>
      <c r="F910" s="57" t="inlineStr">
        <is>
          <t>forced_from_sheet_name</t>
        </is>
      </c>
    </row>
    <row r="911" ht="25" customHeight="1" s="55">
      <c r="A911" s="57" t="inlineStr">
        <is>
          <t>FirstHArvest_OpenFieldLex</t>
        </is>
      </c>
      <c r="B911" s="57" t="n">
        <v>121</v>
      </c>
      <c r="C911" s="57" t="inlineStr">
        <is>
          <t>Harvest</t>
        </is>
      </c>
      <c r="D911" s="57" t="inlineStr"/>
      <c r="E911" s="57" t="inlineStr">
        <is>
          <t>First</t>
        </is>
      </c>
      <c r="F911" s="57" t="inlineStr">
        <is>
          <t>forced_from_sheet_name</t>
        </is>
      </c>
    </row>
    <row r="912" ht="25" customHeight="1" s="55">
      <c r="A912" s="57" t="inlineStr">
        <is>
          <t>FirstHArvest_OpenFieldLex</t>
        </is>
      </c>
      <c r="B912" s="57" t="n">
        <v>121</v>
      </c>
      <c r="C912" s="57" t="inlineStr">
        <is>
          <t>Date of harvest</t>
        </is>
      </c>
      <c r="D912" s="57" t="inlineStr"/>
      <c r="E912" s="57" t="inlineStr">
        <is>
          <t>2026-07-23</t>
        </is>
      </c>
      <c r="F912" s="57" t="inlineStr">
        <is>
          <t>date_forced:Recorded on first row; South Farm first harvest</t>
        </is>
      </c>
    </row>
    <row r="913" ht="25" customHeight="1" s="55">
      <c r="A913" s="57" t="inlineStr">
        <is>
          <t>FirstHArvest_OpenFieldLex</t>
        </is>
      </c>
      <c r="B913" s="57" t="n">
        <v>122</v>
      </c>
      <c r="C913" s="57" t="inlineStr">
        <is>
          <t>Genotypes</t>
        </is>
      </c>
      <c r="D913" s="57" t="inlineStr">
        <is>
          <t xml:space="preserve">25-10 R2 </t>
        </is>
      </c>
      <c r="E913" s="57" t="inlineStr">
        <is>
          <t>UKYT-25-010</t>
        </is>
      </c>
      <c r="F913" s="57" t="inlineStr"/>
    </row>
    <row r="914" ht="25" customHeight="1" s="55">
      <c r="A914" s="57" t="inlineStr">
        <is>
          <t>FirstHArvest_OpenFieldLex</t>
        </is>
      </c>
      <c r="B914" s="57" t="n">
        <v>122</v>
      </c>
      <c r="C914" s="57" t="inlineStr">
        <is>
          <t>Location</t>
        </is>
      </c>
      <c r="D914" s="57" t="inlineStr"/>
      <c r="E914" s="57" t="inlineStr">
        <is>
          <t>South Farm</t>
        </is>
      </c>
      <c r="F914" s="57" t="inlineStr">
        <is>
          <t>forced_from_sheet_name</t>
        </is>
      </c>
    </row>
    <row r="915" ht="25" customHeight="1" s="55">
      <c r="A915" s="57" t="inlineStr">
        <is>
          <t>FirstHArvest_OpenFieldLex</t>
        </is>
      </c>
      <c r="B915" s="57" t="n">
        <v>122</v>
      </c>
      <c r="C915" s="57" t="inlineStr">
        <is>
          <t>Harvest</t>
        </is>
      </c>
      <c r="D915" s="57" t="inlineStr"/>
      <c r="E915" s="57" t="inlineStr">
        <is>
          <t>First</t>
        </is>
      </c>
      <c r="F915" s="57" t="inlineStr">
        <is>
          <t>forced_from_sheet_name</t>
        </is>
      </c>
    </row>
    <row r="916" ht="25" customHeight="1" s="55">
      <c r="A916" s="57" t="inlineStr">
        <is>
          <t>FirstHArvest_OpenFieldLex</t>
        </is>
      </c>
      <c r="B916" s="57" t="n">
        <v>122</v>
      </c>
      <c r="C916" s="57" t="inlineStr">
        <is>
          <t>Date of harvest</t>
        </is>
      </c>
      <c r="D916" s="57" t="inlineStr"/>
      <c r="E916" s="57" t="inlineStr">
        <is>
          <t>2026-07-23</t>
        </is>
      </c>
      <c r="F916" s="57" t="inlineStr">
        <is>
          <t>date_forced:Recorded on first row; South Farm first harvest</t>
        </is>
      </c>
    </row>
    <row r="917" ht="25" customHeight="1" s="55">
      <c r="A917" s="57" t="inlineStr">
        <is>
          <t>FirstHArvest_OpenFieldLex</t>
        </is>
      </c>
      <c r="B917" s="57" t="n">
        <v>123</v>
      </c>
      <c r="C917" s="57" t="inlineStr">
        <is>
          <t>Genotypes</t>
        </is>
      </c>
      <c r="D917" s="57" t="inlineStr">
        <is>
          <t>25-18</t>
        </is>
      </c>
      <c r="E917" s="57" t="inlineStr">
        <is>
          <t>UKYT-25-018</t>
        </is>
      </c>
      <c r="F917" s="57" t="inlineStr"/>
    </row>
    <row r="918" ht="25" customHeight="1" s="55">
      <c r="A918" s="57" t="inlineStr">
        <is>
          <t>FirstHArvest_OpenFieldLex</t>
        </is>
      </c>
      <c r="B918" s="57" t="n">
        <v>123</v>
      </c>
      <c r="C918" s="57" t="inlineStr">
        <is>
          <t>Location</t>
        </is>
      </c>
      <c r="D918" s="57" t="inlineStr"/>
      <c r="E918" s="57" t="inlineStr">
        <is>
          <t>South Farm</t>
        </is>
      </c>
      <c r="F918" s="57" t="inlineStr">
        <is>
          <t>forced_from_sheet_name</t>
        </is>
      </c>
    </row>
    <row r="919" ht="25" customHeight="1" s="55">
      <c r="A919" s="57" t="inlineStr">
        <is>
          <t>FirstHArvest_OpenFieldLex</t>
        </is>
      </c>
      <c r="B919" s="57" t="n">
        <v>123</v>
      </c>
      <c r="C919" s="57" t="inlineStr">
        <is>
          <t>Harvest</t>
        </is>
      </c>
      <c r="D919" s="57" t="inlineStr"/>
      <c r="E919" s="57" t="inlineStr">
        <is>
          <t>First</t>
        </is>
      </c>
      <c r="F919" s="57" t="inlineStr">
        <is>
          <t>forced_from_sheet_name</t>
        </is>
      </c>
    </row>
    <row r="920" ht="25" customHeight="1" s="55">
      <c r="A920" s="57" t="inlineStr">
        <is>
          <t>FirstHArvest_OpenFieldLex</t>
        </is>
      </c>
      <c r="B920" s="57" t="n">
        <v>123</v>
      </c>
      <c r="C920" s="57" t="inlineStr">
        <is>
          <t>Date of harvest</t>
        </is>
      </c>
      <c r="D920" s="57" t="inlineStr"/>
      <c r="E920" s="57" t="inlineStr">
        <is>
          <t>2026-07-23</t>
        </is>
      </c>
      <c r="F920" s="57" t="inlineStr">
        <is>
          <t>date_forced:Recorded on first row; South Farm first harvest</t>
        </is>
      </c>
    </row>
    <row r="921" ht="25" customHeight="1" s="55">
      <c r="A921" s="57" t="inlineStr">
        <is>
          <t>FirstHArvest_OpenFieldLex</t>
        </is>
      </c>
      <c r="B921" s="57" t="n">
        <v>124</v>
      </c>
      <c r="C921" s="57" t="inlineStr">
        <is>
          <t>Genotypes</t>
        </is>
      </c>
      <c r="D921" s="57" t="inlineStr">
        <is>
          <t>26-18 R2</t>
        </is>
      </c>
      <c r="E921" s="57" t="inlineStr">
        <is>
          <t>UKYT-26-018</t>
        </is>
      </c>
      <c r="F921" s="57" t="inlineStr"/>
    </row>
    <row r="922" ht="25" customHeight="1" s="55">
      <c r="A922" s="57" t="inlineStr">
        <is>
          <t>FirstHArvest_OpenFieldLex</t>
        </is>
      </c>
      <c r="B922" s="57" t="n">
        <v>124</v>
      </c>
      <c r="C922" s="57" t="inlineStr">
        <is>
          <t>Location</t>
        </is>
      </c>
      <c r="D922" s="57" t="inlineStr"/>
      <c r="E922" s="57" t="inlineStr">
        <is>
          <t>South Farm</t>
        </is>
      </c>
      <c r="F922" s="57" t="inlineStr">
        <is>
          <t>forced_from_sheet_name</t>
        </is>
      </c>
    </row>
    <row r="923" ht="25" customHeight="1" s="55">
      <c r="A923" s="57" t="inlineStr">
        <is>
          <t>FirstHArvest_OpenFieldLex</t>
        </is>
      </c>
      <c r="B923" s="57" t="n">
        <v>124</v>
      </c>
      <c r="C923" s="57" t="inlineStr">
        <is>
          <t>Harvest</t>
        </is>
      </c>
      <c r="D923" s="57" t="inlineStr"/>
      <c r="E923" s="57" t="inlineStr">
        <is>
          <t>First</t>
        </is>
      </c>
      <c r="F923" s="57" t="inlineStr">
        <is>
          <t>forced_from_sheet_name</t>
        </is>
      </c>
    </row>
    <row r="924" ht="25" customHeight="1" s="55">
      <c r="A924" s="57" t="inlineStr">
        <is>
          <t>FirstHArvest_OpenFieldLex</t>
        </is>
      </c>
      <c r="B924" s="57" t="n">
        <v>124</v>
      </c>
      <c r="C924" s="57" t="inlineStr">
        <is>
          <t>Date of harvest</t>
        </is>
      </c>
      <c r="D924" s="57" t="inlineStr"/>
      <c r="E924" s="57" t="inlineStr">
        <is>
          <t>2026-07-23</t>
        </is>
      </c>
      <c r="F924" s="57" t="inlineStr">
        <is>
          <t>date_forced:Recorded on first row; South Farm first harvest</t>
        </is>
      </c>
    </row>
    <row r="925" ht="25" customHeight="1" s="55">
      <c r="A925" s="57" t="inlineStr">
        <is>
          <t>FirstHArvest_OpenFieldLex</t>
        </is>
      </c>
      <c r="B925" s="57" t="n">
        <v>125</v>
      </c>
      <c r="C925" s="57" t="inlineStr">
        <is>
          <t>Genotypes</t>
        </is>
      </c>
      <c r="D925" s="57" t="inlineStr">
        <is>
          <t>26-28 R1</t>
        </is>
      </c>
      <c r="E925" s="57" t="inlineStr">
        <is>
          <t>UKYT-26-028</t>
        </is>
      </c>
      <c r="F925" s="57" t="inlineStr"/>
    </row>
    <row r="926" ht="25" customHeight="1" s="55">
      <c r="A926" s="57" t="inlineStr">
        <is>
          <t>FirstHArvest_OpenFieldLex</t>
        </is>
      </c>
      <c r="B926" s="57" t="n">
        <v>125</v>
      </c>
      <c r="C926" s="57" t="inlineStr">
        <is>
          <t>Location</t>
        </is>
      </c>
      <c r="D926" s="57" t="inlineStr"/>
      <c r="E926" s="57" t="inlineStr">
        <is>
          <t>South Farm</t>
        </is>
      </c>
      <c r="F926" s="57" t="inlineStr">
        <is>
          <t>forced_from_sheet_name</t>
        </is>
      </c>
    </row>
    <row r="927" ht="25" customHeight="1" s="55">
      <c r="A927" s="57" t="inlineStr">
        <is>
          <t>FirstHArvest_OpenFieldLex</t>
        </is>
      </c>
      <c r="B927" s="57" t="n">
        <v>125</v>
      </c>
      <c r="C927" s="57" t="inlineStr">
        <is>
          <t>Harvest</t>
        </is>
      </c>
      <c r="D927" s="57" t="inlineStr"/>
      <c r="E927" s="57" t="inlineStr">
        <is>
          <t>First</t>
        </is>
      </c>
      <c r="F927" s="57" t="inlineStr">
        <is>
          <t>forced_from_sheet_name</t>
        </is>
      </c>
    </row>
    <row r="928" ht="25" customHeight="1" s="55">
      <c r="A928" s="57" t="inlineStr">
        <is>
          <t>FirstHArvest_OpenFieldLex</t>
        </is>
      </c>
      <c r="B928" s="57" t="n">
        <v>125</v>
      </c>
      <c r="C928" s="57" t="inlineStr">
        <is>
          <t>Date of harvest</t>
        </is>
      </c>
      <c r="D928" s="57" t="inlineStr"/>
      <c r="E928" s="57" t="inlineStr">
        <is>
          <t>2026-07-23</t>
        </is>
      </c>
      <c r="F928" s="57" t="inlineStr">
        <is>
          <t>date_forced:Recorded on first row; South Farm first harvest</t>
        </is>
      </c>
    </row>
    <row r="929" ht="25" customHeight="1" s="55">
      <c r="A929" s="57" t="inlineStr">
        <is>
          <t>FirstHArvest_OpenFieldLex</t>
        </is>
      </c>
      <c r="B929" s="57" t="n">
        <v>126</v>
      </c>
      <c r="C929" s="57" t="inlineStr">
        <is>
          <t>Genotypes</t>
        </is>
      </c>
      <c r="D929" s="57" t="inlineStr">
        <is>
          <t>26-27</t>
        </is>
      </c>
      <c r="E929" s="57" t="inlineStr">
        <is>
          <t>UKYT-26-027</t>
        </is>
      </c>
      <c r="F929" s="57" t="inlineStr"/>
    </row>
    <row r="930" ht="25" customHeight="1" s="55">
      <c r="A930" s="57" t="inlineStr">
        <is>
          <t>FirstHArvest_OpenFieldLex</t>
        </is>
      </c>
      <c r="B930" s="57" t="n">
        <v>126</v>
      </c>
      <c r="C930" s="57" t="inlineStr">
        <is>
          <t>Location</t>
        </is>
      </c>
      <c r="D930" s="57" t="inlineStr"/>
      <c r="E930" s="57" t="inlineStr">
        <is>
          <t>South Farm</t>
        </is>
      </c>
      <c r="F930" s="57" t="inlineStr">
        <is>
          <t>forced_from_sheet_name</t>
        </is>
      </c>
    </row>
    <row r="931" ht="25" customHeight="1" s="55">
      <c r="A931" s="57" t="inlineStr">
        <is>
          <t>FirstHArvest_OpenFieldLex</t>
        </is>
      </c>
      <c r="B931" s="57" t="n">
        <v>126</v>
      </c>
      <c r="C931" s="57" t="inlineStr">
        <is>
          <t>Harvest</t>
        </is>
      </c>
      <c r="D931" s="57" t="inlineStr"/>
      <c r="E931" s="57" t="inlineStr">
        <is>
          <t>First</t>
        </is>
      </c>
      <c r="F931" s="57" t="inlineStr">
        <is>
          <t>forced_from_sheet_name</t>
        </is>
      </c>
    </row>
    <row r="932" ht="25" customHeight="1" s="55">
      <c r="A932" s="57" t="inlineStr">
        <is>
          <t>FirstHArvest_OpenFieldLex</t>
        </is>
      </c>
      <c r="B932" s="57" t="n">
        <v>126</v>
      </c>
      <c r="C932" s="57" t="inlineStr">
        <is>
          <t>Date of harvest</t>
        </is>
      </c>
      <c r="D932" s="57" t="inlineStr"/>
      <c r="E932" s="57" t="inlineStr">
        <is>
          <t>2026-07-23</t>
        </is>
      </c>
      <c r="F932" s="57" t="inlineStr">
        <is>
          <t>date_forced:Recorded on first row; South Farm first harvest</t>
        </is>
      </c>
    </row>
    <row r="933" ht="25" customHeight="1" s="55">
      <c r="A933" s="57" t="inlineStr">
        <is>
          <t>FirstHArvest_OpenFieldLex</t>
        </is>
      </c>
      <c r="B933" s="57" t="n">
        <v>127</v>
      </c>
      <c r="C933" s="57" t="inlineStr">
        <is>
          <t>Genotypes</t>
        </is>
      </c>
      <c r="D933" s="57" t="inlineStr">
        <is>
          <t>26-23 R1</t>
        </is>
      </c>
      <c r="E933" s="57" t="inlineStr">
        <is>
          <t>UKYT-26-023</t>
        </is>
      </c>
      <c r="F933" s="57" t="inlineStr"/>
    </row>
    <row r="934" ht="25" customHeight="1" s="55">
      <c r="A934" s="57" t="inlineStr">
        <is>
          <t>FirstHArvest_OpenFieldLex</t>
        </is>
      </c>
      <c r="B934" s="57" t="n">
        <v>127</v>
      </c>
      <c r="C934" s="57" t="inlineStr">
        <is>
          <t>Location</t>
        </is>
      </c>
      <c r="D934" s="57" t="inlineStr"/>
      <c r="E934" s="57" t="inlineStr">
        <is>
          <t>South Farm</t>
        </is>
      </c>
      <c r="F934" s="57" t="inlineStr">
        <is>
          <t>forced_from_sheet_name</t>
        </is>
      </c>
    </row>
    <row r="935" ht="25" customHeight="1" s="55">
      <c r="A935" s="57" t="inlineStr">
        <is>
          <t>FirstHArvest_OpenFieldLex</t>
        </is>
      </c>
      <c r="B935" s="57" t="n">
        <v>127</v>
      </c>
      <c r="C935" s="57" t="inlineStr">
        <is>
          <t>Harvest</t>
        </is>
      </c>
      <c r="D935" s="57" t="inlineStr"/>
      <c r="E935" s="57" t="inlineStr">
        <is>
          <t>First</t>
        </is>
      </c>
      <c r="F935" s="57" t="inlineStr">
        <is>
          <t>forced_from_sheet_name</t>
        </is>
      </c>
    </row>
    <row r="936" ht="25" customHeight="1" s="55">
      <c r="A936" s="57" t="inlineStr">
        <is>
          <t>FirstHArvest_OpenFieldLex</t>
        </is>
      </c>
      <c r="B936" s="57" t="n">
        <v>127</v>
      </c>
      <c r="C936" s="57" t="inlineStr">
        <is>
          <t>Date of harvest</t>
        </is>
      </c>
      <c r="D936" s="57" t="inlineStr"/>
      <c r="E936" s="57" t="inlineStr">
        <is>
          <t>2026-07-23</t>
        </is>
      </c>
      <c r="F936" s="57" t="inlineStr">
        <is>
          <t>date_forced:Recorded on first row; South Farm first harvest</t>
        </is>
      </c>
    </row>
    <row r="937" ht="25" customHeight="1" s="55">
      <c r="A937" s="57" t="inlineStr">
        <is>
          <t>FirstHArvest_OpenFieldLex</t>
        </is>
      </c>
      <c r="B937" s="57" t="n">
        <v>128</v>
      </c>
      <c r="C937" s="57" t="inlineStr">
        <is>
          <t>Genotypes</t>
        </is>
      </c>
      <c r="D937" s="57" t="inlineStr">
        <is>
          <t xml:space="preserve">26-15 R2 </t>
        </is>
      </c>
      <c r="E937" s="57" t="inlineStr">
        <is>
          <t>UKYT-26-015</t>
        </is>
      </c>
      <c r="F937" s="57" t="inlineStr"/>
    </row>
    <row r="938" ht="25" customHeight="1" s="55">
      <c r="A938" s="57" t="inlineStr">
        <is>
          <t>FirstHArvest_OpenFieldLex</t>
        </is>
      </c>
      <c r="B938" s="57" t="n">
        <v>128</v>
      </c>
      <c r="C938" s="57" t="inlineStr">
        <is>
          <t>Location</t>
        </is>
      </c>
      <c r="D938" s="57" t="inlineStr"/>
      <c r="E938" s="57" t="inlineStr">
        <is>
          <t>South Farm</t>
        </is>
      </c>
      <c r="F938" s="57" t="inlineStr">
        <is>
          <t>forced_from_sheet_name</t>
        </is>
      </c>
    </row>
    <row r="939" ht="25" customHeight="1" s="55">
      <c r="A939" s="57" t="inlineStr">
        <is>
          <t>FirstHArvest_OpenFieldLex</t>
        </is>
      </c>
      <c r="B939" s="57" t="n">
        <v>128</v>
      </c>
      <c r="C939" s="57" t="inlineStr">
        <is>
          <t>Harvest</t>
        </is>
      </c>
      <c r="D939" s="57" t="inlineStr"/>
      <c r="E939" s="57" t="inlineStr">
        <is>
          <t>First</t>
        </is>
      </c>
      <c r="F939" s="57" t="inlineStr">
        <is>
          <t>forced_from_sheet_name</t>
        </is>
      </c>
    </row>
    <row r="940" ht="25" customHeight="1" s="55">
      <c r="A940" s="57" t="inlineStr">
        <is>
          <t>FirstHArvest_OpenFieldLex</t>
        </is>
      </c>
      <c r="B940" s="57" t="n">
        <v>128</v>
      </c>
      <c r="C940" s="57" t="inlineStr">
        <is>
          <t>Date of harvest</t>
        </is>
      </c>
      <c r="D940" s="57" t="inlineStr"/>
      <c r="E940" s="57" t="inlineStr">
        <is>
          <t>2026-07-23</t>
        </is>
      </c>
      <c r="F940" s="57" t="inlineStr">
        <is>
          <t>date_forced:Recorded on first row; South Farm first harvest</t>
        </is>
      </c>
    </row>
    <row r="941" ht="25" customHeight="1" s="55">
      <c r="A941" s="57" t="inlineStr">
        <is>
          <t>FirstHArvest_OpenFieldLex</t>
        </is>
      </c>
      <c r="B941" s="57" t="n">
        <v>129</v>
      </c>
      <c r="C941" s="57" t="inlineStr">
        <is>
          <t>Genotypes</t>
        </is>
      </c>
      <c r="D941" s="57" t="inlineStr">
        <is>
          <t xml:space="preserve">26-34 R1 </t>
        </is>
      </c>
      <c r="E941" s="57" t="inlineStr">
        <is>
          <t>UKYT-26-034</t>
        </is>
      </c>
      <c r="F941" s="57" t="inlineStr"/>
    </row>
    <row r="942" ht="25" customHeight="1" s="55">
      <c r="A942" s="57" t="inlineStr">
        <is>
          <t>FirstHArvest_OpenFieldLex</t>
        </is>
      </c>
      <c r="B942" s="57" t="n">
        <v>129</v>
      </c>
      <c r="C942" s="57" t="inlineStr">
        <is>
          <t>Location</t>
        </is>
      </c>
      <c r="D942" s="57" t="inlineStr"/>
      <c r="E942" s="57" t="inlineStr">
        <is>
          <t>South Farm</t>
        </is>
      </c>
      <c r="F942" s="57" t="inlineStr">
        <is>
          <t>forced_from_sheet_name</t>
        </is>
      </c>
    </row>
    <row r="943" ht="25" customHeight="1" s="55">
      <c r="A943" s="57" t="inlineStr">
        <is>
          <t>FirstHArvest_OpenFieldLex</t>
        </is>
      </c>
      <c r="B943" s="57" t="n">
        <v>129</v>
      </c>
      <c r="C943" s="57" t="inlineStr">
        <is>
          <t>Harvest</t>
        </is>
      </c>
      <c r="D943" s="57" t="inlineStr"/>
      <c r="E943" s="57" t="inlineStr">
        <is>
          <t>First</t>
        </is>
      </c>
      <c r="F943" s="57" t="inlineStr">
        <is>
          <t>forced_from_sheet_name</t>
        </is>
      </c>
    </row>
    <row r="944" ht="25" customHeight="1" s="55">
      <c r="A944" s="57" t="inlineStr">
        <is>
          <t>FirstHArvest_OpenFieldLex</t>
        </is>
      </c>
      <c r="B944" s="57" t="n">
        <v>129</v>
      </c>
      <c r="C944" s="57" t="inlineStr">
        <is>
          <t>Date of harvest</t>
        </is>
      </c>
      <c r="D944" s="57" t="inlineStr"/>
      <c r="E944" s="57" t="inlineStr">
        <is>
          <t>2026-07-23</t>
        </is>
      </c>
      <c r="F944" s="57" t="inlineStr">
        <is>
          <t>date_forced:Recorded on first row; South Farm first harvest</t>
        </is>
      </c>
    </row>
    <row r="945" ht="25" customHeight="1" s="55">
      <c r="A945" s="57" t="inlineStr">
        <is>
          <t>FirstHArvest_OpenFieldLex</t>
        </is>
      </c>
      <c r="B945" s="57" t="n">
        <v>130</v>
      </c>
      <c r="C945" s="57" t="inlineStr">
        <is>
          <t>Genotypes</t>
        </is>
      </c>
      <c r="D945" s="57" t="inlineStr">
        <is>
          <t>267-5 R3</t>
        </is>
      </c>
      <c r="E945" s="57" t="inlineStr">
        <is>
          <t>267</t>
        </is>
      </c>
      <c r="F945" s="57" t="inlineStr"/>
    </row>
    <row r="946" ht="25" customHeight="1" s="55">
      <c r="A946" s="57" t="inlineStr">
        <is>
          <t>FirstHArvest_OpenFieldLex</t>
        </is>
      </c>
      <c r="B946" s="57" t="n">
        <v>130</v>
      </c>
      <c r="C946" s="57" t="inlineStr">
        <is>
          <t>Location</t>
        </is>
      </c>
      <c r="D946" s="57" t="inlineStr"/>
      <c r="E946" s="57" t="inlineStr">
        <is>
          <t>South Farm</t>
        </is>
      </c>
      <c r="F946" s="57" t="inlineStr">
        <is>
          <t>forced_from_sheet_name</t>
        </is>
      </c>
    </row>
    <row r="947" ht="25" customHeight="1" s="55">
      <c r="A947" s="57" t="inlineStr">
        <is>
          <t>FirstHArvest_OpenFieldLex</t>
        </is>
      </c>
      <c r="B947" s="57" t="n">
        <v>130</v>
      </c>
      <c r="C947" s="57" t="inlineStr">
        <is>
          <t>Harvest</t>
        </is>
      </c>
      <c r="D947" s="57" t="inlineStr"/>
      <c r="E947" s="57" t="inlineStr">
        <is>
          <t>First</t>
        </is>
      </c>
      <c r="F947" s="57" t="inlineStr">
        <is>
          <t>forced_from_sheet_name</t>
        </is>
      </c>
    </row>
    <row r="948" ht="25" customHeight="1" s="55">
      <c r="A948" s="57" t="inlineStr">
        <is>
          <t>FirstHArvest_OpenFieldLex</t>
        </is>
      </c>
      <c r="B948" s="57" t="n">
        <v>130</v>
      </c>
      <c r="C948" s="57" t="inlineStr">
        <is>
          <t>Date of harvest</t>
        </is>
      </c>
      <c r="D948" s="57" t="inlineStr"/>
      <c r="E948" s="57" t="inlineStr">
        <is>
          <t>2026-07-23</t>
        </is>
      </c>
      <c r="F948" s="57" t="inlineStr">
        <is>
          <t>date_forced:Recorded on first row; South Farm first harvest</t>
        </is>
      </c>
    </row>
    <row r="949" ht="25" customHeight="1" s="55">
      <c r="A949" s="57" t="inlineStr">
        <is>
          <t>FirstHArvest_OpenFieldLex</t>
        </is>
      </c>
      <c r="B949" s="57" t="n">
        <v>131</v>
      </c>
      <c r="C949" s="57" t="inlineStr">
        <is>
          <t>Genotypes</t>
        </is>
      </c>
      <c r="D949" s="57" t="inlineStr">
        <is>
          <t>26-3 R3</t>
        </is>
      </c>
      <c r="E949" s="57" t="inlineStr">
        <is>
          <t>UKYT-26-003</t>
        </is>
      </c>
      <c r="F949" s="57" t="inlineStr"/>
    </row>
    <row r="950" ht="25" customHeight="1" s="55">
      <c r="A950" s="57" t="inlineStr">
        <is>
          <t>FirstHArvest_OpenFieldLex</t>
        </is>
      </c>
      <c r="B950" s="57" t="n">
        <v>131</v>
      </c>
      <c r="C950" s="57" t="inlineStr">
        <is>
          <t>Location</t>
        </is>
      </c>
      <c r="D950" s="57" t="inlineStr"/>
      <c r="E950" s="57" t="inlineStr">
        <is>
          <t>South Farm</t>
        </is>
      </c>
      <c r="F950" s="57" t="inlineStr">
        <is>
          <t>forced_from_sheet_name</t>
        </is>
      </c>
    </row>
    <row r="951" ht="25" customHeight="1" s="55">
      <c r="A951" s="57" t="inlineStr">
        <is>
          <t>FirstHArvest_OpenFieldLex</t>
        </is>
      </c>
      <c r="B951" s="57" t="n">
        <v>131</v>
      </c>
      <c r="C951" s="57" t="inlineStr">
        <is>
          <t>Harvest</t>
        </is>
      </c>
      <c r="D951" s="57" t="inlineStr"/>
      <c r="E951" s="57" t="inlineStr">
        <is>
          <t>First</t>
        </is>
      </c>
      <c r="F951" s="57" t="inlineStr">
        <is>
          <t>forced_from_sheet_name</t>
        </is>
      </c>
    </row>
    <row r="952" ht="25" customHeight="1" s="55">
      <c r="A952" s="57" t="inlineStr">
        <is>
          <t>FirstHArvest_OpenFieldLex</t>
        </is>
      </c>
      <c r="B952" s="57" t="n">
        <v>131</v>
      </c>
      <c r="C952" s="57" t="inlineStr">
        <is>
          <t>Date of harvest</t>
        </is>
      </c>
      <c r="D952" s="57" t="inlineStr"/>
      <c r="E952" s="57" t="inlineStr">
        <is>
          <t>2026-07-23</t>
        </is>
      </c>
      <c r="F952" s="57" t="inlineStr">
        <is>
          <t>date_forced:Recorded on first row; South Farm first harvest</t>
        </is>
      </c>
    </row>
    <row r="953" ht="25" customHeight="1" s="55">
      <c r="A953" s="57" t="inlineStr">
        <is>
          <t>FirstHArvest_OpenFieldLex</t>
        </is>
      </c>
      <c r="B953" s="57" t="n">
        <v>132</v>
      </c>
      <c r="C953" s="57" t="inlineStr">
        <is>
          <t>Genotypes</t>
        </is>
      </c>
      <c r="D953" s="57" t="inlineStr">
        <is>
          <t xml:space="preserve">26-21 R1 </t>
        </is>
      </c>
      <c r="E953" s="57" t="inlineStr">
        <is>
          <t>UKYT-26-021</t>
        </is>
      </c>
      <c r="F953" s="57" t="inlineStr"/>
    </row>
    <row r="954" ht="25" customHeight="1" s="55">
      <c r="A954" s="57" t="inlineStr">
        <is>
          <t>FirstHArvest_OpenFieldLex</t>
        </is>
      </c>
      <c r="B954" s="57" t="n">
        <v>132</v>
      </c>
      <c r="C954" s="57" t="inlineStr">
        <is>
          <t>Location</t>
        </is>
      </c>
      <c r="D954" s="57" t="inlineStr"/>
      <c r="E954" s="57" t="inlineStr">
        <is>
          <t>South Farm</t>
        </is>
      </c>
      <c r="F954" s="57" t="inlineStr">
        <is>
          <t>forced_from_sheet_name</t>
        </is>
      </c>
    </row>
    <row r="955" ht="25" customHeight="1" s="55">
      <c r="A955" s="57" t="inlineStr">
        <is>
          <t>FirstHArvest_OpenFieldLex</t>
        </is>
      </c>
      <c r="B955" s="57" t="n">
        <v>132</v>
      </c>
      <c r="C955" s="57" t="inlineStr">
        <is>
          <t>Harvest</t>
        </is>
      </c>
      <c r="D955" s="57" t="inlineStr"/>
      <c r="E955" s="57" t="inlineStr">
        <is>
          <t>First</t>
        </is>
      </c>
      <c r="F955" s="57" t="inlineStr">
        <is>
          <t>forced_from_sheet_name</t>
        </is>
      </c>
    </row>
    <row r="956" ht="25" customHeight="1" s="55">
      <c r="A956" s="57" t="inlineStr">
        <is>
          <t>FirstHArvest_OpenFieldLex</t>
        </is>
      </c>
      <c r="B956" s="57" t="n">
        <v>132</v>
      </c>
      <c r="C956" s="57" t="inlineStr">
        <is>
          <t>Date of harvest</t>
        </is>
      </c>
      <c r="D956" s="57" t="inlineStr"/>
      <c r="E956" s="57" t="inlineStr">
        <is>
          <t>2026-07-23</t>
        </is>
      </c>
      <c r="F956" s="57" t="inlineStr">
        <is>
          <t>date_forced:Recorded on first row; South Farm first harvest</t>
        </is>
      </c>
    </row>
    <row r="957" ht="25" customHeight="1" s="55">
      <c r="A957" s="57" t="inlineStr">
        <is>
          <t>FirstHArvest_OpenFieldLex</t>
        </is>
      </c>
      <c r="B957" s="57" t="n">
        <v>133</v>
      </c>
      <c r="C957" s="57" t="inlineStr">
        <is>
          <t>Genotypes</t>
        </is>
      </c>
      <c r="D957" s="57" t="inlineStr">
        <is>
          <t>26-20 R1</t>
        </is>
      </c>
      <c r="E957" s="57" t="inlineStr">
        <is>
          <t>UKYT-26-020</t>
        </is>
      </c>
      <c r="F957" s="57" t="inlineStr"/>
    </row>
    <row r="958" ht="25" customHeight="1" s="55">
      <c r="A958" s="57" t="inlineStr">
        <is>
          <t>FirstHArvest_OpenFieldLex</t>
        </is>
      </c>
      <c r="B958" s="57" t="n">
        <v>133</v>
      </c>
      <c r="C958" s="57" t="inlineStr">
        <is>
          <t>Location</t>
        </is>
      </c>
      <c r="D958" s="57" t="inlineStr"/>
      <c r="E958" s="57" t="inlineStr">
        <is>
          <t>South Farm</t>
        </is>
      </c>
      <c r="F958" s="57" t="inlineStr">
        <is>
          <t>forced_from_sheet_name</t>
        </is>
      </c>
    </row>
    <row r="959" ht="25" customHeight="1" s="55">
      <c r="A959" s="57" t="inlineStr">
        <is>
          <t>FirstHArvest_OpenFieldLex</t>
        </is>
      </c>
      <c r="B959" s="57" t="n">
        <v>133</v>
      </c>
      <c r="C959" s="57" t="inlineStr">
        <is>
          <t>Harvest</t>
        </is>
      </c>
      <c r="D959" s="57" t="inlineStr"/>
      <c r="E959" s="57" t="inlineStr">
        <is>
          <t>First</t>
        </is>
      </c>
      <c r="F959" s="57" t="inlineStr">
        <is>
          <t>forced_from_sheet_name</t>
        </is>
      </c>
    </row>
    <row r="960" ht="25" customHeight="1" s="55">
      <c r="A960" s="57" t="inlineStr">
        <is>
          <t>FirstHArvest_OpenFieldLex</t>
        </is>
      </c>
      <c r="B960" s="57" t="n">
        <v>133</v>
      </c>
      <c r="C960" s="57" t="inlineStr">
        <is>
          <t>Date of harvest</t>
        </is>
      </c>
      <c r="D960" s="57" t="inlineStr"/>
      <c r="E960" s="57" t="inlineStr">
        <is>
          <t>2026-07-23</t>
        </is>
      </c>
      <c r="F960" s="57" t="inlineStr">
        <is>
          <t>date_forced:Recorded on first row; South Farm first harvest</t>
        </is>
      </c>
    </row>
    <row r="961" ht="25" customHeight="1" s="55">
      <c r="A961" s="57" t="inlineStr">
        <is>
          <t>FirstHArvest_OpenFieldLex</t>
        </is>
      </c>
      <c r="B961" s="57" t="n">
        <v>134</v>
      </c>
      <c r="C961" s="57" t="inlineStr">
        <is>
          <t>Genotypes</t>
        </is>
      </c>
      <c r="D961" s="57" t="inlineStr">
        <is>
          <t>26-1 R2</t>
        </is>
      </c>
      <c r="E961" s="57" t="inlineStr">
        <is>
          <t>UKYT-26-001</t>
        </is>
      </c>
      <c r="F961" s="57" t="inlineStr"/>
    </row>
    <row r="962" ht="25" customHeight="1" s="55">
      <c r="A962" s="57" t="inlineStr">
        <is>
          <t>FirstHArvest_OpenFieldLex</t>
        </is>
      </c>
      <c r="B962" s="57" t="n">
        <v>134</v>
      </c>
      <c r="C962" s="57" t="inlineStr">
        <is>
          <t>Location</t>
        </is>
      </c>
      <c r="D962" s="57" t="inlineStr"/>
      <c r="E962" s="57" t="inlineStr">
        <is>
          <t>South Farm</t>
        </is>
      </c>
      <c r="F962" s="57" t="inlineStr">
        <is>
          <t>forced_from_sheet_name</t>
        </is>
      </c>
    </row>
    <row r="963" ht="25" customHeight="1" s="55">
      <c r="A963" s="57" t="inlineStr">
        <is>
          <t>FirstHArvest_OpenFieldLex</t>
        </is>
      </c>
      <c r="B963" s="57" t="n">
        <v>134</v>
      </c>
      <c r="C963" s="57" t="inlineStr">
        <is>
          <t>Harvest</t>
        </is>
      </c>
      <c r="D963" s="57" t="inlineStr"/>
      <c r="E963" s="57" t="inlineStr">
        <is>
          <t>First</t>
        </is>
      </c>
      <c r="F963" s="57" t="inlineStr">
        <is>
          <t>forced_from_sheet_name</t>
        </is>
      </c>
    </row>
    <row r="964" ht="25" customHeight="1" s="55">
      <c r="A964" s="57" t="inlineStr">
        <is>
          <t>FirstHArvest_OpenFieldLex</t>
        </is>
      </c>
      <c r="B964" s="57" t="n">
        <v>134</v>
      </c>
      <c r="C964" s="57" t="inlineStr">
        <is>
          <t>Date of harvest</t>
        </is>
      </c>
      <c r="D964" s="57" t="inlineStr"/>
      <c r="E964" s="57" t="inlineStr">
        <is>
          <t>2026-07-23</t>
        </is>
      </c>
      <c r="F964" s="57" t="inlineStr">
        <is>
          <t>date_forced:Recorded on first row; South Farm first harvest</t>
        </is>
      </c>
    </row>
    <row r="965" ht="25" customHeight="1" s="55">
      <c r="A965" s="57" t="inlineStr">
        <is>
          <t>FirstHArvest_OpenFieldLex</t>
        </is>
      </c>
      <c r="B965" s="57" t="n">
        <v>135</v>
      </c>
      <c r="C965" s="57" t="inlineStr">
        <is>
          <t>Genotypes</t>
        </is>
      </c>
      <c r="D965" s="57" t="inlineStr">
        <is>
          <t>26-8 R2</t>
        </is>
      </c>
      <c r="E965" s="57" t="inlineStr">
        <is>
          <t>UKYT-26-008</t>
        </is>
      </c>
      <c r="F965" s="57" t="inlineStr"/>
    </row>
    <row r="966" ht="25" customHeight="1" s="55">
      <c r="A966" s="57" t="inlineStr">
        <is>
          <t>FirstHArvest_OpenFieldLex</t>
        </is>
      </c>
      <c r="B966" s="57" t="n">
        <v>135</v>
      </c>
      <c r="C966" s="57" t="inlineStr">
        <is>
          <t>Location</t>
        </is>
      </c>
      <c r="D966" s="57" t="inlineStr"/>
      <c r="E966" s="57" t="inlineStr">
        <is>
          <t>South Farm</t>
        </is>
      </c>
      <c r="F966" s="57" t="inlineStr">
        <is>
          <t>forced_from_sheet_name</t>
        </is>
      </c>
    </row>
    <row r="967" ht="25" customHeight="1" s="55">
      <c r="A967" s="57" t="inlineStr">
        <is>
          <t>FirstHArvest_OpenFieldLex</t>
        </is>
      </c>
      <c r="B967" s="57" t="n">
        <v>135</v>
      </c>
      <c r="C967" s="57" t="inlineStr">
        <is>
          <t>Harvest</t>
        </is>
      </c>
      <c r="D967" s="57" t="inlineStr"/>
      <c r="E967" s="57" t="inlineStr">
        <is>
          <t>First</t>
        </is>
      </c>
      <c r="F967" s="57" t="inlineStr">
        <is>
          <t>forced_from_sheet_name</t>
        </is>
      </c>
    </row>
    <row r="968" ht="25" customHeight="1" s="55">
      <c r="A968" s="57" t="inlineStr">
        <is>
          <t>FirstHArvest_OpenFieldLex</t>
        </is>
      </c>
      <c r="B968" s="57" t="n">
        <v>135</v>
      </c>
      <c r="C968" s="57" t="inlineStr">
        <is>
          <t>Date of harvest</t>
        </is>
      </c>
      <c r="D968" s="57" t="inlineStr"/>
      <c r="E968" s="57" t="inlineStr">
        <is>
          <t>2026-07-23</t>
        </is>
      </c>
      <c r="F968" s="57" t="inlineStr">
        <is>
          <t>date_forced:Recorded on first row; South Farm first harvest</t>
        </is>
      </c>
    </row>
    <row r="969" ht="25" customHeight="1" s="55">
      <c r="A969" s="57" t="inlineStr">
        <is>
          <t>FirstHArvest_OpenFieldLex</t>
        </is>
      </c>
      <c r="B969" s="57" t="n">
        <v>136</v>
      </c>
      <c r="C969" s="57" t="inlineStr">
        <is>
          <t>Genotypes</t>
        </is>
      </c>
      <c r="D969" s="57" t="inlineStr">
        <is>
          <t>26-26 R1</t>
        </is>
      </c>
      <c r="E969" s="57" t="inlineStr">
        <is>
          <t>UKYT-26-026</t>
        </is>
      </c>
      <c r="F969" s="57" t="inlineStr"/>
    </row>
    <row r="970" ht="25" customHeight="1" s="55">
      <c r="A970" s="57" t="inlineStr">
        <is>
          <t>FirstHArvest_OpenFieldLex</t>
        </is>
      </c>
      <c r="B970" s="57" t="n">
        <v>136</v>
      </c>
      <c r="C970" s="57" t="inlineStr">
        <is>
          <t>Location</t>
        </is>
      </c>
      <c r="D970" s="57" t="inlineStr"/>
      <c r="E970" s="57" t="inlineStr">
        <is>
          <t>South Farm</t>
        </is>
      </c>
      <c r="F970" s="57" t="inlineStr">
        <is>
          <t>forced_from_sheet_name</t>
        </is>
      </c>
    </row>
    <row r="971" ht="25" customHeight="1" s="55">
      <c r="A971" s="57" t="inlineStr">
        <is>
          <t>FirstHArvest_OpenFieldLex</t>
        </is>
      </c>
      <c r="B971" s="57" t="n">
        <v>136</v>
      </c>
      <c r="C971" s="57" t="inlineStr">
        <is>
          <t>Harvest</t>
        </is>
      </c>
      <c r="D971" s="57" t="inlineStr"/>
      <c r="E971" s="57" t="inlineStr">
        <is>
          <t>First</t>
        </is>
      </c>
      <c r="F971" s="57" t="inlineStr">
        <is>
          <t>forced_from_sheet_name</t>
        </is>
      </c>
    </row>
    <row r="972" ht="25" customHeight="1" s="55">
      <c r="A972" s="57" t="inlineStr">
        <is>
          <t>FirstHArvest_OpenFieldLex</t>
        </is>
      </c>
      <c r="B972" s="57" t="n">
        <v>136</v>
      </c>
      <c r="C972" s="57" t="inlineStr">
        <is>
          <t>Date of harvest</t>
        </is>
      </c>
      <c r="D972" s="57" t="inlineStr"/>
      <c r="E972" s="57" t="inlineStr">
        <is>
          <t>2026-07-23</t>
        </is>
      </c>
      <c r="F972" s="57" t="inlineStr">
        <is>
          <t>date_forced:Recorded on first row; South Farm first harvest</t>
        </is>
      </c>
    </row>
    <row r="973" ht="25" customHeight="1" s="55">
      <c r="A973" s="57" t="inlineStr">
        <is>
          <t>FirstHArvest_OpenFieldLex</t>
        </is>
      </c>
      <c r="B973" s="57" t="n">
        <v>137</v>
      </c>
      <c r="C973" s="57" t="inlineStr">
        <is>
          <t>Genotypes</t>
        </is>
      </c>
      <c r="D973" s="57" t="inlineStr">
        <is>
          <t>26-3 R2</t>
        </is>
      </c>
      <c r="E973" s="57" t="inlineStr">
        <is>
          <t>UKYT-26-003</t>
        </is>
      </c>
      <c r="F973" s="57" t="inlineStr"/>
    </row>
    <row r="974" ht="25" customHeight="1" s="55">
      <c r="A974" s="57" t="inlineStr">
        <is>
          <t>FirstHArvest_OpenFieldLex</t>
        </is>
      </c>
      <c r="B974" s="57" t="n">
        <v>137</v>
      </c>
      <c r="C974" s="57" t="inlineStr">
        <is>
          <t>Location</t>
        </is>
      </c>
      <c r="D974" s="57" t="inlineStr"/>
      <c r="E974" s="57" t="inlineStr">
        <is>
          <t>South Farm</t>
        </is>
      </c>
      <c r="F974" s="57" t="inlineStr">
        <is>
          <t>forced_from_sheet_name</t>
        </is>
      </c>
    </row>
    <row r="975" ht="25" customHeight="1" s="55">
      <c r="A975" s="57" t="inlineStr">
        <is>
          <t>FirstHArvest_OpenFieldLex</t>
        </is>
      </c>
      <c r="B975" s="57" t="n">
        <v>137</v>
      </c>
      <c r="C975" s="57" t="inlineStr">
        <is>
          <t>Harvest</t>
        </is>
      </c>
      <c r="D975" s="57" t="inlineStr"/>
      <c r="E975" s="57" t="inlineStr">
        <is>
          <t>First</t>
        </is>
      </c>
      <c r="F975" s="57" t="inlineStr">
        <is>
          <t>forced_from_sheet_name</t>
        </is>
      </c>
    </row>
    <row r="976" ht="25" customHeight="1" s="55">
      <c r="A976" s="57" t="inlineStr">
        <is>
          <t>FirstHArvest_OpenFieldLex</t>
        </is>
      </c>
      <c r="B976" s="57" t="n">
        <v>137</v>
      </c>
      <c r="C976" s="57" t="inlineStr">
        <is>
          <t>Date of harvest</t>
        </is>
      </c>
      <c r="D976" s="57" t="inlineStr"/>
      <c r="E976" s="57" t="inlineStr">
        <is>
          <t>2026-07-23</t>
        </is>
      </c>
      <c r="F976" s="57" t="inlineStr">
        <is>
          <t>date_forced:Recorded on first row; South Farm first harvest</t>
        </is>
      </c>
    </row>
    <row r="977" ht="25" customHeight="1" s="55">
      <c r="A977" s="57" t="inlineStr">
        <is>
          <t>FirstHArvest_OpenFieldLex</t>
        </is>
      </c>
      <c r="B977" s="57" t="n">
        <v>138</v>
      </c>
      <c r="C977" s="57" t="inlineStr">
        <is>
          <t>Genotypes</t>
        </is>
      </c>
      <c r="D977" s="57" t="inlineStr">
        <is>
          <t>26-6 R3</t>
        </is>
      </c>
      <c r="E977" s="57" t="inlineStr">
        <is>
          <t>UKYT-26-006</t>
        </is>
      </c>
      <c r="F977" s="57" t="inlineStr"/>
    </row>
    <row r="978" ht="25" customHeight="1" s="55">
      <c r="A978" s="57" t="inlineStr">
        <is>
          <t>FirstHArvest_OpenFieldLex</t>
        </is>
      </c>
      <c r="B978" s="57" t="n">
        <v>138</v>
      </c>
      <c r="C978" s="57" t="inlineStr">
        <is>
          <t>Location</t>
        </is>
      </c>
      <c r="D978" s="57" t="inlineStr"/>
      <c r="E978" s="57" t="inlineStr">
        <is>
          <t>South Farm</t>
        </is>
      </c>
      <c r="F978" s="57" t="inlineStr">
        <is>
          <t>forced_from_sheet_name</t>
        </is>
      </c>
    </row>
    <row r="979" ht="25" customHeight="1" s="55">
      <c r="A979" s="57" t="inlineStr">
        <is>
          <t>FirstHArvest_OpenFieldLex</t>
        </is>
      </c>
      <c r="B979" s="57" t="n">
        <v>138</v>
      </c>
      <c r="C979" s="57" t="inlineStr">
        <is>
          <t>Harvest</t>
        </is>
      </c>
      <c r="D979" s="57" t="inlineStr"/>
      <c r="E979" s="57" t="inlineStr">
        <is>
          <t>First</t>
        </is>
      </c>
      <c r="F979" s="57" t="inlineStr">
        <is>
          <t>forced_from_sheet_name</t>
        </is>
      </c>
    </row>
    <row r="980" ht="25" customHeight="1" s="55">
      <c r="A980" s="57" t="inlineStr">
        <is>
          <t>FirstHArvest_OpenFieldLex</t>
        </is>
      </c>
      <c r="B980" s="57" t="n">
        <v>138</v>
      </c>
      <c r="C980" s="57" t="inlineStr">
        <is>
          <t>Date of harvest</t>
        </is>
      </c>
      <c r="D980" s="57" t="inlineStr"/>
      <c r="E980" s="57" t="inlineStr">
        <is>
          <t>2026-07-23</t>
        </is>
      </c>
      <c r="F980" s="57" t="inlineStr">
        <is>
          <t>date_forced:Recorded on first row; South Farm first harvest</t>
        </is>
      </c>
    </row>
    <row r="981" ht="25" customHeight="1" s="55">
      <c r="A981" s="57" t="inlineStr">
        <is>
          <t>FirstHArvest_OpenFieldLex</t>
        </is>
      </c>
      <c r="B981" s="57" t="n">
        <v>139</v>
      </c>
      <c r="C981" s="57" t="inlineStr">
        <is>
          <t>Genotypes</t>
        </is>
      </c>
      <c r="D981" s="57" t="inlineStr">
        <is>
          <t>26-7 R2</t>
        </is>
      </c>
      <c r="E981" s="57" t="inlineStr">
        <is>
          <t>UKYT-26-007</t>
        </is>
      </c>
      <c r="F981" s="57" t="inlineStr"/>
    </row>
    <row r="982" ht="25" customHeight="1" s="55">
      <c r="A982" s="57" t="inlineStr">
        <is>
          <t>FirstHArvest_OpenFieldLex</t>
        </is>
      </c>
      <c r="B982" s="57" t="n">
        <v>139</v>
      </c>
      <c r="C982" s="57" t="inlineStr">
        <is>
          <t>Location</t>
        </is>
      </c>
      <c r="D982" s="57" t="inlineStr"/>
      <c r="E982" s="57" t="inlineStr">
        <is>
          <t>South Farm</t>
        </is>
      </c>
      <c r="F982" s="57" t="inlineStr">
        <is>
          <t>forced_from_sheet_name</t>
        </is>
      </c>
    </row>
    <row r="983" ht="25" customHeight="1" s="55">
      <c r="A983" s="57" t="inlineStr">
        <is>
          <t>FirstHArvest_OpenFieldLex</t>
        </is>
      </c>
      <c r="B983" s="57" t="n">
        <v>139</v>
      </c>
      <c r="C983" s="57" t="inlineStr">
        <is>
          <t>Harvest</t>
        </is>
      </c>
      <c r="D983" s="57" t="inlineStr"/>
      <c r="E983" s="57" t="inlineStr">
        <is>
          <t>First</t>
        </is>
      </c>
      <c r="F983" s="57" t="inlineStr">
        <is>
          <t>forced_from_sheet_name</t>
        </is>
      </c>
    </row>
    <row r="984" ht="25" customHeight="1" s="55">
      <c r="A984" s="57" t="inlineStr">
        <is>
          <t>FirstHArvest_OpenFieldLex</t>
        </is>
      </c>
      <c r="B984" s="57" t="n">
        <v>139</v>
      </c>
      <c r="C984" s="57" t="inlineStr">
        <is>
          <t>Date of harvest</t>
        </is>
      </c>
      <c r="D984" s="57" t="inlineStr"/>
      <c r="E984" s="57" t="inlineStr">
        <is>
          <t>2026-07-23</t>
        </is>
      </c>
      <c r="F984" s="57" t="inlineStr">
        <is>
          <t>date_forced:Recorded on first row; South Farm first harvest</t>
        </is>
      </c>
    </row>
    <row r="985" ht="25" customHeight="1" s="55">
      <c r="A985" s="57" t="inlineStr">
        <is>
          <t>FirstHArvest_OpenFieldLex</t>
        </is>
      </c>
      <c r="B985" s="57" t="n">
        <v>140</v>
      </c>
      <c r="C985" s="57" t="inlineStr">
        <is>
          <t>Genotypes</t>
        </is>
      </c>
      <c r="D985" s="57" t="inlineStr">
        <is>
          <t>26-6 R2</t>
        </is>
      </c>
      <c r="E985" s="57" t="inlineStr">
        <is>
          <t>UKYT-26-006</t>
        </is>
      </c>
      <c r="F985" s="57" t="inlineStr"/>
    </row>
    <row r="986" ht="25" customHeight="1" s="55">
      <c r="A986" s="57" t="inlineStr">
        <is>
          <t>FirstHArvest_OpenFieldLex</t>
        </is>
      </c>
      <c r="B986" s="57" t="n">
        <v>140</v>
      </c>
      <c r="C986" s="57" t="inlineStr">
        <is>
          <t>Location</t>
        </is>
      </c>
      <c r="D986" s="57" t="inlineStr"/>
      <c r="E986" s="57" t="inlineStr">
        <is>
          <t>South Farm</t>
        </is>
      </c>
      <c r="F986" s="57" t="inlineStr">
        <is>
          <t>forced_from_sheet_name</t>
        </is>
      </c>
    </row>
    <row r="987" ht="25" customHeight="1" s="55">
      <c r="A987" s="57" t="inlineStr">
        <is>
          <t>FirstHArvest_OpenFieldLex</t>
        </is>
      </c>
      <c r="B987" s="57" t="n">
        <v>140</v>
      </c>
      <c r="C987" s="57" t="inlineStr">
        <is>
          <t>Harvest</t>
        </is>
      </c>
      <c r="D987" s="57" t="inlineStr"/>
      <c r="E987" s="57" t="inlineStr">
        <is>
          <t>First</t>
        </is>
      </c>
      <c r="F987" s="57" t="inlineStr">
        <is>
          <t>forced_from_sheet_name</t>
        </is>
      </c>
    </row>
    <row r="988" ht="25" customHeight="1" s="55">
      <c r="A988" s="57" t="inlineStr">
        <is>
          <t>FirstHArvest_OpenFieldLex</t>
        </is>
      </c>
      <c r="B988" s="57" t="n">
        <v>140</v>
      </c>
      <c r="C988" s="57" t="inlineStr">
        <is>
          <t>Date of harvest</t>
        </is>
      </c>
      <c r="D988" s="57" t="inlineStr"/>
      <c r="E988" s="57" t="inlineStr">
        <is>
          <t>2026-07-23</t>
        </is>
      </c>
      <c r="F988" s="57" t="inlineStr">
        <is>
          <t>date_forced:Recorded on first row; South Farm first harvest</t>
        </is>
      </c>
    </row>
    <row r="989" ht="25" customHeight="1" s="55">
      <c r="A989" s="57" t="inlineStr">
        <is>
          <t>FirstHArvest_OpenFieldLex</t>
        </is>
      </c>
      <c r="B989" s="57" t="n">
        <v>141</v>
      </c>
      <c r="C989" s="57" t="inlineStr">
        <is>
          <t>Genotypes</t>
        </is>
      </c>
      <c r="D989" s="57" t="inlineStr">
        <is>
          <t xml:space="preserve">25-5 R2 </t>
        </is>
      </c>
      <c r="E989" s="57" t="inlineStr">
        <is>
          <t>UKYT-25-005</t>
        </is>
      </c>
      <c r="F989" s="57" t="inlineStr"/>
    </row>
    <row r="990" ht="25" customHeight="1" s="55">
      <c r="A990" s="57" t="inlineStr">
        <is>
          <t>FirstHArvest_OpenFieldLex</t>
        </is>
      </c>
      <c r="B990" s="57" t="n">
        <v>141</v>
      </c>
      <c r="C990" s="57" t="inlineStr">
        <is>
          <t>Location</t>
        </is>
      </c>
      <c r="D990" s="57" t="inlineStr"/>
      <c r="E990" s="57" t="inlineStr">
        <is>
          <t>South Farm</t>
        </is>
      </c>
      <c r="F990" s="57" t="inlineStr">
        <is>
          <t>forced_from_sheet_name</t>
        </is>
      </c>
    </row>
    <row r="991" ht="25" customHeight="1" s="55">
      <c r="A991" s="57" t="inlineStr">
        <is>
          <t>FirstHArvest_OpenFieldLex</t>
        </is>
      </c>
      <c r="B991" s="57" t="n">
        <v>141</v>
      </c>
      <c r="C991" s="57" t="inlineStr">
        <is>
          <t>Harvest</t>
        </is>
      </c>
      <c r="D991" s="57" t="inlineStr"/>
      <c r="E991" s="57" t="inlineStr">
        <is>
          <t>First</t>
        </is>
      </c>
      <c r="F991" s="57" t="inlineStr">
        <is>
          <t>forced_from_sheet_name</t>
        </is>
      </c>
    </row>
    <row r="992" ht="25" customHeight="1" s="55">
      <c r="A992" s="57" t="inlineStr">
        <is>
          <t>FirstHArvest_OpenFieldLex</t>
        </is>
      </c>
      <c r="B992" s="57" t="n">
        <v>141</v>
      </c>
      <c r="C992" s="57" t="inlineStr">
        <is>
          <t>Date of harvest</t>
        </is>
      </c>
      <c r="D992" s="57" t="inlineStr"/>
      <c r="E992" s="57" t="inlineStr">
        <is>
          <t>2026-07-23</t>
        </is>
      </c>
      <c r="F992" s="57" t="inlineStr">
        <is>
          <t>date_forced:Recorded on first row; South Farm first harvest</t>
        </is>
      </c>
    </row>
    <row r="993" ht="25" customHeight="1" s="55">
      <c r="A993" s="57" t="inlineStr">
        <is>
          <t>FirstHArvest_OpenFieldLex</t>
        </is>
      </c>
      <c r="B993" s="57" t="n">
        <v>142</v>
      </c>
      <c r="C993" s="57" t="inlineStr">
        <is>
          <t>Genotypes</t>
        </is>
      </c>
      <c r="D993" s="57" t="inlineStr">
        <is>
          <t>25-3 R2</t>
        </is>
      </c>
      <c r="E993" s="57" t="inlineStr">
        <is>
          <t>UKYT-25-003</t>
        </is>
      </c>
      <c r="F993" s="57" t="inlineStr"/>
    </row>
    <row r="994" ht="25" customHeight="1" s="55">
      <c r="A994" s="57" t="inlineStr">
        <is>
          <t>FirstHArvest_OpenFieldLex</t>
        </is>
      </c>
      <c r="B994" s="57" t="n">
        <v>142</v>
      </c>
      <c r="C994" s="57" t="inlineStr">
        <is>
          <t>Location</t>
        </is>
      </c>
      <c r="D994" s="57" t="inlineStr"/>
      <c r="E994" s="57" t="inlineStr">
        <is>
          <t>South Farm</t>
        </is>
      </c>
      <c r="F994" s="57" t="inlineStr">
        <is>
          <t>forced_from_sheet_name</t>
        </is>
      </c>
    </row>
    <row r="995" ht="25" customHeight="1" s="55">
      <c r="A995" s="57" t="inlineStr">
        <is>
          <t>FirstHArvest_OpenFieldLex</t>
        </is>
      </c>
      <c r="B995" s="57" t="n">
        <v>142</v>
      </c>
      <c r="C995" s="57" t="inlineStr">
        <is>
          <t>Harvest</t>
        </is>
      </c>
      <c r="D995" s="57" t="inlineStr"/>
      <c r="E995" s="57" t="inlineStr">
        <is>
          <t>First</t>
        </is>
      </c>
      <c r="F995" s="57" t="inlineStr">
        <is>
          <t>forced_from_sheet_name</t>
        </is>
      </c>
    </row>
    <row r="996" ht="25" customHeight="1" s="55">
      <c r="A996" s="57" t="inlineStr">
        <is>
          <t>FirstHArvest_OpenFieldLex</t>
        </is>
      </c>
      <c r="B996" s="57" t="n">
        <v>142</v>
      </c>
      <c r="C996" s="57" t="inlineStr">
        <is>
          <t>Date of harvest</t>
        </is>
      </c>
      <c r="D996" s="57" t="inlineStr"/>
      <c r="E996" s="57" t="inlineStr">
        <is>
          <t>2026-07-23</t>
        </is>
      </c>
      <c r="F996" s="57" t="inlineStr">
        <is>
          <t>date_forced:Recorded on first row; South Farm first harvest</t>
        </is>
      </c>
    </row>
    <row r="997" ht="25" customHeight="1" s="55">
      <c r="A997" s="57" t="inlineStr">
        <is>
          <t>FirstHArvest_OpenFieldLex</t>
        </is>
      </c>
      <c r="B997" s="57" t="n">
        <v>143</v>
      </c>
      <c r="C997" s="57" t="inlineStr">
        <is>
          <t>Genotypes</t>
        </is>
      </c>
      <c r="D997" s="57" t="inlineStr">
        <is>
          <t xml:space="preserve">25-6 R2 </t>
        </is>
      </c>
      <c r="E997" s="57" t="inlineStr">
        <is>
          <t>UKYT-25-006</t>
        </is>
      </c>
      <c r="F997" s="57" t="inlineStr"/>
    </row>
    <row r="998" ht="25" customHeight="1" s="55">
      <c r="A998" s="57" t="inlineStr">
        <is>
          <t>FirstHArvest_OpenFieldLex</t>
        </is>
      </c>
      <c r="B998" s="57" t="n">
        <v>143</v>
      </c>
      <c r="C998" s="57" t="inlineStr">
        <is>
          <t>Location</t>
        </is>
      </c>
      <c r="D998" s="57" t="inlineStr"/>
      <c r="E998" s="57" t="inlineStr">
        <is>
          <t>South Farm</t>
        </is>
      </c>
      <c r="F998" s="57" t="inlineStr">
        <is>
          <t>forced_from_sheet_name</t>
        </is>
      </c>
    </row>
    <row r="999" ht="25" customHeight="1" s="55">
      <c r="A999" s="57" t="inlineStr">
        <is>
          <t>FirstHArvest_OpenFieldLex</t>
        </is>
      </c>
      <c r="B999" s="57" t="n">
        <v>143</v>
      </c>
      <c r="C999" s="57" t="inlineStr">
        <is>
          <t>Harvest</t>
        </is>
      </c>
      <c r="D999" s="57" t="inlineStr"/>
      <c r="E999" s="57" t="inlineStr">
        <is>
          <t>First</t>
        </is>
      </c>
      <c r="F999" s="57" t="inlineStr">
        <is>
          <t>forced_from_sheet_name</t>
        </is>
      </c>
    </row>
    <row r="1000" ht="25" customHeight="1" s="55">
      <c r="A1000" s="57" t="inlineStr">
        <is>
          <t>FirstHArvest_OpenFieldLex</t>
        </is>
      </c>
      <c r="B1000" s="57" t="n">
        <v>143</v>
      </c>
      <c r="C1000" s="57" t="inlineStr">
        <is>
          <t>Date of harvest</t>
        </is>
      </c>
      <c r="D1000" s="57" t="inlineStr"/>
      <c r="E1000" s="57" t="inlineStr">
        <is>
          <t>2026-07-23</t>
        </is>
      </c>
      <c r="F1000" s="57" t="inlineStr">
        <is>
          <t>date_forced:Recorded on first row; South Farm first harvest</t>
        </is>
      </c>
    </row>
    <row r="1001" ht="25" customHeight="1" s="55">
      <c r="A1001" s="57" t="inlineStr">
        <is>
          <t>FirstHArvest_OpenFieldLex</t>
        </is>
      </c>
      <c r="B1001" s="57" t="n">
        <v>144</v>
      </c>
      <c r="C1001" s="57" t="inlineStr">
        <is>
          <t>Genotypes</t>
        </is>
      </c>
      <c r="D1001" s="57" t="inlineStr">
        <is>
          <t xml:space="preserve">25-4 R2 </t>
        </is>
      </c>
      <c r="E1001" s="57" t="inlineStr">
        <is>
          <t>UKYT-25-004</t>
        </is>
      </c>
      <c r="F1001" s="57" t="inlineStr"/>
    </row>
    <row r="1002" ht="25" customHeight="1" s="55">
      <c r="A1002" s="57" t="inlineStr">
        <is>
          <t>FirstHArvest_OpenFieldLex</t>
        </is>
      </c>
      <c r="B1002" s="57" t="n">
        <v>144</v>
      </c>
      <c r="C1002" s="57" t="inlineStr">
        <is>
          <t>Location</t>
        </is>
      </c>
      <c r="D1002" s="57" t="inlineStr"/>
      <c r="E1002" s="57" t="inlineStr">
        <is>
          <t>South Farm</t>
        </is>
      </c>
      <c r="F1002" s="57" t="inlineStr">
        <is>
          <t>forced_from_sheet_name</t>
        </is>
      </c>
    </row>
    <row r="1003" ht="25" customHeight="1" s="55">
      <c r="A1003" s="57" t="inlineStr">
        <is>
          <t>FirstHArvest_OpenFieldLex</t>
        </is>
      </c>
      <c r="B1003" s="57" t="n">
        <v>144</v>
      </c>
      <c r="C1003" s="57" t="inlineStr">
        <is>
          <t>Harvest</t>
        </is>
      </c>
      <c r="D1003" s="57" t="inlineStr"/>
      <c r="E1003" s="57" t="inlineStr">
        <is>
          <t>First</t>
        </is>
      </c>
      <c r="F1003" s="57" t="inlineStr">
        <is>
          <t>forced_from_sheet_name</t>
        </is>
      </c>
    </row>
    <row r="1004" ht="25" customHeight="1" s="55">
      <c r="A1004" s="57" t="inlineStr">
        <is>
          <t>FirstHArvest_OpenFieldLex</t>
        </is>
      </c>
      <c r="B1004" s="57" t="n">
        <v>144</v>
      </c>
      <c r="C1004" s="57" t="inlineStr">
        <is>
          <t>Date of harvest</t>
        </is>
      </c>
      <c r="D1004" s="57" t="inlineStr"/>
      <c r="E1004" s="57" t="inlineStr">
        <is>
          <t>2026-07-23</t>
        </is>
      </c>
      <c r="F1004" s="57" t="inlineStr">
        <is>
          <t>date_forced:Recorded on first row; South Farm first harvest</t>
        </is>
      </c>
    </row>
    <row r="1005" ht="25" customHeight="1" s="55">
      <c r="A1005" s="57" t="inlineStr">
        <is>
          <t>FirstHArvest_OpenFieldLex</t>
        </is>
      </c>
      <c r="B1005" s="57" t="n">
        <v>145</v>
      </c>
      <c r="C1005" s="57" t="inlineStr">
        <is>
          <t>Genotypes</t>
        </is>
      </c>
      <c r="D1005" s="57" t="inlineStr">
        <is>
          <t xml:space="preserve">25-1 R2 </t>
        </is>
      </c>
      <c r="E1005" s="57" t="inlineStr">
        <is>
          <t>UKYT-25-001</t>
        </is>
      </c>
      <c r="F1005" s="57" t="inlineStr"/>
    </row>
    <row r="1006" ht="25" customHeight="1" s="55">
      <c r="A1006" s="57" t="inlineStr">
        <is>
          <t>FirstHArvest_OpenFieldLex</t>
        </is>
      </c>
      <c r="B1006" s="57" t="n">
        <v>145</v>
      </c>
      <c r="C1006" s="57" t="inlineStr">
        <is>
          <t>Location</t>
        </is>
      </c>
      <c r="D1006" s="57" t="inlineStr"/>
      <c r="E1006" s="57" t="inlineStr">
        <is>
          <t>South Farm</t>
        </is>
      </c>
      <c r="F1006" s="57" t="inlineStr">
        <is>
          <t>forced_from_sheet_name</t>
        </is>
      </c>
    </row>
    <row r="1007" ht="25" customHeight="1" s="55">
      <c r="A1007" s="57" t="inlineStr">
        <is>
          <t>FirstHArvest_OpenFieldLex</t>
        </is>
      </c>
      <c r="B1007" s="57" t="n">
        <v>145</v>
      </c>
      <c r="C1007" s="57" t="inlineStr">
        <is>
          <t>Harvest</t>
        </is>
      </c>
      <c r="D1007" s="57" t="inlineStr"/>
      <c r="E1007" s="57" t="inlineStr">
        <is>
          <t>First</t>
        </is>
      </c>
      <c r="F1007" s="57" t="inlineStr">
        <is>
          <t>forced_from_sheet_name</t>
        </is>
      </c>
    </row>
    <row r="1008" ht="25" customHeight="1" s="55">
      <c r="A1008" s="57" t="inlineStr">
        <is>
          <t>FirstHArvest_OpenFieldLex</t>
        </is>
      </c>
      <c r="B1008" s="57" t="n">
        <v>145</v>
      </c>
      <c r="C1008" s="57" t="inlineStr">
        <is>
          <t>Date of harvest</t>
        </is>
      </c>
      <c r="D1008" s="57" t="inlineStr"/>
      <c r="E1008" s="57" t="inlineStr">
        <is>
          <t>2026-07-23</t>
        </is>
      </c>
      <c r="F1008" s="57" t="inlineStr">
        <is>
          <t>date_forced:Recorded on first row; South Farm first harvest</t>
        </is>
      </c>
    </row>
    <row r="1009" ht="25" customHeight="1" s="55">
      <c r="A1009" s="57" t="inlineStr">
        <is>
          <t>FirstHArvest_OpenFieldLex</t>
        </is>
      </c>
      <c r="B1009" s="57" t="n">
        <v>146</v>
      </c>
      <c r="C1009" s="57" t="inlineStr">
        <is>
          <t>Genotypes</t>
        </is>
      </c>
      <c r="D1009" s="57" t="inlineStr">
        <is>
          <t xml:space="preserve">25-2 R2 </t>
        </is>
      </c>
      <c r="E1009" s="57" t="inlineStr">
        <is>
          <t>UKYT-25-002</t>
        </is>
      </c>
      <c r="F1009" s="57" t="inlineStr"/>
    </row>
    <row r="1010" ht="25" customHeight="1" s="55">
      <c r="A1010" s="57" t="inlineStr">
        <is>
          <t>FirstHArvest_OpenFieldLex</t>
        </is>
      </c>
      <c r="B1010" s="57" t="n">
        <v>146</v>
      </c>
      <c r="C1010" s="57" t="inlineStr">
        <is>
          <t>Location</t>
        </is>
      </c>
      <c r="D1010" s="57" t="inlineStr"/>
      <c r="E1010" s="57" t="inlineStr">
        <is>
          <t>South Farm</t>
        </is>
      </c>
      <c r="F1010" s="57" t="inlineStr">
        <is>
          <t>forced_from_sheet_name</t>
        </is>
      </c>
    </row>
    <row r="1011" ht="25" customHeight="1" s="55">
      <c r="A1011" s="57" t="inlineStr">
        <is>
          <t>FirstHArvest_OpenFieldLex</t>
        </is>
      </c>
      <c r="B1011" s="57" t="n">
        <v>146</v>
      </c>
      <c r="C1011" s="57" t="inlineStr">
        <is>
          <t>Harvest</t>
        </is>
      </c>
      <c r="D1011" s="57" t="inlineStr"/>
      <c r="E1011" s="57" t="inlineStr">
        <is>
          <t>First</t>
        </is>
      </c>
      <c r="F1011" s="57" t="inlineStr">
        <is>
          <t>forced_from_sheet_name</t>
        </is>
      </c>
    </row>
    <row r="1012" ht="25" customHeight="1" s="55">
      <c r="A1012" s="57" t="inlineStr">
        <is>
          <t>FirstHArvest_OpenFieldLex</t>
        </is>
      </c>
      <c r="B1012" s="57" t="n">
        <v>146</v>
      </c>
      <c r="C1012" s="57" t="inlineStr">
        <is>
          <t>Date of harvest</t>
        </is>
      </c>
      <c r="D1012" s="57" t="inlineStr"/>
      <c r="E1012" s="57" t="inlineStr">
        <is>
          <t>2026-07-23</t>
        </is>
      </c>
      <c r="F1012" s="57" t="inlineStr">
        <is>
          <t>date_forced:Recorded on first row; South Farm first harvest</t>
        </is>
      </c>
    </row>
    <row r="1013" ht="25" customHeight="1" s="55">
      <c r="A1013" s="57" t="inlineStr">
        <is>
          <t>FirstHArvest_OpenFieldLex</t>
        </is>
      </c>
      <c r="B1013" s="57" t="n">
        <v>147</v>
      </c>
      <c r="C1013" s="57" t="inlineStr">
        <is>
          <t>Genotypes</t>
        </is>
      </c>
      <c r="D1013" s="57" t="inlineStr">
        <is>
          <t xml:space="preserve">25-1 R3 </t>
        </is>
      </c>
      <c r="E1013" s="57" t="inlineStr">
        <is>
          <t>UKYT-25-001</t>
        </is>
      </c>
      <c r="F1013" s="57" t="inlineStr"/>
    </row>
    <row r="1014" ht="25" customHeight="1" s="55">
      <c r="A1014" s="57" t="inlineStr">
        <is>
          <t>FirstHArvest_OpenFieldLex</t>
        </is>
      </c>
      <c r="B1014" s="57" t="n">
        <v>147</v>
      </c>
      <c r="C1014" s="57" t="inlineStr">
        <is>
          <t>Location</t>
        </is>
      </c>
      <c r="D1014" s="57" t="inlineStr"/>
      <c r="E1014" s="57" t="inlineStr">
        <is>
          <t>South Farm</t>
        </is>
      </c>
      <c r="F1014" s="57" t="inlineStr">
        <is>
          <t>forced_from_sheet_name</t>
        </is>
      </c>
    </row>
    <row r="1015" ht="25" customHeight="1" s="55">
      <c r="A1015" s="57" t="inlineStr">
        <is>
          <t>FirstHArvest_OpenFieldLex</t>
        </is>
      </c>
      <c r="B1015" s="57" t="n">
        <v>147</v>
      </c>
      <c r="C1015" s="57" t="inlineStr">
        <is>
          <t>Harvest</t>
        </is>
      </c>
      <c r="D1015" s="57" t="inlineStr"/>
      <c r="E1015" s="57" t="inlineStr">
        <is>
          <t>First</t>
        </is>
      </c>
      <c r="F1015" s="57" t="inlineStr">
        <is>
          <t>forced_from_sheet_name</t>
        </is>
      </c>
    </row>
    <row r="1016" ht="25" customHeight="1" s="55">
      <c r="A1016" s="57" t="inlineStr">
        <is>
          <t>FirstHArvest_OpenFieldLex</t>
        </is>
      </c>
      <c r="B1016" s="57" t="n">
        <v>147</v>
      </c>
      <c r="C1016" s="57" t="inlineStr">
        <is>
          <t>Date of harvest</t>
        </is>
      </c>
      <c r="D1016" s="57" t="inlineStr"/>
      <c r="E1016" s="57" t="inlineStr">
        <is>
          <t>2026-07-23</t>
        </is>
      </c>
      <c r="F1016" s="57" t="inlineStr">
        <is>
          <t>date_forced:Recorded on first row; South Farm first harvest</t>
        </is>
      </c>
    </row>
    <row r="1017" ht="25" customHeight="1" s="55">
      <c r="A1017" s="57" t="inlineStr">
        <is>
          <t>FirstHArvest_OpenFieldLex</t>
        </is>
      </c>
      <c r="B1017" s="57" t="n">
        <v>148</v>
      </c>
      <c r="C1017" s="57" t="inlineStr">
        <is>
          <t>Genotypes</t>
        </is>
      </c>
      <c r="D1017" s="57" t="inlineStr">
        <is>
          <t>25-2 R3</t>
        </is>
      </c>
      <c r="E1017" s="57" t="inlineStr">
        <is>
          <t>UKYT-25-002</t>
        </is>
      </c>
      <c r="F1017" s="57" t="inlineStr"/>
    </row>
    <row r="1018" ht="25" customHeight="1" s="55">
      <c r="A1018" s="57" t="inlineStr">
        <is>
          <t>FirstHArvest_OpenFieldLex</t>
        </is>
      </c>
      <c r="B1018" s="57" t="n">
        <v>148</v>
      </c>
      <c r="C1018" s="57" t="inlineStr">
        <is>
          <t>Location</t>
        </is>
      </c>
      <c r="D1018" s="57" t="inlineStr"/>
      <c r="E1018" s="57" t="inlineStr">
        <is>
          <t>South Farm</t>
        </is>
      </c>
      <c r="F1018" s="57" t="inlineStr">
        <is>
          <t>forced_from_sheet_name</t>
        </is>
      </c>
    </row>
    <row r="1019" ht="25" customHeight="1" s="55">
      <c r="A1019" s="57" t="inlineStr">
        <is>
          <t>FirstHArvest_OpenFieldLex</t>
        </is>
      </c>
      <c r="B1019" s="57" t="n">
        <v>148</v>
      </c>
      <c r="C1019" s="57" t="inlineStr">
        <is>
          <t>Harvest</t>
        </is>
      </c>
      <c r="D1019" s="57" t="inlineStr"/>
      <c r="E1019" s="57" t="inlineStr">
        <is>
          <t>First</t>
        </is>
      </c>
      <c r="F1019" s="57" t="inlineStr">
        <is>
          <t>forced_from_sheet_name</t>
        </is>
      </c>
    </row>
    <row r="1020" ht="25" customHeight="1" s="55">
      <c r="A1020" s="57" t="inlineStr">
        <is>
          <t>FirstHArvest_OpenFieldLex</t>
        </is>
      </c>
      <c r="B1020" s="57" t="n">
        <v>148</v>
      </c>
      <c r="C1020" s="57" t="inlineStr">
        <is>
          <t>Date of harvest</t>
        </is>
      </c>
      <c r="D1020" s="57" t="inlineStr"/>
      <c r="E1020" s="57" t="inlineStr">
        <is>
          <t>2026-07-23</t>
        </is>
      </c>
      <c r="F1020" s="57" t="inlineStr">
        <is>
          <t>date_forced:Recorded on first row; South Farm first harvest</t>
        </is>
      </c>
    </row>
    <row r="1021" ht="25" customHeight="1" s="55">
      <c r="A1021" s="57" t="inlineStr">
        <is>
          <t>FirstHArvest_OpenFieldLex</t>
        </is>
      </c>
      <c r="B1021" s="57" t="n">
        <v>149</v>
      </c>
      <c r="C1021" s="57" t="inlineStr">
        <is>
          <t>Genotypes</t>
        </is>
      </c>
      <c r="D1021" s="57" t="inlineStr">
        <is>
          <t xml:space="preserve">25-15 R3 </t>
        </is>
      </c>
      <c r="E1021" s="57" t="inlineStr">
        <is>
          <t>UKYT-25-015</t>
        </is>
      </c>
      <c r="F1021" s="57" t="inlineStr"/>
    </row>
    <row r="1022" ht="25" customHeight="1" s="55">
      <c r="A1022" s="57" t="inlineStr">
        <is>
          <t>FirstHArvest_OpenFieldLex</t>
        </is>
      </c>
      <c r="B1022" s="57" t="n">
        <v>149</v>
      </c>
      <c r="C1022" s="57" t="inlineStr">
        <is>
          <t>Location</t>
        </is>
      </c>
      <c r="D1022" s="57" t="inlineStr"/>
      <c r="E1022" s="57" t="inlineStr">
        <is>
          <t>South Farm</t>
        </is>
      </c>
      <c r="F1022" s="57" t="inlineStr">
        <is>
          <t>forced_from_sheet_name</t>
        </is>
      </c>
    </row>
    <row r="1023" ht="25" customHeight="1" s="55">
      <c r="A1023" s="57" t="inlineStr">
        <is>
          <t>FirstHArvest_OpenFieldLex</t>
        </is>
      </c>
      <c r="B1023" s="57" t="n">
        <v>149</v>
      </c>
      <c r="C1023" s="57" t="inlineStr">
        <is>
          <t>Harvest</t>
        </is>
      </c>
      <c r="D1023" s="57" t="inlineStr"/>
      <c r="E1023" s="57" t="inlineStr">
        <is>
          <t>First</t>
        </is>
      </c>
      <c r="F1023" s="57" t="inlineStr">
        <is>
          <t>forced_from_sheet_name</t>
        </is>
      </c>
    </row>
    <row r="1024" ht="25" customHeight="1" s="55">
      <c r="A1024" s="57" t="inlineStr">
        <is>
          <t>FirstHArvest_OpenFieldLex</t>
        </is>
      </c>
      <c r="B1024" s="57" t="n">
        <v>149</v>
      </c>
      <c r="C1024" s="57" t="inlineStr">
        <is>
          <t>Date of harvest</t>
        </is>
      </c>
      <c r="D1024" s="57" t="inlineStr"/>
      <c r="E1024" s="57" t="inlineStr">
        <is>
          <t>2026-07-23</t>
        </is>
      </c>
      <c r="F1024" s="57" t="inlineStr">
        <is>
          <t>date_forced:Recorded on first row; South Farm first harvest</t>
        </is>
      </c>
    </row>
    <row r="1025" ht="25" customHeight="1" s="55">
      <c r="A1025" s="57" t="inlineStr">
        <is>
          <t>FirstHArvest_OpenFieldLex</t>
        </is>
      </c>
      <c r="B1025" s="57" t="n">
        <v>150</v>
      </c>
      <c r="C1025" s="57" t="inlineStr">
        <is>
          <t>Genotypes</t>
        </is>
      </c>
      <c r="D1025" s="57" t="inlineStr">
        <is>
          <t>25-13 R3</t>
        </is>
      </c>
      <c r="E1025" s="57" t="inlineStr">
        <is>
          <t>UKYT-25-013</t>
        </is>
      </c>
      <c r="F1025" s="57" t="inlineStr"/>
    </row>
    <row r="1026" ht="25" customHeight="1" s="55">
      <c r="A1026" s="57" t="inlineStr">
        <is>
          <t>FirstHArvest_OpenFieldLex</t>
        </is>
      </c>
      <c r="B1026" s="57" t="n">
        <v>150</v>
      </c>
      <c r="C1026" s="57" t="inlineStr">
        <is>
          <t>Location</t>
        </is>
      </c>
      <c r="D1026" s="57" t="inlineStr"/>
      <c r="E1026" s="57" t="inlineStr">
        <is>
          <t>South Farm</t>
        </is>
      </c>
      <c r="F1026" s="57" t="inlineStr">
        <is>
          <t>forced_from_sheet_name</t>
        </is>
      </c>
    </row>
    <row r="1027" ht="25" customHeight="1" s="55">
      <c r="A1027" s="57" t="inlineStr">
        <is>
          <t>FirstHArvest_OpenFieldLex</t>
        </is>
      </c>
      <c r="B1027" s="57" t="n">
        <v>150</v>
      </c>
      <c r="C1027" s="57" t="inlineStr">
        <is>
          <t>Harvest</t>
        </is>
      </c>
      <c r="D1027" s="57" t="inlineStr"/>
      <c r="E1027" s="57" t="inlineStr">
        <is>
          <t>First</t>
        </is>
      </c>
      <c r="F1027" s="57" t="inlineStr">
        <is>
          <t>forced_from_sheet_name</t>
        </is>
      </c>
    </row>
    <row r="1028" ht="25" customHeight="1" s="55">
      <c r="A1028" s="57" t="inlineStr">
        <is>
          <t>FirstHArvest_OpenFieldLex</t>
        </is>
      </c>
      <c r="B1028" s="57" t="n">
        <v>150</v>
      </c>
      <c r="C1028" s="57" t="inlineStr">
        <is>
          <t>Date of harvest</t>
        </is>
      </c>
      <c r="D1028" s="57" t="inlineStr"/>
      <c r="E1028" s="57" t="inlineStr">
        <is>
          <t>2026-07-23</t>
        </is>
      </c>
      <c r="F1028" s="57" t="inlineStr">
        <is>
          <t>date_forced:Recorded on first row; South Farm first harvest</t>
        </is>
      </c>
    </row>
    <row r="1029" ht="25" customHeight="1" s="55">
      <c r="A1029" s="57" t="inlineStr">
        <is>
          <t>FirstHArvest_OpenFieldLex</t>
        </is>
      </c>
      <c r="B1029" s="57" t="n">
        <v>151</v>
      </c>
      <c r="C1029" s="57" t="inlineStr">
        <is>
          <t>Genotypes</t>
        </is>
      </c>
      <c r="D1029" s="57" t="inlineStr">
        <is>
          <t xml:space="preserve">25-14 R3 </t>
        </is>
      </c>
      <c r="E1029" s="57" t="inlineStr">
        <is>
          <t>UKYT-25-014</t>
        </is>
      </c>
      <c r="F1029" s="57" t="inlineStr"/>
    </row>
    <row r="1030" ht="25" customHeight="1" s="55">
      <c r="A1030" s="57" t="inlineStr">
        <is>
          <t>FirstHArvest_OpenFieldLex</t>
        </is>
      </c>
      <c r="B1030" s="57" t="n">
        <v>151</v>
      </c>
      <c r="C1030" s="57" t="inlineStr">
        <is>
          <t>Location</t>
        </is>
      </c>
      <c r="D1030" s="57" t="inlineStr"/>
      <c r="E1030" s="57" t="inlineStr">
        <is>
          <t>South Farm</t>
        </is>
      </c>
      <c r="F1030" s="57" t="inlineStr">
        <is>
          <t>forced_from_sheet_name</t>
        </is>
      </c>
    </row>
    <row r="1031" ht="25" customHeight="1" s="55">
      <c r="A1031" s="57" t="inlineStr">
        <is>
          <t>FirstHArvest_OpenFieldLex</t>
        </is>
      </c>
      <c r="B1031" s="57" t="n">
        <v>151</v>
      </c>
      <c r="C1031" s="57" t="inlineStr">
        <is>
          <t>Harvest</t>
        </is>
      </c>
      <c r="D1031" s="57" t="inlineStr"/>
      <c r="E1031" s="57" t="inlineStr">
        <is>
          <t>First</t>
        </is>
      </c>
      <c r="F1031" s="57" t="inlineStr">
        <is>
          <t>forced_from_sheet_name</t>
        </is>
      </c>
    </row>
    <row r="1032" ht="25" customHeight="1" s="55">
      <c r="A1032" s="57" t="inlineStr">
        <is>
          <t>FirstHArvest_OpenFieldLex</t>
        </is>
      </c>
      <c r="B1032" s="57" t="n">
        <v>151</v>
      </c>
      <c r="C1032" s="57" t="inlineStr">
        <is>
          <t>Date of harvest</t>
        </is>
      </c>
      <c r="D1032" s="57" t="inlineStr"/>
      <c r="E1032" s="57" t="inlineStr">
        <is>
          <t>2026-07-23</t>
        </is>
      </c>
      <c r="F1032" s="57" t="inlineStr">
        <is>
          <t>date_forced:Recorded on first row; South Farm first harvest</t>
        </is>
      </c>
    </row>
    <row r="1033" ht="25" customHeight="1" s="55">
      <c r="A1033" s="57" t="inlineStr">
        <is>
          <t>FirstHArvest_OpenFieldLex</t>
        </is>
      </c>
      <c r="B1033" s="57" t="n">
        <v>152</v>
      </c>
      <c r="C1033" s="57" t="inlineStr">
        <is>
          <t>Genotypes</t>
        </is>
      </c>
      <c r="D1033" s="57" t="inlineStr">
        <is>
          <t xml:space="preserve">25-7 R2 </t>
        </is>
      </c>
      <c r="E1033" s="57" t="inlineStr">
        <is>
          <t>UKYT-25-007</t>
        </is>
      </c>
      <c r="F1033" s="57" t="inlineStr"/>
    </row>
    <row r="1034" ht="25" customHeight="1" s="55">
      <c r="A1034" s="57" t="inlineStr">
        <is>
          <t>FirstHArvest_OpenFieldLex</t>
        </is>
      </c>
      <c r="B1034" s="57" t="n">
        <v>152</v>
      </c>
      <c r="C1034" s="57" t="inlineStr">
        <is>
          <t>Location</t>
        </is>
      </c>
      <c r="D1034" s="57" t="inlineStr"/>
      <c r="E1034" s="57" t="inlineStr">
        <is>
          <t>South Farm</t>
        </is>
      </c>
      <c r="F1034" s="57" t="inlineStr">
        <is>
          <t>forced_from_sheet_name</t>
        </is>
      </c>
    </row>
    <row r="1035" ht="25" customHeight="1" s="55">
      <c r="A1035" s="57" t="inlineStr">
        <is>
          <t>FirstHArvest_OpenFieldLex</t>
        </is>
      </c>
      <c r="B1035" s="57" t="n">
        <v>152</v>
      </c>
      <c r="C1035" s="57" t="inlineStr">
        <is>
          <t>Harvest</t>
        </is>
      </c>
      <c r="D1035" s="57" t="inlineStr"/>
      <c r="E1035" s="57" t="inlineStr">
        <is>
          <t>First</t>
        </is>
      </c>
      <c r="F1035" s="57" t="inlineStr">
        <is>
          <t>forced_from_sheet_name</t>
        </is>
      </c>
    </row>
    <row r="1036" ht="25" customHeight="1" s="55">
      <c r="A1036" s="57" t="inlineStr">
        <is>
          <t>FirstHArvest_OpenFieldLex</t>
        </is>
      </c>
      <c r="B1036" s="57" t="n">
        <v>152</v>
      </c>
      <c r="C1036" s="57" t="inlineStr">
        <is>
          <t>Date of harvest</t>
        </is>
      </c>
      <c r="D1036" s="57" t="inlineStr"/>
      <c r="E1036" s="57" t="inlineStr">
        <is>
          <t>2026-07-23</t>
        </is>
      </c>
      <c r="F1036" s="57" t="inlineStr">
        <is>
          <t>date_forced:Recorded on first row; South Farm first harvest</t>
        </is>
      </c>
    </row>
    <row r="1037" ht="25" customHeight="1" s="55">
      <c r="A1037" s="57" t="inlineStr">
        <is>
          <t>FirstHArvest_OpenFieldLex</t>
        </is>
      </c>
      <c r="B1037" s="57" t="n">
        <v>153</v>
      </c>
      <c r="C1037" s="57" t="inlineStr">
        <is>
          <t>Genotypes</t>
        </is>
      </c>
      <c r="D1037" s="57" t="inlineStr">
        <is>
          <t>25-12 R3</t>
        </is>
      </c>
      <c r="E1037" s="57" t="inlineStr">
        <is>
          <t>UKYT-25-012</t>
        </is>
      </c>
      <c r="F1037" s="57" t="inlineStr"/>
    </row>
    <row r="1038" ht="25" customHeight="1" s="55">
      <c r="A1038" s="57" t="inlineStr">
        <is>
          <t>FirstHArvest_OpenFieldLex</t>
        </is>
      </c>
      <c r="B1038" s="57" t="n">
        <v>153</v>
      </c>
      <c r="C1038" s="57" t="inlineStr">
        <is>
          <t>Location</t>
        </is>
      </c>
      <c r="D1038" s="57" t="inlineStr"/>
      <c r="E1038" s="57" t="inlineStr">
        <is>
          <t>South Farm</t>
        </is>
      </c>
      <c r="F1038" s="57" t="inlineStr">
        <is>
          <t>forced_from_sheet_name</t>
        </is>
      </c>
    </row>
    <row r="1039" ht="25" customHeight="1" s="55">
      <c r="A1039" s="57" t="inlineStr">
        <is>
          <t>FirstHArvest_OpenFieldLex</t>
        </is>
      </c>
      <c r="B1039" s="57" t="n">
        <v>153</v>
      </c>
      <c r="C1039" s="57" t="inlineStr">
        <is>
          <t>Harvest</t>
        </is>
      </c>
      <c r="D1039" s="57" t="inlineStr"/>
      <c r="E1039" s="57" t="inlineStr">
        <is>
          <t>First</t>
        </is>
      </c>
      <c r="F1039" s="57" t="inlineStr">
        <is>
          <t>forced_from_sheet_name</t>
        </is>
      </c>
    </row>
    <row r="1040" ht="25" customHeight="1" s="55">
      <c r="A1040" s="57" t="inlineStr">
        <is>
          <t>FirstHArvest_OpenFieldLex</t>
        </is>
      </c>
      <c r="B1040" s="57" t="n">
        <v>153</v>
      </c>
      <c r="C1040" s="57" t="inlineStr">
        <is>
          <t>Date of harvest</t>
        </is>
      </c>
      <c r="D1040" s="57" t="inlineStr"/>
      <c r="E1040" s="57" t="inlineStr">
        <is>
          <t>2026-07-23</t>
        </is>
      </c>
      <c r="F1040" s="57" t="inlineStr">
        <is>
          <t>date_forced:Recorded on first row; South Farm first harvest</t>
        </is>
      </c>
    </row>
    <row r="1041" ht="25" customHeight="1" s="55">
      <c r="A1041" s="57" t="inlineStr">
        <is>
          <t>FirstHArvest_OpenFieldLex</t>
        </is>
      </c>
      <c r="B1041" s="57" t="n">
        <v>154</v>
      </c>
      <c r="C1041" s="57" t="inlineStr">
        <is>
          <t>Genotypes</t>
        </is>
      </c>
      <c r="D1041" s="57" t="inlineStr">
        <is>
          <t>25-9 R3</t>
        </is>
      </c>
      <c r="E1041" s="57" t="inlineStr">
        <is>
          <t>UKYT-25-009</t>
        </is>
      </c>
      <c r="F1041" s="57" t="inlineStr"/>
    </row>
    <row r="1042" ht="25" customHeight="1" s="55">
      <c r="A1042" s="57" t="inlineStr">
        <is>
          <t>FirstHArvest_OpenFieldLex</t>
        </is>
      </c>
      <c r="B1042" s="57" t="n">
        <v>154</v>
      </c>
      <c r="C1042" s="57" t="inlineStr">
        <is>
          <t>Location</t>
        </is>
      </c>
      <c r="D1042" s="57" t="inlineStr"/>
      <c r="E1042" s="57" t="inlineStr">
        <is>
          <t>South Farm</t>
        </is>
      </c>
      <c r="F1042" s="57" t="inlineStr">
        <is>
          <t>forced_from_sheet_name</t>
        </is>
      </c>
    </row>
    <row r="1043" ht="25" customHeight="1" s="55">
      <c r="A1043" s="57" t="inlineStr">
        <is>
          <t>FirstHArvest_OpenFieldLex</t>
        </is>
      </c>
      <c r="B1043" s="57" t="n">
        <v>154</v>
      </c>
      <c r="C1043" s="57" t="inlineStr">
        <is>
          <t>Harvest</t>
        </is>
      </c>
      <c r="D1043" s="57" t="inlineStr"/>
      <c r="E1043" s="57" t="inlineStr">
        <is>
          <t>First</t>
        </is>
      </c>
      <c r="F1043" s="57" t="inlineStr">
        <is>
          <t>forced_from_sheet_name</t>
        </is>
      </c>
    </row>
    <row r="1044" ht="25" customHeight="1" s="55">
      <c r="A1044" s="57" t="inlineStr">
        <is>
          <t>FirstHArvest_OpenFieldLex</t>
        </is>
      </c>
      <c r="B1044" s="57" t="n">
        <v>154</v>
      </c>
      <c r="C1044" s="57" t="inlineStr">
        <is>
          <t>Date of harvest</t>
        </is>
      </c>
      <c r="D1044" s="57" t="inlineStr"/>
      <c r="E1044" s="57" t="inlineStr">
        <is>
          <t>2026-07-23</t>
        </is>
      </c>
      <c r="F1044" s="57" t="inlineStr">
        <is>
          <t>date_forced:Recorded on first row; South Farm first harvest</t>
        </is>
      </c>
    </row>
    <row r="1045" ht="25" customHeight="1" s="55">
      <c r="A1045" s="57" t="inlineStr">
        <is>
          <t>FirstHArvest_OpenFieldLex</t>
        </is>
      </c>
      <c r="B1045" s="57" t="n">
        <v>1</v>
      </c>
      <c r="C1045" s="57" t="inlineStr">
        <is>
          <t>column_removed</t>
        </is>
      </c>
      <c r="D1045" s="57" t="inlineStr">
        <is>
          <t>WEIGHT(20 SAMPLES UM)</t>
        </is>
      </c>
      <c r="E1045" s="57" t="inlineStr"/>
      <c r="F1045" s="57" t="inlineStr">
        <is>
          <t>empty_or_duplicate</t>
        </is>
      </c>
    </row>
    <row r="1046" ht="25" customHeight="1" s="55">
      <c r="A1046" s="57" t="inlineStr">
        <is>
          <t>FirstHArvest_OpenFieldLex</t>
        </is>
      </c>
      <c r="B1046" s="57" t="n">
        <v>1</v>
      </c>
      <c r="C1046" s="57" t="inlineStr">
        <is>
          <t>header</t>
        </is>
      </c>
      <c r="D1046" s="57" t="inlineStr">
        <is>
          <t xml:space="preserve">WEIGHT(20 SAMPLES M) </t>
        </is>
      </c>
      <c r="E1046" s="57" t="inlineStr">
        <is>
          <t>Weight of 20 marketable (g)</t>
        </is>
      </c>
      <c r="F1046" s="57" t="inlineStr">
        <is>
          <t>standardized</t>
        </is>
      </c>
    </row>
    <row r="1047" ht="25" customHeight="1" s="55">
      <c r="A1047" s="57" t="inlineStr">
        <is>
          <t>SecondHarvestOpenField</t>
        </is>
      </c>
      <c r="B1047" s="57" t="n">
        <v>2</v>
      </c>
      <c r="C1047" s="57" t="inlineStr">
        <is>
          <t>Location</t>
        </is>
      </c>
      <c r="D1047" s="57" t="inlineStr">
        <is>
          <t>SouthFarm</t>
        </is>
      </c>
      <c r="E1047" s="57" t="inlineStr">
        <is>
          <t>South Farm</t>
        </is>
      </c>
      <c r="F1047" s="57" t="inlineStr">
        <is>
          <t>forced_from_sheet_name</t>
        </is>
      </c>
    </row>
    <row r="1048" ht="25" customHeight="1" s="55">
      <c r="A1048" s="57" t="inlineStr">
        <is>
          <t>SecondHarvestOpenField</t>
        </is>
      </c>
      <c r="B1048" s="57" t="n">
        <v>2</v>
      </c>
      <c r="C1048" s="57" t="inlineStr">
        <is>
          <t>Harvest</t>
        </is>
      </c>
      <c r="D1048" s="57" t="inlineStr"/>
      <c r="E1048" s="57" t="inlineStr">
        <is>
          <t>Second</t>
        </is>
      </c>
      <c r="F1048" s="57" t="inlineStr">
        <is>
          <t>forced_from_sheet_name</t>
        </is>
      </c>
    </row>
    <row r="1049" ht="25" customHeight="1" s="55">
      <c r="A1049" s="57" t="inlineStr">
        <is>
          <t>SecondHarvestOpenField</t>
        </is>
      </c>
      <c r="B1049" s="57" t="n">
        <v>3</v>
      </c>
      <c r="C1049" s="57" t="inlineStr">
        <is>
          <t>Location</t>
        </is>
      </c>
      <c r="D1049" s="57" t="inlineStr"/>
      <c r="E1049" s="57" t="inlineStr">
        <is>
          <t>South Farm</t>
        </is>
      </c>
      <c r="F1049" s="57" t="inlineStr">
        <is>
          <t>forced_from_sheet_name</t>
        </is>
      </c>
    </row>
    <row r="1050" ht="25" customHeight="1" s="55">
      <c r="A1050" s="57" t="inlineStr">
        <is>
          <t>SecondHarvestOpenField</t>
        </is>
      </c>
      <c r="B1050" s="57" t="n">
        <v>3</v>
      </c>
      <c r="C1050" s="57" t="inlineStr">
        <is>
          <t>Harvest</t>
        </is>
      </c>
      <c r="D1050" s="57" t="inlineStr"/>
      <c r="E1050" s="57" t="inlineStr">
        <is>
          <t>Second</t>
        </is>
      </c>
      <c r="F1050" s="57" t="inlineStr">
        <is>
          <t>forced_from_sheet_name</t>
        </is>
      </c>
    </row>
    <row r="1051" ht="25" customHeight="1" s="55">
      <c r="A1051" s="57" t="inlineStr">
        <is>
          <t>SecondHarvestOpenField</t>
        </is>
      </c>
      <c r="B1051" s="57" t="n">
        <v>4</v>
      </c>
      <c r="C1051" s="57" t="inlineStr">
        <is>
          <t>Location</t>
        </is>
      </c>
      <c r="D1051" s="57" t="inlineStr"/>
      <c r="E1051" s="57" t="inlineStr">
        <is>
          <t>South Farm</t>
        </is>
      </c>
      <c r="F1051" s="57" t="inlineStr">
        <is>
          <t>forced_from_sheet_name</t>
        </is>
      </c>
    </row>
    <row r="1052" ht="25" customHeight="1" s="55">
      <c r="A1052" s="57" t="inlineStr">
        <is>
          <t>SecondHarvestOpenField</t>
        </is>
      </c>
      <c r="B1052" s="57" t="n">
        <v>4</v>
      </c>
      <c r="C1052" s="57" t="inlineStr">
        <is>
          <t>Harvest</t>
        </is>
      </c>
      <c r="D1052" s="57" t="inlineStr"/>
      <c r="E1052" s="57" t="inlineStr">
        <is>
          <t>Second</t>
        </is>
      </c>
      <c r="F1052" s="57" t="inlineStr">
        <is>
          <t>forced_from_sheet_name</t>
        </is>
      </c>
    </row>
    <row r="1053" ht="25" customHeight="1" s="55">
      <c r="A1053" s="57" t="inlineStr">
        <is>
          <t>SecondHarvestOpenField</t>
        </is>
      </c>
      <c r="B1053" s="57" t="n">
        <v>5</v>
      </c>
      <c r="C1053" s="57" t="inlineStr">
        <is>
          <t>Location</t>
        </is>
      </c>
      <c r="D1053" s="57" t="inlineStr"/>
      <c r="E1053" s="57" t="inlineStr">
        <is>
          <t>South Farm</t>
        </is>
      </c>
      <c r="F1053" s="57" t="inlineStr">
        <is>
          <t>forced_from_sheet_name</t>
        </is>
      </c>
    </row>
    <row r="1054" ht="25" customHeight="1" s="55">
      <c r="A1054" s="57" t="inlineStr">
        <is>
          <t>SecondHarvestOpenField</t>
        </is>
      </c>
      <c r="B1054" s="57" t="n">
        <v>5</v>
      </c>
      <c r="C1054" s="57" t="inlineStr">
        <is>
          <t>Harvest</t>
        </is>
      </c>
      <c r="D1054" s="57" t="inlineStr"/>
      <c r="E1054" s="57" t="inlineStr">
        <is>
          <t>Second</t>
        </is>
      </c>
      <c r="F1054" s="57" t="inlineStr">
        <is>
          <t>forced_from_sheet_name</t>
        </is>
      </c>
    </row>
    <row r="1055" ht="25" customHeight="1" s="55">
      <c r="A1055" s="57" t="inlineStr">
        <is>
          <t>SecondHarvestOpenField</t>
        </is>
      </c>
      <c r="B1055" s="57" t="n">
        <v>6</v>
      </c>
      <c r="C1055" s="57" t="inlineStr">
        <is>
          <t>Genotypes</t>
        </is>
      </c>
      <c r="D1055" s="57" t="inlineStr">
        <is>
          <t>Mountain magic</t>
        </is>
      </c>
      <c r="E1055" s="57" t="inlineStr">
        <is>
          <t>Mt. Magic</t>
        </is>
      </c>
      <c r="F1055" s="57" t="inlineStr"/>
    </row>
    <row r="1056" ht="25" customHeight="1" s="55">
      <c r="A1056" s="57" t="inlineStr">
        <is>
          <t>SecondHarvestOpenField</t>
        </is>
      </c>
      <c r="B1056" s="57" t="n">
        <v>6</v>
      </c>
      <c r="C1056" s="57" t="inlineStr">
        <is>
          <t>Location</t>
        </is>
      </c>
      <c r="D1056" s="57" t="inlineStr"/>
      <c r="E1056" s="57" t="inlineStr">
        <is>
          <t>South Farm</t>
        </is>
      </c>
      <c r="F1056" s="57" t="inlineStr">
        <is>
          <t>forced_from_sheet_name</t>
        </is>
      </c>
    </row>
    <row r="1057" ht="25" customHeight="1" s="55">
      <c r="A1057" s="57" t="inlineStr">
        <is>
          <t>SecondHarvestOpenField</t>
        </is>
      </c>
      <c r="B1057" s="57" t="n">
        <v>6</v>
      </c>
      <c r="C1057" s="57" t="inlineStr">
        <is>
          <t>Harvest</t>
        </is>
      </c>
      <c r="D1057" s="57" t="inlineStr"/>
      <c r="E1057" s="57" t="inlineStr">
        <is>
          <t>Second</t>
        </is>
      </c>
      <c r="F1057" s="57" t="inlineStr">
        <is>
          <t>forced_from_sheet_name</t>
        </is>
      </c>
    </row>
    <row r="1058" ht="25" customHeight="1" s="55">
      <c r="A1058" s="57" t="inlineStr">
        <is>
          <t>SecondHarvestOpenField</t>
        </is>
      </c>
      <c r="B1058" s="57" t="n">
        <v>7</v>
      </c>
      <c r="C1058" s="57" t="inlineStr">
        <is>
          <t>Genotypes</t>
        </is>
      </c>
      <c r="D1058" s="57" t="inlineStr">
        <is>
          <t>Mountain Girl</t>
        </is>
      </c>
      <c r="E1058" s="57" t="inlineStr">
        <is>
          <t>Mt. Girl</t>
        </is>
      </c>
      <c r="F1058" s="57" t="inlineStr"/>
    </row>
    <row r="1059" ht="25" customHeight="1" s="55">
      <c r="A1059" s="57" t="inlineStr">
        <is>
          <t>SecondHarvestOpenField</t>
        </is>
      </c>
      <c r="B1059" s="57" t="n">
        <v>7</v>
      </c>
      <c r="C1059" s="57" t="inlineStr">
        <is>
          <t>Location</t>
        </is>
      </c>
      <c r="D1059" s="57" t="inlineStr"/>
      <c r="E1059" s="57" t="inlineStr">
        <is>
          <t>South Farm</t>
        </is>
      </c>
      <c r="F1059" s="57" t="inlineStr">
        <is>
          <t>forced_from_sheet_name</t>
        </is>
      </c>
    </row>
    <row r="1060" ht="25" customHeight="1" s="55">
      <c r="A1060" s="57" t="inlineStr">
        <is>
          <t>SecondHarvestOpenField</t>
        </is>
      </c>
      <c r="B1060" s="57" t="n">
        <v>7</v>
      </c>
      <c r="C1060" s="57" t="inlineStr">
        <is>
          <t>Harvest</t>
        </is>
      </c>
      <c r="D1060" s="57" t="inlineStr"/>
      <c r="E1060" s="57" t="inlineStr">
        <is>
          <t>Second</t>
        </is>
      </c>
      <c r="F1060" s="57" t="inlineStr">
        <is>
          <t>forced_from_sheet_name</t>
        </is>
      </c>
    </row>
    <row r="1061" ht="25" customHeight="1" s="55">
      <c r="A1061" s="57" t="inlineStr">
        <is>
          <t>SecondHarvestOpenField</t>
        </is>
      </c>
      <c r="B1061" s="57" t="n">
        <v>8</v>
      </c>
      <c r="C1061" s="57" t="inlineStr">
        <is>
          <t>Location</t>
        </is>
      </c>
      <c r="D1061" s="57" t="inlineStr"/>
      <c r="E1061" s="57" t="inlineStr">
        <is>
          <t>South Farm</t>
        </is>
      </c>
      <c r="F1061" s="57" t="inlineStr">
        <is>
          <t>forced_from_sheet_name</t>
        </is>
      </c>
    </row>
    <row r="1062" ht="25" customHeight="1" s="55">
      <c r="A1062" s="57" t="inlineStr">
        <is>
          <t>SecondHarvestOpenField</t>
        </is>
      </c>
      <c r="B1062" s="57" t="n">
        <v>8</v>
      </c>
      <c r="C1062" s="57" t="inlineStr">
        <is>
          <t>Harvest</t>
        </is>
      </c>
      <c r="D1062" s="57" t="inlineStr"/>
      <c r="E1062" s="57" t="inlineStr">
        <is>
          <t>Second</t>
        </is>
      </c>
      <c r="F1062" s="57" t="inlineStr">
        <is>
          <t>forced_from_sheet_name</t>
        </is>
      </c>
    </row>
    <row r="1063" ht="25" customHeight="1" s="55">
      <c r="A1063" s="57" t="inlineStr">
        <is>
          <t>SecondHarvestOpenField</t>
        </is>
      </c>
      <c r="B1063" s="57" t="n">
        <v>9</v>
      </c>
      <c r="C1063" s="57" t="inlineStr">
        <is>
          <t>Location</t>
        </is>
      </c>
      <c r="D1063" s="57" t="inlineStr"/>
      <c r="E1063" s="57" t="inlineStr">
        <is>
          <t>South Farm</t>
        </is>
      </c>
      <c r="F1063" s="57" t="inlineStr">
        <is>
          <t>forced_from_sheet_name</t>
        </is>
      </c>
    </row>
    <row r="1064" ht="25" customHeight="1" s="55">
      <c r="A1064" s="57" t="inlineStr">
        <is>
          <t>SecondHarvestOpenField</t>
        </is>
      </c>
      <c r="B1064" s="57" t="n">
        <v>9</v>
      </c>
      <c r="C1064" s="57" t="inlineStr">
        <is>
          <t>Harvest</t>
        </is>
      </c>
      <c r="D1064" s="57" t="inlineStr"/>
      <c r="E1064" s="57" t="inlineStr">
        <is>
          <t>Second</t>
        </is>
      </c>
      <c r="F1064" s="57" t="inlineStr">
        <is>
          <t>forced_from_sheet_name</t>
        </is>
      </c>
    </row>
    <row r="1065" ht="25" customHeight="1" s="55">
      <c r="A1065" s="57" t="inlineStr">
        <is>
          <t>SecondHarvestOpenField</t>
        </is>
      </c>
      <c r="B1065" s="57" t="n">
        <v>10</v>
      </c>
      <c r="C1065" s="57" t="inlineStr">
        <is>
          <t>Location</t>
        </is>
      </c>
      <c r="D1065" s="57" t="inlineStr"/>
      <c r="E1065" s="57" t="inlineStr">
        <is>
          <t>South Farm</t>
        </is>
      </c>
      <c r="F1065" s="57" t="inlineStr">
        <is>
          <t>forced_from_sheet_name</t>
        </is>
      </c>
    </row>
    <row r="1066" ht="25" customHeight="1" s="55">
      <c r="A1066" s="57" t="inlineStr">
        <is>
          <t>SecondHarvestOpenField</t>
        </is>
      </c>
      <c r="B1066" s="57" t="n">
        <v>10</v>
      </c>
      <c r="C1066" s="57" t="inlineStr">
        <is>
          <t>Harvest</t>
        </is>
      </c>
      <c r="D1066" s="57" t="inlineStr"/>
      <c r="E1066" s="57" t="inlineStr">
        <is>
          <t>Second</t>
        </is>
      </c>
      <c r="F1066" s="57" t="inlineStr">
        <is>
          <t>forced_from_sheet_name</t>
        </is>
      </c>
    </row>
    <row r="1067" ht="25" customHeight="1" s="55">
      <c r="A1067" s="57" t="inlineStr">
        <is>
          <t>SecondHarvestOpenField</t>
        </is>
      </c>
      <c r="B1067" s="57" t="n">
        <v>11</v>
      </c>
      <c r="C1067" s="57" t="inlineStr">
        <is>
          <t>Location</t>
        </is>
      </c>
      <c r="D1067" s="57" t="inlineStr"/>
      <c r="E1067" s="57" t="inlineStr">
        <is>
          <t>South Farm</t>
        </is>
      </c>
      <c r="F1067" s="57" t="inlineStr">
        <is>
          <t>forced_from_sheet_name</t>
        </is>
      </c>
    </row>
    <row r="1068" ht="25" customHeight="1" s="55">
      <c r="A1068" s="57" t="inlineStr">
        <is>
          <t>SecondHarvestOpenField</t>
        </is>
      </c>
      <c r="B1068" s="57" t="n">
        <v>11</v>
      </c>
      <c r="C1068" s="57" t="inlineStr">
        <is>
          <t>Harvest</t>
        </is>
      </c>
      <c r="D1068" s="57" t="inlineStr"/>
      <c r="E1068" s="57" t="inlineStr">
        <is>
          <t>Second</t>
        </is>
      </c>
      <c r="F1068" s="57" t="inlineStr">
        <is>
          <t>forced_from_sheet_name</t>
        </is>
      </c>
    </row>
    <row r="1069" ht="25" customHeight="1" s="55">
      <c r="A1069" s="57" t="inlineStr">
        <is>
          <t>SecondHarvestOpenField</t>
        </is>
      </c>
      <c r="B1069" s="57" t="n">
        <v>12</v>
      </c>
      <c r="C1069" s="57" t="inlineStr">
        <is>
          <t>Location</t>
        </is>
      </c>
      <c r="D1069" s="57" t="inlineStr"/>
      <c r="E1069" s="57" t="inlineStr">
        <is>
          <t>South Farm</t>
        </is>
      </c>
      <c r="F1069" s="57" t="inlineStr">
        <is>
          <t>forced_from_sheet_name</t>
        </is>
      </c>
    </row>
    <row r="1070" ht="25" customHeight="1" s="55">
      <c r="A1070" s="57" t="inlineStr">
        <is>
          <t>SecondHarvestOpenField</t>
        </is>
      </c>
      <c r="B1070" s="57" t="n">
        <v>12</v>
      </c>
      <c r="C1070" s="57" t="inlineStr">
        <is>
          <t>Harvest</t>
        </is>
      </c>
      <c r="D1070" s="57" t="inlineStr"/>
      <c r="E1070" s="57" t="inlineStr">
        <is>
          <t>Second</t>
        </is>
      </c>
      <c r="F1070" s="57" t="inlineStr">
        <is>
          <t>forced_from_sheet_name</t>
        </is>
      </c>
    </row>
    <row r="1071" ht="25" customHeight="1" s="55">
      <c r="A1071" s="57" t="inlineStr">
        <is>
          <t>SecondHarvestOpenField</t>
        </is>
      </c>
      <c r="B1071" s="57" t="n">
        <v>13</v>
      </c>
      <c r="C1071" s="57" t="inlineStr">
        <is>
          <t>Location</t>
        </is>
      </c>
      <c r="D1071" s="57" t="inlineStr"/>
      <c r="E1071" s="57" t="inlineStr">
        <is>
          <t>South Farm</t>
        </is>
      </c>
      <c r="F1071" s="57" t="inlineStr">
        <is>
          <t>forced_from_sheet_name</t>
        </is>
      </c>
    </row>
    <row r="1072" ht="25" customHeight="1" s="55">
      <c r="A1072" s="57" t="inlineStr">
        <is>
          <t>SecondHarvestOpenField</t>
        </is>
      </c>
      <c r="B1072" s="57" t="n">
        <v>13</v>
      </c>
      <c r="C1072" s="57" t="inlineStr">
        <is>
          <t>Harvest</t>
        </is>
      </c>
      <c r="D1072" s="57" t="inlineStr"/>
      <c r="E1072" s="57" t="inlineStr">
        <is>
          <t>Second</t>
        </is>
      </c>
      <c r="F1072" s="57" t="inlineStr">
        <is>
          <t>forced_from_sheet_name</t>
        </is>
      </c>
    </row>
    <row r="1073" ht="25" customHeight="1" s="55">
      <c r="A1073" s="57" t="inlineStr">
        <is>
          <t>SecondHarvestOpenField</t>
        </is>
      </c>
      <c r="B1073" s="57" t="n">
        <v>14</v>
      </c>
      <c r="C1073" s="57" t="inlineStr">
        <is>
          <t>Location</t>
        </is>
      </c>
      <c r="D1073" s="57" t="inlineStr"/>
      <c r="E1073" s="57" t="inlineStr">
        <is>
          <t>South Farm</t>
        </is>
      </c>
      <c r="F1073" s="57" t="inlineStr">
        <is>
          <t>forced_from_sheet_name</t>
        </is>
      </c>
    </row>
    <row r="1074" ht="25" customHeight="1" s="55">
      <c r="A1074" s="57" t="inlineStr">
        <is>
          <t>SecondHarvestOpenField</t>
        </is>
      </c>
      <c r="B1074" s="57" t="n">
        <v>14</v>
      </c>
      <c r="C1074" s="57" t="inlineStr">
        <is>
          <t>Harvest</t>
        </is>
      </c>
      <c r="D1074" s="57" t="inlineStr"/>
      <c r="E1074" s="57" t="inlineStr">
        <is>
          <t>Second</t>
        </is>
      </c>
      <c r="F1074" s="57" t="inlineStr">
        <is>
          <t>forced_from_sheet_name</t>
        </is>
      </c>
    </row>
    <row r="1075" ht="25" customHeight="1" s="55">
      <c r="A1075" s="57" t="inlineStr">
        <is>
          <t>SecondHarvestOpenField</t>
        </is>
      </c>
      <c r="B1075" s="57" t="n">
        <v>15</v>
      </c>
      <c r="C1075" s="57" t="inlineStr">
        <is>
          <t>Location</t>
        </is>
      </c>
      <c r="D1075" s="57" t="inlineStr"/>
      <c r="E1075" s="57" t="inlineStr">
        <is>
          <t>South Farm</t>
        </is>
      </c>
      <c r="F1075" s="57" t="inlineStr">
        <is>
          <t>forced_from_sheet_name</t>
        </is>
      </c>
    </row>
    <row r="1076" ht="25" customHeight="1" s="55">
      <c r="A1076" s="57" t="inlineStr">
        <is>
          <t>SecondHarvestOpenField</t>
        </is>
      </c>
      <c r="B1076" s="57" t="n">
        <v>15</v>
      </c>
      <c r="C1076" s="57" t="inlineStr">
        <is>
          <t>Harvest</t>
        </is>
      </c>
      <c r="D1076" s="57" t="inlineStr"/>
      <c r="E1076" s="57" t="inlineStr">
        <is>
          <t>Second</t>
        </is>
      </c>
      <c r="F1076" s="57" t="inlineStr">
        <is>
          <t>forced_from_sheet_name</t>
        </is>
      </c>
    </row>
    <row r="1077" ht="25" customHeight="1" s="55">
      <c r="A1077" s="57" t="inlineStr">
        <is>
          <t>SecondHarvestOpenField</t>
        </is>
      </c>
      <c r="B1077" s="57" t="n">
        <v>16</v>
      </c>
      <c r="C1077" s="57" t="inlineStr">
        <is>
          <t>Genotypes</t>
        </is>
      </c>
      <c r="D1077" s="57" t="inlineStr">
        <is>
          <t>N25217G</t>
        </is>
      </c>
      <c r="E1077" s="57" t="inlineStr">
        <is>
          <t>NC25217G</t>
        </is>
      </c>
      <c r="F1077" s="57" t="inlineStr"/>
    </row>
    <row r="1078" ht="25" customHeight="1" s="55">
      <c r="A1078" s="57" t="inlineStr">
        <is>
          <t>SecondHarvestOpenField</t>
        </is>
      </c>
      <c r="B1078" s="57" t="n">
        <v>16</v>
      </c>
      <c r="C1078" s="57" t="inlineStr">
        <is>
          <t>Location</t>
        </is>
      </c>
      <c r="D1078" s="57" t="inlineStr"/>
      <c r="E1078" s="57" t="inlineStr">
        <is>
          <t>South Farm</t>
        </is>
      </c>
      <c r="F1078" s="57" t="inlineStr">
        <is>
          <t>forced_from_sheet_name</t>
        </is>
      </c>
    </row>
    <row r="1079" ht="25" customHeight="1" s="55">
      <c r="A1079" s="57" t="inlineStr">
        <is>
          <t>SecondHarvestOpenField</t>
        </is>
      </c>
      <c r="B1079" s="57" t="n">
        <v>16</v>
      </c>
      <c r="C1079" s="57" t="inlineStr">
        <is>
          <t>Harvest</t>
        </is>
      </c>
      <c r="D1079" s="57" t="inlineStr"/>
      <c r="E1079" s="57" t="inlineStr">
        <is>
          <t>Second</t>
        </is>
      </c>
      <c r="F1079" s="57" t="inlineStr">
        <is>
          <t>forced_from_sheet_name</t>
        </is>
      </c>
    </row>
    <row r="1080" ht="25" customHeight="1" s="55">
      <c r="A1080" s="57" t="inlineStr">
        <is>
          <t>SecondHarvestOpenField</t>
        </is>
      </c>
      <c r="B1080" s="57" t="n">
        <v>17</v>
      </c>
      <c r="C1080" s="57" t="inlineStr">
        <is>
          <t>Location</t>
        </is>
      </c>
      <c r="D1080" s="57" t="inlineStr"/>
      <c r="E1080" s="57" t="inlineStr">
        <is>
          <t>South Farm</t>
        </is>
      </c>
      <c r="F1080" s="57" t="inlineStr">
        <is>
          <t>forced_from_sheet_name</t>
        </is>
      </c>
    </row>
    <row r="1081" ht="25" customHeight="1" s="55">
      <c r="A1081" s="57" t="inlineStr">
        <is>
          <t>SecondHarvestOpenField</t>
        </is>
      </c>
      <c r="B1081" s="57" t="n">
        <v>17</v>
      </c>
      <c r="C1081" s="57" t="inlineStr">
        <is>
          <t>Harvest</t>
        </is>
      </c>
      <c r="D1081" s="57" t="inlineStr"/>
      <c r="E1081" s="57" t="inlineStr">
        <is>
          <t>Second</t>
        </is>
      </c>
      <c r="F1081" s="57" t="inlineStr">
        <is>
          <t>forced_from_sheet_name</t>
        </is>
      </c>
    </row>
    <row r="1082" ht="25" customHeight="1" s="55">
      <c r="A1082" s="57" t="inlineStr">
        <is>
          <t>SecondHarvestOpenField</t>
        </is>
      </c>
      <c r="B1082" s="57" t="n">
        <v>18</v>
      </c>
      <c r="C1082" s="57" t="inlineStr">
        <is>
          <t>Location</t>
        </is>
      </c>
      <c r="D1082" s="57" t="inlineStr"/>
      <c r="E1082" s="57" t="inlineStr">
        <is>
          <t>South Farm</t>
        </is>
      </c>
      <c r="F1082" s="57" t="inlineStr">
        <is>
          <t>forced_from_sheet_name</t>
        </is>
      </c>
    </row>
    <row r="1083" ht="25" customHeight="1" s="55">
      <c r="A1083" s="57" t="inlineStr">
        <is>
          <t>SecondHarvestOpenField</t>
        </is>
      </c>
      <c r="B1083" s="57" t="n">
        <v>18</v>
      </c>
      <c r="C1083" s="57" t="inlineStr">
        <is>
          <t>Harvest</t>
        </is>
      </c>
      <c r="D1083" s="57" t="inlineStr"/>
      <c r="E1083" s="57" t="inlineStr">
        <is>
          <t>Second</t>
        </is>
      </c>
      <c r="F1083" s="57" t="inlineStr">
        <is>
          <t>forced_from_sheet_name</t>
        </is>
      </c>
    </row>
    <row r="1084" ht="25" customHeight="1" s="55">
      <c r="A1084" s="57" t="inlineStr">
        <is>
          <t>SecondHarvestOpenField</t>
        </is>
      </c>
      <c r="B1084" s="57" t="n">
        <v>19</v>
      </c>
      <c r="C1084" s="57" t="inlineStr">
        <is>
          <t>Location</t>
        </is>
      </c>
      <c r="D1084" s="57" t="inlineStr"/>
      <c r="E1084" s="57" t="inlineStr">
        <is>
          <t>South Farm</t>
        </is>
      </c>
      <c r="F1084" s="57" t="inlineStr">
        <is>
          <t>forced_from_sheet_name</t>
        </is>
      </c>
    </row>
    <row r="1085" ht="25" customHeight="1" s="55">
      <c r="A1085" s="57" t="inlineStr">
        <is>
          <t>SecondHarvestOpenField</t>
        </is>
      </c>
      <c r="B1085" s="57" t="n">
        <v>19</v>
      </c>
      <c r="C1085" s="57" t="inlineStr">
        <is>
          <t>Harvest</t>
        </is>
      </c>
      <c r="D1085" s="57" t="inlineStr"/>
      <c r="E1085" s="57" t="inlineStr">
        <is>
          <t>Second</t>
        </is>
      </c>
      <c r="F1085" s="57" t="inlineStr">
        <is>
          <t>forced_from_sheet_name</t>
        </is>
      </c>
    </row>
    <row r="1086" ht="25" customHeight="1" s="55">
      <c r="A1086" s="57" t="inlineStr">
        <is>
          <t>SecondHarvestOpenField</t>
        </is>
      </c>
      <c r="B1086" s="57" t="n">
        <v>20</v>
      </c>
      <c r="C1086" s="57" t="inlineStr">
        <is>
          <t>Location</t>
        </is>
      </c>
      <c r="D1086" s="57" t="inlineStr"/>
      <c r="E1086" s="57" t="inlineStr">
        <is>
          <t>South Farm</t>
        </is>
      </c>
      <c r="F1086" s="57" t="inlineStr">
        <is>
          <t>forced_from_sheet_name</t>
        </is>
      </c>
    </row>
    <row r="1087" ht="25" customHeight="1" s="55">
      <c r="A1087" s="57" t="inlineStr">
        <is>
          <t>SecondHarvestOpenField</t>
        </is>
      </c>
      <c r="B1087" s="57" t="n">
        <v>20</v>
      </c>
      <c r="C1087" s="57" t="inlineStr">
        <is>
          <t>Harvest</t>
        </is>
      </c>
      <c r="D1087" s="57" t="inlineStr"/>
      <c r="E1087" s="57" t="inlineStr">
        <is>
          <t>Second</t>
        </is>
      </c>
      <c r="F1087" s="57" t="inlineStr">
        <is>
          <t>forced_from_sheet_name</t>
        </is>
      </c>
    </row>
    <row r="1088" ht="25" customHeight="1" s="55">
      <c r="A1088" s="57" t="inlineStr">
        <is>
          <t>SecondHarvestOpenField</t>
        </is>
      </c>
      <c r="B1088" s="57" t="n">
        <v>21</v>
      </c>
      <c r="C1088" s="57" t="inlineStr">
        <is>
          <t>Location</t>
        </is>
      </c>
      <c r="D1088" s="57" t="inlineStr"/>
      <c r="E1088" s="57" t="inlineStr">
        <is>
          <t>South Farm</t>
        </is>
      </c>
      <c r="F1088" s="57" t="inlineStr">
        <is>
          <t>forced_from_sheet_name</t>
        </is>
      </c>
    </row>
    <row r="1089" ht="25" customHeight="1" s="55">
      <c r="A1089" s="57" t="inlineStr">
        <is>
          <t>SecondHarvestOpenField</t>
        </is>
      </c>
      <c r="B1089" s="57" t="n">
        <v>21</v>
      </c>
      <c r="C1089" s="57" t="inlineStr">
        <is>
          <t>Harvest</t>
        </is>
      </c>
      <c r="D1089" s="57" t="inlineStr"/>
      <c r="E1089" s="57" t="inlineStr">
        <is>
          <t>Second</t>
        </is>
      </c>
      <c r="F1089" s="57" t="inlineStr">
        <is>
          <t>forced_from_sheet_name</t>
        </is>
      </c>
    </row>
    <row r="1090" ht="25" customHeight="1" s="55">
      <c r="A1090" s="57" t="inlineStr">
        <is>
          <t>SecondHarvestOpenField</t>
        </is>
      </c>
      <c r="B1090" s="57" t="n">
        <v>22</v>
      </c>
      <c r="C1090" s="57" t="inlineStr">
        <is>
          <t>Location</t>
        </is>
      </c>
      <c r="D1090" s="57" t="inlineStr"/>
      <c r="E1090" s="57" t="inlineStr">
        <is>
          <t>South Farm</t>
        </is>
      </c>
      <c r="F1090" s="57" t="inlineStr">
        <is>
          <t>forced_from_sheet_name</t>
        </is>
      </c>
    </row>
    <row r="1091" ht="25" customHeight="1" s="55">
      <c r="A1091" s="57" t="inlineStr">
        <is>
          <t>SecondHarvestOpenField</t>
        </is>
      </c>
      <c r="B1091" s="57" t="n">
        <v>22</v>
      </c>
      <c r="C1091" s="57" t="inlineStr">
        <is>
          <t>Harvest</t>
        </is>
      </c>
      <c r="D1091" s="57" t="inlineStr"/>
      <c r="E1091" s="57" t="inlineStr">
        <is>
          <t>Second</t>
        </is>
      </c>
      <c r="F1091" s="57" t="inlineStr">
        <is>
          <t>forced_from_sheet_name</t>
        </is>
      </c>
    </row>
    <row r="1092" ht="25" customHeight="1" s="55">
      <c r="A1092" s="57" t="inlineStr">
        <is>
          <t>SecondHarvestOpenField</t>
        </is>
      </c>
      <c r="B1092" s="57" t="n">
        <v>23</v>
      </c>
      <c r="C1092" s="57" t="inlineStr">
        <is>
          <t>Genotypes</t>
        </is>
      </c>
      <c r="D1092" s="57" t="inlineStr">
        <is>
          <t>Mountain magic</t>
        </is>
      </c>
      <c r="E1092" s="57" t="inlineStr">
        <is>
          <t>Mt. Magic</t>
        </is>
      </c>
      <c r="F1092" s="57" t="inlineStr"/>
    </row>
    <row r="1093" ht="25" customHeight="1" s="55">
      <c r="A1093" s="57" t="inlineStr">
        <is>
          <t>SecondHarvestOpenField</t>
        </is>
      </c>
      <c r="B1093" s="57" t="n">
        <v>23</v>
      </c>
      <c r="C1093" s="57" t="inlineStr">
        <is>
          <t>Location</t>
        </is>
      </c>
      <c r="D1093" s="57" t="inlineStr"/>
      <c r="E1093" s="57" t="inlineStr">
        <is>
          <t>South Farm</t>
        </is>
      </c>
      <c r="F1093" s="57" t="inlineStr">
        <is>
          <t>forced_from_sheet_name</t>
        </is>
      </c>
    </row>
    <row r="1094" ht="25" customHeight="1" s="55">
      <c r="A1094" s="57" t="inlineStr">
        <is>
          <t>SecondHarvestOpenField</t>
        </is>
      </c>
      <c r="B1094" s="57" t="n">
        <v>23</v>
      </c>
      <c r="C1094" s="57" t="inlineStr">
        <is>
          <t>Harvest</t>
        </is>
      </c>
      <c r="D1094" s="57" t="inlineStr"/>
      <c r="E1094" s="57" t="inlineStr">
        <is>
          <t>Second</t>
        </is>
      </c>
      <c r="F1094" s="57" t="inlineStr">
        <is>
          <t>forced_from_sheet_name</t>
        </is>
      </c>
    </row>
    <row r="1095" ht="25" customHeight="1" s="55">
      <c r="A1095" s="57" t="inlineStr">
        <is>
          <t>SecondHarvestOpenField</t>
        </is>
      </c>
      <c r="B1095" s="57" t="n">
        <v>24</v>
      </c>
      <c r="C1095" s="57" t="inlineStr">
        <is>
          <t>Location</t>
        </is>
      </c>
      <c r="D1095" s="57" t="inlineStr"/>
      <c r="E1095" s="57" t="inlineStr">
        <is>
          <t>South Farm</t>
        </is>
      </c>
      <c r="F1095" s="57" t="inlineStr">
        <is>
          <t>forced_from_sheet_name</t>
        </is>
      </c>
    </row>
    <row r="1096" ht="25" customHeight="1" s="55">
      <c r="A1096" s="57" t="inlineStr">
        <is>
          <t>SecondHarvestOpenField</t>
        </is>
      </c>
      <c r="B1096" s="57" t="n">
        <v>24</v>
      </c>
      <c r="C1096" s="57" t="inlineStr">
        <is>
          <t>Harvest</t>
        </is>
      </c>
      <c r="D1096" s="57" t="inlineStr"/>
      <c r="E1096" s="57" t="inlineStr">
        <is>
          <t>Second</t>
        </is>
      </c>
      <c r="F1096" s="57" t="inlineStr">
        <is>
          <t>forced_from_sheet_name</t>
        </is>
      </c>
    </row>
    <row r="1097" ht="25" customHeight="1" s="55">
      <c r="A1097" s="57" t="inlineStr">
        <is>
          <t>SecondHarvestOpenField</t>
        </is>
      </c>
      <c r="B1097" s="57" t="n">
        <v>25</v>
      </c>
      <c r="C1097" s="57" t="inlineStr">
        <is>
          <t>Location</t>
        </is>
      </c>
      <c r="D1097" s="57" t="inlineStr"/>
      <c r="E1097" s="57" t="inlineStr">
        <is>
          <t>South Farm</t>
        </is>
      </c>
      <c r="F1097" s="57" t="inlineStr">
        <is>
          <t>forced_from_sheet_name</t>
        </is>
      </c>
    </row>
    <row r="1098" ht="25" customHeight="1" s="55">
      <c r="A1098" s="57" t="inlineStr">
        <is>
          <t>SecondHarvestOpenField</t>
        </is>
      </c>
      <c r="B1098" s="57" t="n">
        <v>25</v>
      </c>
      <c r="C1098" s="57" t="inlineStr">
        <is>
          <t>Harvest</t>
        </is>
      </c>
      <c r="D1098" s="57" t="inlineStr"/>
      <c r="E1098" s="57" t="inlineStr">
        <is>
          <t>Second</t>
        </is>
      </c>
      <c r="F1098" s="57" t="inlineStr">
        <is>
          <t>forced_from_sheet_name</t>
        </is>
      </c>
    </row>
    <row r="1099" ht="25" customHeight="1" s="55">
      <c r="A1099" s="57" t="inlineStr">
        <is>
          <t>SecondHarvestOpenField</t>
        </is>
      </c>
      <c r="B1099" s="57" t="n">
        <v>26</v>
      </c>
      <c r="C1099" s="57" t="inlineStr">
        <is>
          <t>Genotypes</t>
        </is>
      </c>
      <c r="D1099" s="57" t="inlineStr">
        <is>
          <t>Mountain Girl</t>
        </is>
      </c>
      <c r="E1099" s="57" t="inlineStr">
        <is>
          <t>Mt. Girl</t>
        </is>
      </c>
      <c r="F1099" s="57" t="inlineStr"/>
    </row>
    <row r="1100" ht="25" customHeight="1" s="55">
      <c r="A1100" s="57" t="inlineStr">
        <is>
          <t>SecondHarvestOpenField</t>
        </is>
      </c>
      <c r="B1100" s="57" t="n">
        <v>26</v>
      </c>
      <c r="C1100" s="57" t="inlineStr">
        <is>
          <t>Location</t>
        </is>
      </c>
      <c r="D1100" s="57" t="inlineStr"/>
      <c r="E1100" s="57" t="inlineStr">
        <is>
          <t>South Farm</t>
        </is>
      </c>
      <c r="F1100" s="57" t="inlineStr">
        <is>
          <t>forced_from_sheet_name</t>
        </is>
      </c>
    </row>
    <row r="1101" ht="25" customHeight="1" s="55">
      <c r="A1101" s="57" t="inlineStr">
        <is>
          <t>SecondHarvestOpenField</t>
        </is>
      </c>
      <c r="B1101" s="57" t="n">
        <v>26</v>
      </c>
      <c r="C1101" s="57" t="inlineStr">
        <is>
          <t>Harvest</t>
        </is>
      </c>
      <c r="D1101" s="57" t="inlineStr"/>
      <c r="E1101" s="57" t="inlineStr">
        <is>
          <t>Second</t>
        </is>
      </c>
      <c r="F1101" s="57" t="inlineStr">
        <is>
          <t>forced_from_sheet_name</t>
        </is>
      </c>
    </row>
    <row r="1102" ht="25" customHeight="1" s="55">
      <c r="A1102" s="57" t="inlineStr">
        <is>
          <t>SecondHarvestOpenField</t>
        </is>
      </c>
      <c r="B1102" s="57" t="n">
        <v>27</v>
      </c>
      <c r="C1102" s="57" t="inlineStr">
        <is>
          <t>Location</t>
        </is>
      </c>
      <c r="D1102" s="57" t="inlineStr"/>
      <c r="E1102" s="57" t="inlineStr">
        <is>
          <t>South Farm</t>
        </is>
      </c>
      <c r="F1102" s="57" t="inlineStr">
        <is>
          <t>forced_from_sheet_name</t>
        </is>
      </c>
    </row>
    <row r="1103" ht="25" customHeight="1" s="55">
      <c r="A1103" s="57" t="inlineStr">
        <is>
          <t>SecondHarvestOpenField</t>
        </is>
      </c>
      <c r="B1103" s="57" t="n">
        <v>27</v>
      </c>
      <c r="C1103" s="57" t="inlineStr">
        <is>
          <t>Harvest</t>
        </is>
      </c>
      <c r="D1103" s="57" t="inlineStr"/>
      <c r="E1103" s="57" t="inlineStr">
        <is>
          <t>Second</t>
        </is>
      </c>
      <c r="F1103" s="57" t="inlineStr">
        <is>
          <t>forced_from_sheet_name</t>
        </is>
      </c>
    </row>
    <row r="1104" ht="25" customHeight="1" s="55">
      <c r="A1104" s="57" t="inlineStr">
        <is>
          <t>SecondHarvestOpenField</t>
        </is>
      </c>
      <c r="B1104" s="57" t="n">
        <v>28</v>
      </c>
      <c r="C1104" s="57" t="inlineStr">
        <is>
          <t>Location</t>
        </is>
      </c>
      <c r="D1104" s="57" t="inlineStr"/>
      <c r="E1104" s="57" t="inlineStr">
        <is>
          <t>South Farm</t>
        </is>
      </c>
      <c r="F1104" s="57" t="inlineStr">
        <is>
          <t>forced_from_sheet_name</t>
        </is>
      </c>
    </row>
    <row r="1105" ht="25" customHeight="1" s="55">
      <c r="A1105" s="57" t="inlineStr">
        <is>
          <t>SecondHarvestOpenField</t>
        </is>
      </c>
      <c r="B1105" s="57" t="n">
        <v>28</v>
      </c>
      <c r="C1105" s="57" t="inlineStr">
        <is>
          <t>Harvest</t>
        </is>
      </c>
      <c r="D1105" s="57" t="inlineStr"/>
      <c r="E1105" s="57" t="inlineStr">
        <is>
          <t>Second</t>
        </is>
      </c>
      <c r="F1105" s="57" t="inlineStr">
        <is>
          <t>forced_from_sheet_name</t>
        </is>
      </c>
    </row>
    <row r="1106" ht="25" customHeight="1" s="55">
      <c r="A1106" s="57" t="inlineStr">
        <is>
          <t>SecondHarvestOpenField</t>
        </is>
      </c>
      <c r="B1106" s="57" t="n">
        <v>29</v>
      </c>
      <c r="C1106" s="57" t="inlineStr">
        <is>
          <t>Location</t>
        </is>
      </c>
      <c r="D1106" s="57" t="inlineStr"/>
      <c r="E1106" s="57" t="inlineStr">
        <is>
          <t>South Farm</t>
        </is>
      </c>
      <c r="F1106" s="57" t="inlineStr">
        <is>
          <t>forced_from_sheet_name</t>
        </is>
      </c>
    </row>
    <row r="1107" ht="25" customHeight="1" s="55">
      <c r="A1107" s="57" t="inlineStr">
        <is>
          <t>SecondHarvestOpenField</t>
        </is>
      </c>
      <c r="B1107" s="57" t="n">
        <v>29</v>
      </c>
      <c r="C1107" s="57" t="inlineStr">
        <is>
          <t>Harvest</t>
        </is>
      </c>
      <c r="D1107" s="57" t="inlineStr"/>
      <c r="E1107" s="57" t="inlineStr">
        <is>
          <t>Second</t>
        </is>
      </c>
      <c r="F1107" s="57" t="inlineStr">
        <is>
          <t>forced_from_sheet_name</t>
        </is>
      </c>
    </row>
    <row r="1108" ht="25" customHeight="1" s="55">
      <c r="A1108" s="57" t="inlineStr">
        <is>
          <t>SecondHarvestOpenField</t>
        </is>
      </c>
      <c r="B1108" s="57" t="n">
        <v>30</v>
      </c>
      <c r="C1108" s="57" t="inlineStr">
        <is>
          <t>Genotypes</t>
        </is>
      </c>
      <c r="D1108" s="57" t="inlineStr">
        <is>
          <t>Mountain Heritage</t>
        </is>
      </c>
      <c r="E1108" s="57" t="inlineStr">
        <is>
          <t>Mt. Heritage</t>
        </is>
      </c>
      <c r="F1108" s="57" t="inlineStr"/>
    </row>
    <row r="1109" ht="25" customHeight="1" s="55">
      <c r="A1109" s="57" t="inlineStr">
        <is>
          <t>SecondHarvestOpenField</t>
        </is>
      </c>
      <c r="B1109" s="57" t="n">
        <v>30</v>
      </c>
      <c r="C1109" s="57" t="inlineStr">
        <is>
          <t>Location</t>
        </is>
      </c>
      <c r="D1109" s="57" t="inlineStr"/>
      <c r="E1109" s="57" t="inlineStr">
        <is>
          <t>South Farm</t>
        </is>
      </c>
      <c r="F1109" s="57" t="inlineStr">
        <is>
          <t>forced_from_sheet_name</t>
        </is>
      </c>
    </row>
    <row r="1110" ht="25" customHeight="1" s="55">
      <c r="A1110" s="57" t="inlineStr">
        <is>
          <t>SecondHarvestOpenField</t>
        </is>
      </c>
      <c r="B1110" s="57" t="n">
        <v>30</v>
      </c>
      <c r="C1110" s="57" t="inlineStr">
        <is>
          <t>Harvest</t>
        </is>
      </c>
      <c r="D1110" s="57" t="inlineStr"/>
      <c r="E1110" s="57" t="inlineStr">
        <is>
          <t>Second</t>
        </is>
      </c>
      <c r="F1110" s="57" t="inlineStr">
        <is>
          <t>forced_from_sheet_name</t>
        </is>
      </c>
    </row>
    <row r="1111" ht="25" customHeight="1" s="55">
      <c r="A1111" s="57" t="inlineStr">
        <is>
          <t>SecondHarvestOpenField</t>
        </is>
      </c>
      <c r="B1111" s="57" t="n">
        <v>31</v>
      </c>
      <c r="C1111" s="57" t="inlineStr">
        <is>
          <t>Location</t>
        </is>
      </c>
      <c r="D1111" s="57" t="inlineStr"/>
      <c r="E1111" s="57" t="inlineStr">
        <is>
          <t>South Farm</t>
        </is>
      </c>
      <c r="F1111" s="57" t="inlineStr">
        <is>
          <t>forced_from_sheet_name</t>
        </is>
      </c>
    </row>
    <row r="1112" ht="25" customHeight="1" s="55">
      <c r="A1112" s="57" t="inlineStr">
        <is>
          <t>SecondHarvestOpenField</t>
        </is>
      </c>
      <c r="B1112" s="57" t="n">
        <v>31</v>
      </c>
      <c r="C1112" s="57" t="inlineStr">
        <is>
          <t>Harvest</t>
        </is>
      </c>
      <c r="D1112" s="57" t="inlineStr"/>
      <c r="E1112" s="57" t="inlineStr">
        <is>
          <t>Second</t>
        </is>
      </c>
      <c r="F1112" s="57" t="inlineStr">
        <is>
          <t>forced_from_sheet_name</t>
        </is>
      </c>
    </row>
    <row r="1113" ht="25" customHeight="1" s="55">
      <c r="A1113" s="57" t="inlineStr">
        <is>
          <t>SecondHarvestOpenField</t>
        </is>
      </c>
      <c r="B1113" s="57" t="n">
        <v>32</v>
      </c>
      <c r="C1113" s="57" t="inlineStr">
        <is>
          <t>Location</t>
        </is>
      </c>
      <c r="D1113" s="57" t="inlineStr"/>
      <c r="E1113" s="57" t="inlineStr">
        <is>
          <t>South Farm</t>
        </is>
      </c>
      <c r="F1113" s="57" t="inlineStr">
        <is>
          <t>forced_from_sheet_name</t>
        </is>
      </c>
    </row>
    <row r="1114" ht="25" customHeight="1" s="55">
      <c r="A1114" s="57" t="inlineStr">
        <is>
          <t>SecondHarvestOpenField</t>
        </is>
      </c>
      <c r="B1114" s="57" t="n">
        <v>32</v>
      </c>
      <c r="C1114" s="57" t="inlineStr">
        <is>
          <t>Harvest</t>
        </is>
      </c>
      <c r="D1114" s="57" t="inlineStr"/>
      <c r="E1114" s="57" t="inlineStr">
        <is>
          <t>Second</t>
        </is>
      </c>
      <c r="F1114" s="57" t="inlineStr">
        <is>
          <t>forced_from_sheet_name</t>
        </is>
      </c>
    </row>
    <row r="1115" ht="25" customHeight="1" s="55">
      <c r="A1115" s="57" t="inlineStr">
        <is>
          <t>SecondHarvestOpenField</t>
        </is>
      </c>
      <c r="B1115" s="57" t="n">
        <v>33</v>
      </c>
      <c r="C1115" s="57" t="inlineStr">
        <is>
          <t>Location</t>
        </is>
      </c>
      <c r="D1115" s="57" t="inlineStr"/>
      <c r="E1115" s="57" t="inlineStr">
        <is>
          <t>South Farm</t>
        </is>
      </c>
      <c r="F1115" s="57" t="inlineStr">
        <is>
          <t>forced_from_sheet_name</t>
        </is>
      </c>
    </row>
    <row r="1116" ht="25" customHeight="1" s="55">
      <c r="A1116" s="57" t="inlineStr">
        <is>
          <t>SecondHarvestOpenField</t>
        </is>
      </c>
      <c r="B1116" s="57" t="n">
        <v>33</v>
      </c>
      <c r="C1116" s="57" t="inlineStr">
        <is>
          <t>Harvest</t>
        </is>
      </c>
      <c r="D1116" s="57" t="inlineStr"/>
      <c r="E1116" s="57" t="inlineStr">
        <is>
          <t>Second</t>
        </is>
      </c>
      <c r="F1116" s="57" t="inlineStr">
        <is>
          <t>forced_from_sheet_name</t>
        </is>
      </c>
    </row>
    <row r="1117" ht="25" customHeight="1" s="55">
      <c r="A1117" s="57" t="inlineStr">
        <is>
          <t>SecondHarvestOpenField</t>
        </is>
      </c>
      <c r="B1117" s="57" t="n">
        <v>34</v>
      </c>
      <c r="C1117" s="57" t="inlineStr">
        <is>
          <t>Location</t>
        </is>
      </c>
      <c r="D1117" s="57" t="inlineStr"/>
      <c r="E1117" s="57" t="inlineStr">
        <is>
          <t>South Farm</t>
        </is>
      </c>
      <c r="F1117" s="57" t="inlineStr">
        <is>
          <t>forced_from_sheet_name</t>
        </is>
      </c>
    </row>
    <row r="1118" ht="25" customHeight="1" s="55">
      <c r="A1118" s="57" t="inlineStr">
        <is>
          <t>SecondHarvestOpenField</t>
        </is>
      </c>
      <c r="B1118" s="57" t="n">
        <v>34</v>
      </c>
      <c r="C1118" s="57" t="inlineStr">
        <is>
          <t>Harvest</t>
        </is>
      </c>
      <c r="D1118" s="57" t="inlineStr"/>
      <c r="E1118" s="57" t="inlineStr">
        <is>
          <t>Second</t>
        </is>
      </c>
      <c r="F1118" s="57" t="inlineStr">
        <is>
          <t>forced_from_sheet_name</t>
        </is>
      </c>
    </row>
    <row r="1119" ht="25" customHeight="1" s="55">
      <c r="A1119" s="57" t="inlineStr">
        <is>
          <t>SecondHarvestOpenField</t>
        </is>
      </c>
      <c r="B1119" s="57" t="n">
        <v>35</v>
      </c>
      <c r="C1119" s="57" t="inlineStr">
        <is>
          <t>Location</t>
        </is>
      </c>
      <c r="D1119" s="57" t="inlineStr"/>
      <c r="E1119" s="57" t="inlineStr">
        <is>
          <t>South Farm</t>
        </is>
      </c>
      <c r="F1119" s="57" t="inlineStr">
        <is>
          <t>forced_from_sheet_name</t>
        </is>
      </c>
    </row>
    <row r="1120" ht="25" customHeight="1" s="55">
      <c r="A1120" s="57" t="inlineStr">
        <is>
          <t>SecondHarvestOpenField</t>
        </is>
      </c>
      <c r="B1120" s="57" t="n">
        <v>35</v>
      </c>
      <c r="C1120" s="57" t="inlineStr">
        <is>
          <t>Harvest</t>
        </is>
      </c>
      <c r="D1120" s="57" t="inlineStr"/>
      <c r="E1120" s="57" t="inlineStr">
        <is>
          <t>Second</t>
        </is>
      </c>
      <c r="F1120" s="57" t="inlineStr">
        <is>
          <t>forced_from_sheet_name</t>
        </is>
      </c>
    </row>
    <row r="1121" ht="25" customHeight="1" s="55">
      <c r="A1121" s="57" t="inlineStr">
        <is>
          <t>SecondHarvestOpenField</t>
        </is>
      </c>
      <c r="B1121" s="57" t="n">
        <v>1</v>
      </c>
      <c r="C1121" s="57" t="inlineStr">
        <is>
          <t>column_removed</t>
        </is>
      </c>
      <c r="D1121" s="57" t="inlineStr">
        <is>
          <t>WEIGHT(20 SAMPLES UM)</t>
        </is>
      </c>
      <c r="E1121" s="57" t="inlineStr"/>
      <c r="F1121" s="57" t="inlineStr">
        <is>
          <t>empty_or_duplicate</t>
        </is>
      </c>
    </row>
    <row r="1122" ht="25" customHeight="1" s="55">
      <c r="A1122" s="57" t="inlineStr">
        <is>
          <t>SecondHarvestOpenField</t>
        </is>
      </c>
      <c r="B1122" s="57" t="n">
        <v>1</v>
      </c>
      <c r="C1122" s="57" t="inlineStr">
        <is>
          <t>column_removed</t>
        </is>
      </c>
      <c r="D1122" s="57" t="inlineStr">
        <is>
          <t xml:space="preserve">WEIGHT(20 SAMPLES M) </t>
        </is>
      </c>
      <c r="E1122" s="57" t="inlineStr"/>
      <c r="F1122" s="57" t="inlineStr">
        <is>
          <t>empty_or_duplicate</t>
        </is>
      </c>
    </row>
    <row r="1123" ht="25" customHeight="1" s="55">
      <c r="A1123" s="57" t="inlineStr">
        <is>
          <t>SecondHarvestOpenField</t>
        </is>
      </c>
      <c r="B1123" s="57" t="n">
        <v>35</v>
      </c>
      <c r="C1123" s="57" t="inlineStr">
        <is>
          <t>row_removed</t>
        </is>
      </c>
      <c r="D1123" s="57" t="inlineStr"/>
      <c r="E1123" s="57" t="inlineStr"/>
      <c r="F1123" s="57" t="inlineStr">
        <is>
          <t>empty_plot_slot</t>
        </is>
      </c>
    </row>
    <row r="1124" ht="25" customHeight="1" s="55">
      <c r="A1124" s="57" t="inlineStr">
        <is>
          <t>SecondHarvestOpenField</t>
        </is>
      </c>
      <c r="B1124" s="57" t="n">
        <v>34</v>
      </c>
      <c r="C1124" s="57" t="inlineStr">
        <is>
          <t>row_removed</t>
        </is>
      </c>
      <c r="D1124" s="57" t="inlineStr"/>
      <c r="E1124" s="57" t="inlineStr"/>
      <c r="F1124" s="57" t="inlineStr">
        <is>
          <t>empty_plot_slot</t>
        </is>
      </c>
    </row>
    <row r="1125" ht="25" customHeight="1" s="55">
      <c r="A1125" s="57" t="inlineStr">
        <is>
          <t>SecondHarvestOpenField</t>
        </is>
      </c>
      <c r="B1125" s="57" t="n">
        <v>1</v>
      </c>
      <c r="C1125" s="57" t="inlineStr">
        <is>
          <t>header</t>
        </is>
      </c>
      <c r="D1125" s="57" t="inlineStr">
        <is>
          <t>Unmarketables (count)</t>
        </is>
      </c>
      <c r="E1125" s="57" t="inlineStr">
        <is>
          <t>Unmarketables (counts)</t>
        </is>
      </c>
      <c r="F1125" s="57" t="inlineStr">
        <is>
          <t>standardized</t>
        </is>
      </c>
    </row>
    <row r="1126" ht="25" customHeight="1" s="55">
      <c r="A1126" s="57" t="inlineStr">
        <is>
          <t>SecondHarvestOpenField</t>
        </is>
      </c>
      <c r="B1126" s="57" t="n">
        <v>1</v>
      </c>
      <c r="C1126" s="57" t="inlineStr">
        <is>
          <t>header</t>
        </is>
      </c>
      <c r="D1126" s="57" t="inlineStr">
        <is>
          <t>TOTAL WEIGHT (Gram)</t>
        </is>
      </c>
      <c r="E1126" s="57" t="inlineStr">
        <is>
          <t>Total Weight (g)</t>
        </is>
      </c>
      <c r="F1126" s="57" t="inlineStr">
        <is>
          <t>standardized</t>
        </is>
      </c>
    </row>
    <row r="1127" ht="25" customHeight="1" s="55">
      <c r="A1127" s="57" t="inlineStr">
        <is>
          <t>SecondHarvestOpenField</t>
        </is>
      </c>
      <c r="B1127" s="57" t="n">
        <v>1</v>
      </c>
      <c r="C1127" s="57" t="inlineStr">
        <is>
          <t>header</t>
        </is>
      </c>
      <c r="D1127" s="57" t="inlineStr">
        <is>
          <t>Total Weight (KG)</t>
        </is>
      </c>
      <c r="E1127" s="57" t="inlineStr">
        <is>
          <t>Total Weight (kg)</t>
        </is>
      </c>
      <c r="F1127" s="57" t="inlineStr">
        <is>
          <t>standardized</t>
        </is>
      </c>
    </row>
    <row r="1128" ht="25" customHeight="1" s="55">
      <c r="A1128" s="57" t="inlineStr">
        <is>
          <t>SecondHarvestOpenField</t>
        </is>
      </c>
      <c r="B1128" s="57" t="n">
        <v>1</v>
      </c>
      <c r="C1128" s="57" t="inlineStr">
        <is>
          <t>header</t>
        </is>
      </c>
      <c r="D1128" s="57" t="inlineStr">
        <is>
          <t>Weight of 20 counts</t>
        </is>
      </c>
      <c r="E1128" s="57" t="inlineStr">
        <is>
          <t>Weight of 20 fruit (g)</t>
        </is>
      </c>
      <c r="F1128" s="57" t="inlineStr">
        <is>
          <t>standardized</t>
        </is>
      </c>
    </row>
    <row r="1129" ht="25" customHeight="1" s="55">
      <c r="A1129" s="57" t="inlineStr">
        <is>
          <t>Second_Lex_Aug18_Nam</t>
        </is>
      </c>
      <c r="B1129" s="57" t="n">
        <v>2</v>
      </c>
      <c r="C1129" s="57" t="inlineStr">
        <is>
          <t>Genotypes</t>
        </is>
      </c>
      <c r="D1129" s="57" t="inlineStr">
        <is>
          <t>UKY-26-001</t>
        </is>
      </c>
      <c r="E1129" s="57" t="inlineStr">
        <is>
          <t>UKYT-26-001</t>
        </is>
      </c>
      <c r="F1129" s="57" t="inlineStr"/>
    </row>
    <row r="1130" ht="25" customHeight="1" s="55">
      <c r="A1130" s="57" t="inlineStr">
        <is>
          <t>Second_Lex_Aug18_Nam</t>
        </is>
      </c>
      <c r="B1130" s="57" t="n">
        <v>2</v>
      </c>
      <c r="C1130" s="57" t="inlineStr">
        <is>
          <t>Harvest</t>
        </is>
      </c>
      <c r="D1130" s="57" t="inlineStr">
        <is>
          <t>Second harvest</t>
        </is>
      </c>
      <c r="E1130" s="57" t="inlineStr">
        <is>
          <t>Third</t>
        </is>
      </c>
      <c r="F1130" s="57" t="inlineStr">
        <is>
          <t>forced_from_sheet_name</t>
        </is>
      </c>
    </row>
    <row r="1131" ht="25" customHeight="1" s="55">
      <c r="A1131" s="57" t="inlineStr">
        <is>
          <t>Second_Lex_Aug18_Nam</t>
        </is>
      </c>
      <c r="B1131" s="57" t="n">
        <v>3</v>
      </c>
      <c r="C1131" s="57" t="inlineStr">
        <is>
          <t>Genotypes</t>
        </is>
      </c>
      <c r="D1131" s="57" t="inlineStr">
        <is>
          <t>UKY-25-008</t>
        </is>
      </c>
      <c r="E1131" s="57" t="inlineStr">
        <is>
          <t>UKYT-25-008</t>
        </is>
      </c>
      <c r="F1131" s="57" t="inlineStr"/>
    </row>
    <row r="1132" ht="25" customHeight="1" s="55">
      <c r="A1132" s="57" t="inlineStr">
        <is>
          <t>Second_Lex_Aug18_Nam</t>
        </is>
      </c>
      <c r="B1132" s="57" t="n">
        <v>3</v>
      </c>
      <c r="C1132" s="57" t="inlineStr">
        <is>
          <t>Harvest</t>
        </is>
      </c>
      <c r="D1132" s="57" t="inlineStr">
        <is>
          <t>Second harvest</t>
        </is>
      </c>
      <c r="E1132" s="57" t="inlineStr">
        <is>
          <t>Third</t>
        </is>
      </c>
      <c r="F1132" s="57" t="inlineStr">
        <is>
          <t>forced_from_sheet_name</t>
        </is>
      </c>
    </row>
    <row r="1133" ht="25" customHeight="1" s="55">
      <c r="A1133" s="57" t="inlineStr">
        <is>
          <t>Second_Lex_Aug18_Nam</t>
        </is>
      </c>
      <c r="B1133" s="57" t="n">
        <v>4</v>
      </c>
      <c r="C1133" s="57" t="inlineStr">
        <is>
          <t>Genotypes</t>
        </is>
      </c>
      <c r="D1133" s="57" t="inlineStr">
        <is>
          <t>UKY-26-011</t>
        </is>
      </c>
      <c r="E1133" s="57" t="inlineStr">
        <is>
          <t>UKYT-26-011</t>
        </is>
      </c>
      <c r="F1133" s="57" t="inlineStr"/>
    </row>
    <row r="1134" ht="25" customHeight="1" s="55">
      <c r="A1134" s="57" t="inlineStr">
        <is>
          <t>Second_Lex_Aug18_Nam</t>
        </is>
      </c>
      <c r="B1134" s="57" t="n">
        <v>4</v>
      </c>
      <c r="C1134" s="57" t="inlineStr">
        <is>
          <t>Harvest</t>
        </is>
      </c>
      <c r="D1134" s="57" t="inlineStr">
        <is>
          <t>Second harvest</t>
        </is>
      </c>
      <c r="E1134" s="57" t="inlineStr">
        <is>
          <t>Third</t>
        </is>
      </c>
      <c r="F1134" s="57" t="inlineStr">
        <is>
          <t>forced_from_sheet_name</t>
        </is>
      </c>
    </row>
    <row r="1135" ht="25" customHeight="1" s="55">
      <c r="A1135" s="57" t="inlineStr">
        <is>
          <t>Second_Lex_Aug18_Nam</t>
        </is>
      </c>
      <c r="B1135" s="57" t="n">
        <v>5</v>
      </c>
      <c r="C1135" s="57" t="inlineStr">
        <is>
          <t>Genotypes</t>
        </is>
      </c>
      <c r="D1135" s="57" t="inlineStr">
        <is>
          <t>UKY-26-012</t>
        </is>
      </c>
      <c r="E1135" s="57" t="inlineStr">
        <is>
          <t>UKYT-26-012</t>
        </is>
      </c>
      <c r="F1135" s="57" t="inlineStr"/>
    </row>
    <row r="1136" ht="25" customHeight="1" s="55">
      <c r="A1136" s="57" t="inlineStr">
        <is>
          <t>Second_Lex_Aug18_Nam</t>
        </is>
      </c>
      <c r="B1136" s="57" t="n">
        <v>5</v>
      </c>
      <c r="C1136" s="57" t="inlineStr">
        <is>
          <t>Harvest</t>
        </is>
      </c>
      <c r="D1136" s="57" t="inlineStr">
        <is>
          <t>Second harvest</t>
        </is>
      </c>
      <c r="E1136" s="57" t="inlineStr">
        <is>
          <t>Third</t>
        </is>
      </c>
      <c r="F1136" s="57" t="inlineStr">
        <is>
          <t>forced_from_sheet_name</t>
        </is>
      </c>
    </row>
    <row r="1137" ht="25" customHeight="1" s="55">
      <c r="A1137" s="57" t="inlineStr">
        <is>
          <t>Second_Lex_Aug18_Nam</t>
        </is>
      </c>
      <c r="B1137" s="57" t="n">
        <v>6</v>
      </c>
      <c r="C1137" s="57" t="inlineStr">
        <is>
          <t>Genotypes</t>
        </is>
      </c>
      <c r="D1137" s="57" t="inlineStr">
        <is>
          <t>UKY-26-009</t>
        </is>
      </c>
      <c r="E1137" s="57" t="inlineStr">
        <is>
          <t>UKYT-26-009</t>
        </is>
      </c>
      <c r="F1137" s="57" t="inlineStr"/>
    </row>
    <row r="1138" ht="25" customHeight="1" s="55">
      <c r="A1138" s="57" t="inlineStr">
        <is>
          <t>Second_Lex_Aug18_Nam</t>
        </is>
      </c>
      <c r="B1138" s="57" t="n">
        <v>6</v>
      </c>
      <c r="C1138" s="57" t="inlineStr">
        <is>
          <t>Harvest</t>
        </is>
      </c>
      <c r="D1138" s="57" t="inlineStr">
        <is>
          <t>Second harvest</t>
        </is>
      </c>
      <c r="E1138" s="57" t="inlineStr">
        <is>
          <t>Third</t>
        </is>
      </c>
      <c r="F1138" s="57" t="inlineStr">
        <is>
          <t>forced_from_sheet_name</t>
        </is>
      </c>
    </row>
    <row r="1139" ht="25" customHeight="1" s="55">
      <c r="A1139" s="57" t="inlineStr">
        <is>
          <t>Second_Lex_Aug18_Nam</t>
        </is>
      </c>
      <c r="B1139" s="57" t="n">
        <v>7</v>
      </c>
      <c r="C1139" s="57" t="inlineStr">
        <is>
          <t>Genotypes</t>
        </is>
      </c>
      <c r="D1139" s="57" t="inlineStr">
        <is>
          <t>UKY-25-004</t>
        </is>
      </c>
      <c r="E1139" s="57" t="inlineStr">
        <is>
          <t>UKYT-25-004</t>
        </is>
      </c>
      <c r="F1139" s="57" t="inlineStr"/>
    </row>
    <row r="1140" ht="25" customHeight="1" s="55">
      <c r="A1140" s="57" t="inlineStr">
        <is>
          <t>Second_Lex_Aug18_Nam</t>
        </is>
      </c>
      <c r="B1140" s="57" t="n">
        <v>7</v>
      </c>
      <c r="C1140" s="57" t="inlineStr">
        <is>
          <t>Harvest</t>
        </is>
      </c>
      <c r="D1140" s="57" t="inlineStr">
        <is>
          <t>Second harvest</t>
        </is>
      </c>
      <c r="E1140" s="57" t="inlineStr">
        <is>
          <t>Third</t>
        </is>
      </c>
      <c r="F1140" s="57" t="inlineStr">
        <is>
          <t>forced_from_sheet_name</t>
        </is>
      </c>
    </row>
    <row r="1141" ht="25" customHeight="1" s="55">
      <c r="A1141" s="57" t="inlineStr">
        <is>
          <t>Second_Lex_Aug18_Nam</t>
        </is>
      </c>
      <c r="B1141" s="57" t="n">
        <v>8</v>
      </c>
      <c r="C1141" s="57" t="inlineStr">
        <is>
          <t>Genotypes</t>
        </is>
      </c>
      <c r="D1141" s="57" t="inlineStr">
        <is>
          <t>UKY-25-013</t>
        </is>
      </c>
      <c r="E1141" s="57" t="inlineStr">
        <is>
          <t>UKYT-25-013</t>
        </is>
      </c>
      <c r="F1141" s="57" t="inlineStr"/>
    </row>
    <row r="1142" ht="25" customHeight="1" s="55">
      <c r="A1142" s="57" t="inlineStr">
        <is>
          <t>Second_Lex_Aug18_Nam</t>
        </is>
      </c>
      <c r="B1142" s="57" t="n">
        <v>8</v>
      </c>
      <c r="C1142" s="57" t="inlineStr">
        <is>
          <t>Harvest</t>
        </is>
      </c>
      <c r="D1142" s="57" t="inlineStr">
        <is>
          <t>Second harvest</t>
        </is>
      </c>
      <c r="E1142" s="57" t="inlineStr">
        <is>
          <t>Third</t>
        </is>
      </c>
      <c r="F1142" s="57" t="inlineStr">
        <is>
          <t>forced_from_sheet_name</t>
        </is>
      </c>
    </row>
    <row r="1143" ht="25" customHeight="1" s="55">
      <c r="A1143" s="57" t="inlineStr">
        <is>
          <t>Second_Lex_Aug18_Nam</t>
        </is>
      </c>
      <c r="B1143" s="57" t="n">
        <v>9</v>
      </c>
      <c r="C1143" s="57" t="inlineStr">
        <is>
          <t>Genotypes</t>
        </is>
      </c>
      <c r="D1143" s="57" t="inlineStr">
        <is>
          <t>UKY-25-007</t>
        </is>
      </c>
      <c r="E1143" s="57" t="inlineStr">
        <is>
          <t>UKYT-25-007</t>
        </is>
      </c>
      <c r="F1143" s="57" t="inlineStr"/>
    </row>
    <row r="1144" ht="25" customHeight="1" s="55">
      <c r="A1144" s="57" t="inlineStr">
        <is>
          <t>Second_Lex_Aug18_Nam</t>
        </is>
      </c>
      <c r="B1144" s="57" t="n">
        <v>9</v>
      </c>
      <c r="C1144" s="57" t="inlineStr">
        <is>
          <t>Harvest</t>
        </is>
      </c>
      <c r="D1144" s="57" t="inlineStr">
        <is>
          <t>Second harvest</t>
        </is>
      </c>
      <c r="E1144" s="57" t="inlineStr">
        <is>
          <t>Third</t>
        </is>
      </c>
      <c r="F1144" s="57" t="inlineStr">
        <is>
          <t>forced_from_sheet_name</t>
        </is>
      </c>
    </row>
    <row r="1145" ht="25" customHeight="1" s="55">
      <c r="A1145" s="57" t="inlineStr">
        <is>
          <t>Second_Lex_Aug18_Nam</t>
        </is>
      </c>
      <c r="B1145" s="57" t="n">
        <v>10</v>
      </c>
      <c r="C1145" s="57" t="inlineStr">
        <is>
          <t>Genotypes</t>
        </is>
      </c>
      <c r="D1145" s="57" t="inlineStr">
        <is>
          <t>UKY-25-007</t>
        </is>
      </c>
      <c r="E1145" s="57" t="inlineStr">
        <is>
          <t>UKYT-25-007</t>
        </is>
      </c>
      <c r="F1145" s="57" t="inlineStr"/>
    </row>
    <row r="1146" ht="25" customHeight="1" s="55">
      <c r="A1146" s="57" t="inlineStr">
        <is>
          <t>Second_Lex_Aug18_Nam</t>
        </is>
      </c>
      <c r="B1146" s="57" t="n">
        <v>10</v>
      </c>
      <c r="C1146" s="57" t="inlineStr">
        <is>
          <t>Harvest</t>
        </is>
      </c>
      <c r="D1146" s="57" t="inlineStr">
        <is>
          <t>Second harvest</t>
        </is>
      </c>
      <c r="E1146" s="57" t="inlineStr">
        <is>
          <t>Third</t>
        </is>
      </c>
      <c r="F1146" s="57" t="inlineStr">
        <is>
          <t>forced_from_sheet_name</t>
        </is>
      </c>
    </row>
    <row r="1147" ht="25" customHeight="1" s="55">
      <c r="A1147" s="57" t="inlineStr">
        <is>
          <t>Second_Lex_Aug18_Nam</t>
        </is>
      </c>
      <c r="B1147" s="57" t="n">
        <v>11</v>
      </c>
      <c r="C1147" s="57" t="inlineStr">
        <is>
          <t>Genotypes</t>
        </is>
      </c>
      <c r="D1147" s="57" t="inlineStr">
        <is>
          <t>UKY-25-006</t>
        </is>
      </c>
      <c r="E1147" s="57" t="inlineStr">
        <is>
          <t>UKYT-25-006</t>
        </is>
      </c>
      <c r="F1147" s="57" t="inlineStr"/>
    </row>
    <row r="1148" ht="25" customHeight="1" s="55">
      <c r="A1148" s="57" t="inlineStr">
        <is>
          <t>Second_Lex_Aug18_Nam</t>
        </is>
      </c>
      <c r="B1148" s="57" t="n">
        <v>11</v>
      </c>
      <c r="C1148" s="57" t="inlineStr">
        <is>
          <t>Harvest</t>
        </is>
      </c>
      <c r="D1148" s="57" t="inlineStr">
        <is>
          <t>Second harvest</t>
        </is>
      </c>
      <c r="E1148" s="57" t="inlineStr">
        <is>
          <t>Third</t>
        </is>
      </c>
      <c r="F1148" s="57" t="inlineStr">
        <is>
          <t>forced_from_sheet_name</t>
        </is>
      </c>
    </row>
    <row r="1149" ht="25" customHeight="1" s="55">
      <c r="A1149" s="57" t="inlineStr">
        <is>
          <t>Second_Lex_Aug18_Nam</t>
        </is>
      </c>
      <c r="B1149" s="57" t="n">
        <v>12</v>
      </c>
      <c r="C1149" s="57" t="inlineStr">
        <is>
          <t>Genotypes</t>
        </is>
      </c>
      <c r="D1149" s="57" t="inlineStr">
        <is>
          <t>UKY-26-002</t>
        </is>
      </c>
      <c r="E1149" s="57" t="inlineStr">
        <is>
          <t>UKYT-26-002</t>
        </is>
      </c>
      <c r="F1149" s="57" t="inlineStr"/>
    </row>
    <row r="1150" ht="25" customHeight="1" s="55">
      <c r="A1150" s="57" t="inlineStr">
        <is>
          <t>Second_Lex_Aug18_Nam</t>
        </is>
      </c>
      <c r="B1150" s="57" t="n">
        <v>12</v>
      </c>
      <c r="C1150" s="57" t="inlineStr">
        <is>
          <t>Harvest</t>
        </is>
      </c>
      <c r="D1150" s="57" t="inlineStr">
        <is>
          <t>Second harvest</t>
        </is>
      </c>
      <c r="E1150" s="57" t="inlineStr">
        <is>
          <t>Third</t>
        </is>
      </c>
      <c r="F1150" s="57" t="inlineStr">
        <is>
          <t>forced_from_sheet_name</t>
        </is>
      </c>
    </row>
    <row r="1151" ht="25" customHeight="1" s="55">
      <c r="A1151" s="57" t="inlineStr">
        <is>
          <t>Second_Lex_Aug18_Nam</t>
        </is>
      </c>
      <c r="B1151" s="57" t="n">
        <v>13</v>
      </c>
      <c r="C1151" s="57" t="inlineStr">
        <is>
          <t>Genotypes</t>
        </is>
      </c>
      <c r="D1151" s="57" t="inlineStr">
        <is>
          <t>UKY-25-014</t>
        </is>
      </c>
      <c r="E1151" s="57" t="inlineStr">
        <is>
          <t>UKYT-25-014</t>
        </is>
      </c>
      <c r="F1151" s="57" t="inlineStr"/>
    </row>
    <row r="1152" ht="25" customHeight="1" s="55">
      <c r="A1152" s="57" t="inlineStr">
        <is>
          <t>Second_Lex_Aug18_Nam</t>
        </is>
      </c>
      <c r="B1152" s="57" t="n">
        <v>13</v>
      </c>
      <c r="C1152" s="57" t="inlineStr">
        <is>
          <t>Harvest</t>
        </is>
      </c>
      <c r="D1152" s="57" t="inlineStr">
        <is>
          <t>Second harvest</t>
        </is>
      </c>
      <c r="E1152" s="57" t="inlineStr">
        <is>
          <t>Third</t>
        </is>
      </c>
      <c r="F1152" s="57" t="inlineStr">
        <is>
          <t>forced_from_sheet_name</t>
        </is>
      </c>
    </row>
    <row r="1153" ht="25" customHeight="1" s="55">
      <c r="A1153" s="57" t="inlineStr">
        <is>
          <t>Second_Lex_Aug18_Nam</t>
        </is>
      </c>
      <c r="B1153" s="57" t="n">
        <v>14</v>
      </c>
      <c r="C1153" s="57" t="inlineStr">
        <is>
          <t>Genotypes</t>
        </is>
      </c>
      <c r="D1153" s="57" t="inlineStr">
        <is>
          <t>UKY-25-001</t>
        </is>
      </c>
      <c r="E1153" s="57" t="inlineStr">
        <is>
          <t>UKYT-25-001</t>
        </is>
      </c>
      <c r="F1153" s="57" t="inlineStr"/>
    </row>
    <row r="1154" ht="25" customHeight="1" s="55">
      <c r="A1154" s="57" t="inlineStr">
        <is>
          <t>Second_Lex_Aug18_Nam</t>
        </is>
      </c>
      <c r="B1154" s="57" t="n">
        <v>14</v>
      </c>
      <c r="C1154" s="57" t="inlineStr">
        <is>
          <t>Harvest</t>
        </is>
      </c>
      <c r="D1154" s="57" t="inlineStr">
        <is>
          <t>Second harvest</t>
        </is>
      </c>
      <c r="E1154" s="57" t="inlineStr">
        <is>
          <t>Third</t>
        </is>
      </c>
      <c r="F1154" s="57" t="inlineStr">
        <is>
          <t>forced_from_sheet_name</t>
        </is>
      </c>
    </row>
    <row r="1155" ht="25" customHeight="1" s="55">
      <c r="A1155" s="57" t="inlineStr">
        <is>
          <t>Second_Lex_Aug18_Nam</t>
        </is>
      </c>
      <c r="B1155" s="57" t="n">
        <v>15</v>
      </c>
      <c r="C1155" s="57" t="inlineStr">
        <is>
          <t>Genotypes</t>
        </is>
      </c>
      <c r="D1155" s="57" t="inlineStr">
        <is>
          <t>UKY-25-002</t>
        </is>
      </c>
      <c r="E1155" s="57" t="inlineStr">
        <is>
          <t>UKYT-25-002</t>
        </is>
      </c>
      <c r="F1155" s="57" t="inlineStr"/>
    </row>
    <row r="1156" ht="25" customHeight="1" s="55">
      <c r="A1156" s="57" t="inlineStr">
        <is>
          <t>Second_Lex_Aug18_Nam</t>
        </is>
      </c>
      <c r="B1156" s="57" t="n">
        <v>15</v>
      </c>
      <c r="C1156" s="57" t="inlineStr">
        <is>
          <t>Harvest</t>
        </is>
      </c>
      <c r="D1156" s="57" t="inlineStr">
        <is>
          <t>Second harvest</t>
        </is>
      </c>
      <c r="E1156" s="57" t="inlineStr">
        <is>
          <t>Third</t>
        </is>
      </c>
      <c r="F1156" s="57" t="inlineStr">
        <is>
          <t>forced_from_sheet_name</t>
        </is>
      </c>
    </row>
    <row r="1157" ht="25" customHeight="1" s="55">
      <c r="A1157" s="57" t="inlineStr">
        <is>
          <t>Second_Lex_Aug18_Nam</t>
        </is>
      </c>
      <c r="B1157" s="57" t="n">
        <v>16</v>
      </c>
      <c r="C1157" s="57" t="inlineStr">
        <is>
          <t>Genotypes</t>
        </is>
      </c>
      <c r="D1157" s="57" t="inlineStr">
        <is>
          <t>UKY-26-010</t>
        </is>
      </c>
      <c r="E1157" s="57" t="inlineStr">
        <is>
          <t>UKYT-26-010</t>
        </is>
      </c>
      <c r="F1157" s="57" t="inlineStr"/>
    </row>
    <row r="1158" ht="25" customHeight="1" s="55">
      <c r="A1158" s="57" t="inlineStr">
        <is>
          <t>Second_Lex_Aug18_Nam</t>
        </is>
      </c>
      <c r="B1158" s="57" t="n">
        <v>16</v>
      </c>
      <c r="C1158" s="57" t="inlineStr">
        <is>
          <t>Harvest</t>
        </is>
      </c>
      <c r="D1158" s="57" t="inlineStr">
        <is>
          <t>Second harvest</t>
        </is>
      </c>
      <c r="E1158" s="57" t="inlineStr">
        <is>
          <t>Third</t>
        </is>
      </c>
      <c r="F1158" s="57" t="inlineStr">
        <is>
          <t>forced_from_sheet_name</t>
        </is>
      </c>
    </row>
    <row r="1159" ht="25" customHeight="1" s="55">
      <c r="A1159" s="57" t="inlineStr">
        <is>
          <t>Second_Lex_Aug18_Nam</t>
        </is>
      </c>
      <c r="B1159" s="57" t="n">
        <v>17</v>
      </c>
      <c r="C1159" s="57" t="inlineStr">
        <is>
          <t>Genotypes</t>
        </is>
      </c>
      <c r="D1159" s="57" t="inlineStr">
        <is>
          <t>UKY-25-003</t>
        </is>
      </c>
      <c r="E1159" s="57" t="inlineStr">
        <is>
          <t>UKYT-25-003</t>
        </is>
      </c>
      <c r="F1159" s="57" t="inlineStr"/>
    </row>
    <row r="1160" ht="25" customHeight="1" s="55">
      <c r="A1160" s="57" t="inlineStr">
        <is>
          <t>Second_Lex_Aug18_Nam</t>
        </is>
      </c>
      <c r="B1160" s="57" t="n">
        <v>17</v>
      </c>
      <c r="C1160" s="57" t="inlineStr">
        <is>
          <t>Harvest</t>
        </is>
      </c>
      <c r="D1160" s="57" t="inlineStr">
        <is>
          <t>Second harvest</t>
        </is>
      </c>
      <c r="E1160" s="57" t="inlineStr">
        <is>
          <t>Third</t>
        </is>
      </c>
      <c r="F1160" s="57" t="inlineStr">
        <is>
          <t>forced_from_sheet_name</t>
        </is>
      </c>
    </row>
    <row r="1161" ht="25" customHeight="1" s="55">
      <c r="A1161" s="57" t="inlineStr">
        <is>
          <t>Second_Lex_Aug18_Nam</t>
        </is>
      </c>
      <c r="B1161" s="57" t="n">
        <v>18</v>
      </c>
      <c r="C1161" s="57" t="inlineStr">
        <is>
          <t>Genotypes</t>
        </is>
      </c>
      <c r="D1161" s="57" t="inlineStr">
        <is>
          <t>UKY-26-003</t>
        </is>
      </c>
      <c r="E1161" s="57" t="inlineStr">
        <is>
          <t>UKYT-26-003</t>
        </is>
      </c>
      <c r="F1161" s="57" t="inlineStr"/>
    </row>
    <row r="1162" ht="25" customHeight="1" s="55">
      <c r="A1162" s="57" t="inlineStr">
        <is>
          <t>Second_Lex_Aug18_Nam</t>
        </is>
      </c>
      <c r="B1162" s="57" t="n">
        <v>18</v>
      </c>
      <c r="C1162" s="57" t="inlineStr">
        <is>
          <t>Harvest</t>
        </is>
      </c>
      <c r="D1162" s="57" t="inlineStr">
        <is>
          <t>Second harvest</t>
        </is>
      </c>
      <c r="E1162" s="57" t="inlineStr">
        <is>
          <t>Third</t>
        </is>
      </c>
      <c r="F1162" s="57" t="inlineStr">
        <is>
          <t>forced_from_sheet_name</t>
        </is>
      </c>
    </row>
    <row r="1163" ht="25" customHeight="1" s="55">
      <c r="A1163" s="57" t="inlineStr">
        <is>
          <t>Second_Lex_Aug18_Nam</t>
        </is>
      </c>
      <c r="B1163" s="57" t="n">
        <v>19</v>
      </c>
      <c r="C1163" s="57" t="inlineStr">
        <is>
          <t>Genotypes</t>
        </is>
      </c>
      <c r="D1163" s="57" t="inlineStr">
        <is>
          <t>UKY-26-008</t>
        </is>
      </c>
      <c r="E1163" s="57" t="inlineStr">
        <is>
          <t>UKYT-26-008</t>
        </is>
      </c>
      <c r="F1163" s="57" t="inlineStr"/>
    </row>
    <row r="1164" ht="25" customHeight="1" s="55">
      <c r="A1164" s="57" t="inlineStr">
        <is>
          <t>Second_Lex_Aug18_Nam</t>
        </is>
      </c>
      <c r="B1164" s="57" t="n">
        <v>19</v>
      </c>
      <c r="C1164" s="57" t="inlineStr">
        <is>
          <t>Harvest</t>
        </is>
      </c>
      <c r="D1164" s="57" t="inlineStr">
        <is>
          <t>Second harvest</t>
        </is>
      </c>
      <c r="E1164" s="57" t="inlineStr">
        <is>
          <t>Third</t>
        </is>
      </c>
      <c r="F1164" s="57" t="inlineStr">
        <is>
          <t>forced_from_sheet_name</t>
        </is>
      </c>
    </row>
    <row r="1165" ht="25" customHeight="1" s="55">
      <c r="A1165" s="57" t="inlineStr">
        <is>
          <t>Second_Lex_Aug18_Nam</t>
        </is>
      </c>
      <c r="B1165" s="57" t="n">
        <v>20</v>
      </c>
      <c r="C1165" s="57" t="inlineStr">
        <is>
          <t>Genotypes</t>
        </is>
      </c>
      <c r="D1165" s="57" t="inlineStr">
        <is>
          <t>UKY-25-006</t>
        </is>
      </c>
      <c r="E1165" s="57" t="inlineStr">
        <is>
          <t>UKYT-25-006</t>
        </is>
      </c>
      <c r="F1165" s="57" t="inlineStr"/>
    </row>
    <row r="1166" ht="25" customHeight="1" s="55">
      <c r="A1166" s="57" t="inlineStr">
        <is>
          <t>Second_Lex_Aug18_Nam</t>
        </is>
      </c>
      <c r="B1166" s="57" t="n">
        <v>20</v>
      </c>
      <c r="C1166" s="57" t="inlineStr">
        <is>
          <t>Harvest</t>
        </is>
      </c>
      <c r="D1166" s="57" t="inlineStr">
        <is>
          <t>Second harvest</t>
        </is>
      </c>
      <c r="E1166" s="57" t="inlineStr">
        <is>
          <t>Third</t>
        </is>
      </c>
      <c r="F1166" s="57" t="inlineStr">
        <is>
          <t>forced_from_sheet_name</t>
        </is>
      </c>
    </row>
    <row r="1167" ht="25" customHeight="1" s="55">
      <c r="A1167" s="57" t="inlineStr">
        <is>
          <t>Second_Lex_Aug18_Nam</t>
        </is>
      </c>
      <c r="B1167" s="57" t="n">
        <v>21</v>
      </c>
      <c r="C1167" s="57" t="inlineStr">
        <is>
          <t>Genotypes</t>
        </is>
      </c>
      <c r="D1167" s="57" t="inlineStr">
        <is>
          <t>Magnolia Rosa Cherry</t>
        </is>
      </c>
      <c r="E1167" s="57" t="inlineStr">
        <is>
          <t>Maglia Rosa Cherry</t>
        </is>
      </c>
      <c r="F1167" s="57" t="inlineStr"/>
    </row>
    <row r="1168" ht="25" customHeight="1" s="55">
      <c r="A1168" s="57" t="inlineStr">
        <is>
          <t>Second_Lex_Aug18_Nam</t>
        </is>
      </c>
      <c r="B1168" s="57" t="n">
        <v>21</v>
      </c>
      <c r="C1168" s="57" t="inlineStr">
        <is>
          <t>Harvest</t>
        </is>
      </c>
      <c r="D1168" s="57" t="inlineStr">
        <is>
          <t>Second harvest</t>
        </is>
      </c>
      <c r="E1168" s="57" t="inlineStr">
        <is>
          <t>Third</t>
        </is>
      </c>
      <c r="F1168" s="57" t="inlineStr">
        <is>
          <t>forced_from_sheet_name</t>
        </is>
      </c>
    </row>
    <row r="1169" ht="25" customHeight="1" s="55">
      <c r="A1169" s="57" t="inlineStr">
        <is>
          <t>Second_Lex_Aug18_Nam</t>
        </is>
      </c>
      <c r="B1169" s="57" t="n">
        <v>22</v>
      </c>
      <c r="C1169" s="57" t="inlineStr">
        <is>
          <t>Genotypes</t>
        </is>
      </c>
      <c r="D1169" s="57" t="inlineStr">
        <is>
          <t>UKY-26-021</t>
        </is>
      </c>
      <c r="E1169" s="57" t="inlineStr">
        <is>
          <t>UKYT-26-021</t>
        </is>
      </c>
      <c r="F1169" s="57" t="inlineStr"/>
    </row>
    <row r="1170" ht="25" customHeight="1" s="55">
      <c r="A1170" s="57" t="inlineStr">
        <is>
          <t>Second_Lex_Aug18_Nam</t>
        </is>
      </c>
      <c r="B1170" s="57" t="n">
        <v>22</v>
      </c>
      <c r="C1170" s="57" t="inlineStr">
        <is>
          <t>Harvest</t>
        </is>
      </c>
      <c r="D1170" s="57" t="inlineStr">
        <is>
          <t>Second harvest</t>
        </is>
      </c>
      <c r="E1170" s="57" t="inlineStr">
        <is>
          <t>Third</t>
        </is>
      </c>
      <c r="F1170" s="57" t="inlineStr">
        <is>
          <t>forced_from_sheet_name</t>
        </is>
      </c>
    </row>
    <row r="1171" ht="25" customHeight="1" s="55">
      <c r="A1171" s="57" t="inlineStr">
        <is>
          <t>Second_Lex_Aug18_Nam</t>
        </is>
      </c>
      <c r="B1171" s="57" t="n">
        <v>23</v>
      </c>
      <c r="C1171" s="57" t="inlineStr">
        <is>
          <t>Genotypes</t>
        </is>
      </c>
      <c r="D1171" s="57" t="inlineStr">
        <is>
          <t>UKY-26-023</t>
        </is>
      </c>
      <c r="E1171" s="57" t="inlineStr">
        <is>
          <t>UKYT-26-023</t>
        </is>
      </c>
      <c r="F1171" s="57" t="inlineStr"/>
    </row>
    <row r="1172" ht="25" customHeight="1" s="55">
      <c r="A1172" s="57" t="inlineStr">
        <is>
          <t>Second_Lex_Aug18_Nam</t>
        </is>
      </c>
      <c r="B1172" s="57" t="n">
        <v>23</v>
      </c>
      <c r="C1172" s="57" t="inlineStr">
        <is>
          <t>Harvest</t>
        </is>
      </c>
      <c r="D1172" s="57" t="inlineStr">
        <is>
          <t>Second harvest</t>
        </is>
      </c>
      <c r="E1172" s="57" t="inlineStr">
        <is>
          <t>Third</t>
        </is>
      </c>
      <c r="F1172" s="57" t="inlineStr">
        <is>
          <t>forced_from_sheet_name</t>
        </is>
      </c>
    </row>
    <row r="1173" ht="25" customHeight="1" s="55">
      <c r="A1173" s="57" t="inlineStr">
        <is>
          <t>Second_Lex_Aug18_Nam</t>
        </is>
      </c>
      <c r="B1173" s="57" t="n">
        <v>24</v>
      </c>
      <c r="C1173" s="57" t="inlineStr">
        <is>
          <t>Genotypes</t>
        </is>
      </c>
      <c r="D1173" s="57" t="inlineStr">
        <is>
          <t>UKY-25-009</t>
        </is>
      </c>
      <c r="E1173" s="57" t="inlineStr">
        <is>
          <t>UKYT-25-009</t>
        </is>
      </c>
      <c r="F1173" s="57" t="inlineStr"/>
    </row>
    <row r="1174" ht="25" customHeight="1" s="55">
      <c r="A1174" s="57" t="inlineStr">
        <is>
          <t>Second_Lex_Aug18_Nam</t>
        </is>
      </c>
      <c r="B1174" s="57" t="n">
        <v>24</v>
      </c>
      <c r="C1174" s="57" t="inlineStr">
        <is>
          <t>Harvest</t>
        </is>
      </c>
      <c r="D1174" s="57" t="inlineStr">
        <is>
          <t>Second harvest</t>
        </is>
      </c>
      <c r="E1174" s="57" t="inlineStr">
        <is>
          <t>Third</t>
        </is>
      </c>
      <c r="F1174" s="57" t="inlineStr">
        <is>
          <t>forced_from_sheet_name</t>
        </is>
      </c>
    </row>
    <row r="1175" ht="25" customHeight="1" s="55">
      <c r="A1175" s="57" t="inlineStr">
        <is>
          <t>Second_Lex_Aug18_Nam</t>
        </is>
      </c>
      <c r="B1175" s="57" t="n">
        <v>25</v>
      </c>
      <c r="C1175" s="57" t="inlineStr">
        <is>
          <t>Genotypes</t>
        </is>
      </c>
      <c r="D1175" s="57" t="inlineStr">
        <is>
          <t>UKY-26-024</t>
        </is>
      </c>
      <c r="E1175" s="57" t="inlineStr">
        <is>
          <t>UKYT-26-024</t>
        </is>
      </c>
      <c r="F1175" s="57" t="inlineStr"/>
    </row>
    <row r="1176" ht="25" customHeight="1" s="55">
      <c r="A1176" s="57" t="inlineStr">
        <is>
          <t>Second_Lex_Aug18_Nam</t>
        </is>
      </c>
      <c r="B1176" s="57" t="n">
        <v>25</v>
      </c>
      <c r="C1176" s="57" t="inlineStr">
        <is>
          <t>Harvest</t>
        </is>
      </c>
      <c r="D1176" s="57" t="inlineStr">
        <is>
          <t>Second harvest</t>
        </is>
      </c>
      <c r="E1176" s="57" t="inlineStr">
        <is>
          <t>Third</t>
        </is>
      </c>
      <c r="F1176" s="57" t="inlineStr">
        <is>
          <t>forced_from_sheet_name</t>
        </is>
      </c>
    </row>
    <row r="1177" ht="25" customHeight="1" s="55">
      <c r="A1177" s="57" t="inlineStr">
        <is>
          <t>Second_Lex_Aug18_Nam</t>
        </is>
      </c>
      <c r="B1177" s="57" t="n">
        <v>26</v>
      </c>
      <c r="C1177" s="57" t="inlineStr">
        <is>
          <t>Genotypes</t>
        </is>
      </c>
      <c r="D1177" s="57" t="inlineStr">
        <is>
          <t>UKY-25-005</t>
        </is>
      </c>
      <c r="E1177" s="57" t="inlineStr">
        <is>
          <t>UKYT-25-005</t>
        </is>
      </c>
      <c r="F1177" s="57" t="inlineStr"/>
    </row>
    <row r="1178" ht="25" customHeight="1" s="55">
      <c r="A1178" s="57" t="inlineStr">
        <is>
          <t>Second_Lex_Aug18_Nam</t>
        </is>
      </c>
      <c r="B1178" s="57" t="n">
        <v>26</v>
      </c>
      <c r="C1178" s="57" t="inlineStr">
        <is>
          <t>Harvest</t>
        </is>
      </c>
      <c r="D1178" s="57" t="inlineStr">
        <is>
          <t>Second harvest</t>
        </is>
      </c>
      <c r="E1178" s="57" t="inlineStr">
        <is>
          <t>Third</t>
        </is>
      </c>
      <c r="F1178" s="57" t="inlineStr">
        <is>
          <t>forced_from_sheet_name</t>
        </is>
      </c>
    </row>
    <row r="1179" ht="25" customHeight="1" s="55">
      <c r="A1179" s="57" t="inlineStr">
        <is>
          <t>Second_Lex_Aug18_Nam</t>
        </is>
      </c>
      <c r="B1179" s="57" t="n">
        <v>27</v>
      </c>
      <c r="C1179" s="57" t="inlineStr">
        <is>
          <t>Genotypes</t>
        </is>
      </c>
      <c r="D1179" s="57" t="inlineStr">
        <is>
          <t>UKY-25-015</t>
        </is>
      </c>
      <c r="E1179" s="57" t="inlineStr">
        <is>
          <t>UKYT-25-015</t>
        </is>
      </c>
      <c r="F1179" s="57" t="inlineStr"/>
    </row>
    <row r="1180" ht="25" customHeight="1" s="55">
      <c r="A1180" s="57" t="inlineStr">
        <is>
          <t>Second_Lex_Aug18_Nam</t>
        </is>
      </c>
      <c r="B1180" s="57" t="n">
        <v>27</v>
      </c>
      <c r="C1180" s="57" t="inlineStr">
        <is>
          <t>Harvest</t>
        </is>
      </c>
      <c r="D1180" s="57" t="inlineStr">
        <is>
          <t>Second harvest</t>
        </is>
      </c>
      <c r="E1180" s="57" t="inlineStr">
        <is>
          <t>Third</t>
        </is>
      </c>
      <c r="F1180" s="57" t="inlineStr">
        <is>
          <t>forced_from_sheet_name</t>
        </is>
      </c>
    </row>
    <row r="1181" ht="25" customHeight="1" s="55">
      <c r="A1181" s="57" t="inlineStr">
        <is>
          <t>Second_Lex_Aug18_Nam</t>
        </is>
      </c>
      <c r="B1181" s="57" t="n">
        <v>28</v>
      </c>
      <c r="C1181" s="57" t="inlineStr">
        <is>
          <t>Genotypes</t>
        </is>
      </c>
      <c r="D1181" s="57" t="inlineStr">
        <is>
          <t>UKY-25-016</t>
        </is>
      </c>
      <c r="E1181" s="57" t="inlineStr">
        <is>
          <t>UKYT-25-016</t>
        </is>
      </c>
      <c r="F1181" s="57" t="inlineStr"/>
    </row>
    <row r="1182" ht="25" customHeight="1" s="55">
      <c r="A1182" s="57" t="inlineStr">
        <is>
          <t>Second_Lex_Aug18_Nam</t>
        </is>
      </c>
      <c r="B1182" s="57" t="n">
        <v>28</v>
      </c>
      <c r="C1182" s="57" t="inlineStr">
        <is>
          <t>Harvest</t>
        </is>
      </c>
      <c r="D1182" s="57" t="inlineStr">
        <is>
          <t>Second harvest</t>
        </is>
      </c>
      <c r="E1182" s="57" t="inlineStr">
        <is>
          <t>Third</t>
        </is>
      </c>
      <c r="F1182" s="57" t="inlineStr">
        <is>
          <t>forced_from_sheet_name</t>
        </is>
      </c>
    </row>
    <row r="1183" ht="25" customHeight="1" s="55">
      <c r="A1183" s="57" t="inlineStr">
        <is>
          <t>Second_Lex_Aug18_Nam</t>
        </is>
      </c>
      <c r="B1183" s="57" t="n">
        <v>29</v>
      </c>
      <c r="C1183" s="57" t="inlineStr">
        <is>
          <t>Genotypes</t>
        </is>
      </c>
      <c r="D1183" s="57" t="inlineStr">
        <is>
          <t>UKY-25-018</t>
        </is>
      </c>
      <c r="E1183" s="57" t="inlineStr">
        <is>
          <t>UKYT-25-018</t>
        </is>
      </c>
      <c r="F1183" s="57" t="inlineStr"/>
    </row>
    <row r="1184" ht="25" customHeight="1" s="55">
      <c r="A1184" s="57" t="inlineStr">
        <is>
          <t>Second_Lex_Aug18_Nam</t>
        </is>
      </c>
      <c r="B1184" s="57" t="n">
        <v>29</v>
      </c>
      <c r="C1184" s="57" t="inlineStr">
        <is>
          <t>Harvest</t>
        </is>
      </c>
      <c r="D1184" s="57" t="inlineStr">
        <is>
          <t>Second harvest</t>
        </is>
      </c>
      <c r="E1184" s="57" t="inlineStr">
        <is>
          <t>Third</t>
        </is>
      </c>
      <c r="F1184" s="57" t="inlineStr">
        <is>
          <t>forced_from_sheet_name</t>
        </is>
      </c>
    </row>
    <row r="1185" ht="25" customHeight="1" s="55">
      <c r="A1185" s="57" t="inlineStr">
        <is>
          <t>Second_Lex_Aug18_Nam</t>
        </is>
      </c>
      <c r="B1185" s="57" t="n">
        <v>30</v>
      </c>
      <c r="C1185" s="57" t="inlineStr">
        <is>
          <t>Genotypes</t>
        </is>
      </c>
      <c r="D1185" s="57" t="inlineStr">
        <is>
          <t>UKY-25-017</t>
        </is>
      </c>
      <c r="E1185" s="57" t="inlineStr">
        <is>
          <t>UKYT-25-017</t>
        </is>
      </c>
      <c r="F1185" s="57" t="inlineStr"/>
    </row>
    <row r="1186" ht="25" customHeight="1" s="55">
      <c r="A1186" s="57" t="inlineStr">
        <is>
          <t>Second_Lex_Aug18_Nam</t>
        </is>
      </c>
      <c r="B1186" s="57" t="n">
        <v>30</v>
      </c>
      <c r="C1186" s="57" t="inlineStr">
        <is>
          <t>Harvest</t>
        </is>
      </c>
      <c r="D1186" s="57" t="inlineStr">
        <is>
          <t>Second harvest</t>
        </is>
      </c>
      <c r="E1186" s="57" t="inlineStr">
        <is>
          <t>Third</t>
        </is>
      </c>
      <c r="F1186" s="57" t="inlineStr">
        <is>
          <t>forced_from_sheet_name</t>
        </is>
      </c>
    </row>
    <row r="1187" ht="25" customHeight="1" s="55">
      <c r="A1187" s="57" t="inlineStr">
        <is>
          <t>Second_Lex_Aug18_Nam</t>
        </is>
      </c>
      <c r="B1187" s="57" t="n">
        <v>31</v>
      </c>
      <c r="C1187" s="57" t="inlineStr">
        <is>
          <t>Genotypes</t>
        </is>
      </c>
      <c r="D1187" s="57" t="inlineStr">
        <is>
          <t>UKY-26-020</t>
        </is>
      </c>
      <c r="E1187" s="57" t="inlineStr">
        <is>
          <t>UKYT-26-020</t>
        </is>
      </c>
      <c r="F1187" s="57" t="inlineStr"/>
    </row>
    <row r="1188" ht="25" customHeight="1" s="55">
      <c r="A1188" s="57" t="inlineStr">
        <is>
          <t>Second_Lex_Aug18_Nam</t>
        </is>
      </c>
      <c r="B1188" s="57" t="n">
        <v>31</v>
      </c>
      <c r="C1188" s="57" t="inlineStr">
        <is>
          <t>Harvest</t>
        </is>
      </c>
      <c r="D1188" s="57" t="inlineStr">
        <is>
          <t>Second harvest</t>
        </is>
      </c>
      <c r="E1188" s="57" t="inlineStr">
        <is>
          <t>Third</t>
        </is>
      </c>
      <c r="F1188" s="57" t="inlineStr">
        <is>
          <t>forced_from_sheet_name</t>
        </is>
      </c>
    </row>
    <row r="1189" ht="25" customHeight="1" s="55">
      <c r="A1189" s="57" t="inlineStr">
        <is>
          <t>Second_Lex_Aug18_Nam</t>
        </is>
      </c>
      <c r="B1189" s="57" t="n">
        <v>32</v>
      </c>
      <c r="C1189" s="57" t="inlineStr">
        <is>
          <t>Genotypes</t>
        </is>
      </c>
      <c r="D1189" s="57" t="inlineStr">
        <is>
          <t>UKY-26-022</t>
        </is>
      </c>
      <c r="E1189" s="57" t="inlineStr">
        <is>
          <t>UKYT-26-022</t>
        </is>
      </c>
      <c r="F1189" s="57" t="inlineStr"/>
    </row>
    <row r="1190" ht="25" customHeight="1" s="55">
      <c r="A1190" s="57" t="inlineStr">
        <is>
          <t>Second_Lex_Aug18_Nam</t>
        </is>
      </c>
      <c r="B1190" s="57" t="n">
        <v>32</v>
      </c>
      <c r="C1190" s="57" t="inlineStr">
        <is>
          <t>Harvest</t>
        </is>
      </c>
      <c r="D1190" s="57" t="inlineStr">
        <is>
          <t>Second harvest</t>
        </is>
      </c>
      <c r="E1190" s="57" t="inlineStr">
        <is>
          <t>Third</t>
        </is>
      </c>
      <c r="F1190" s="57" t="inlineStr">
        <is>
          <t>forced_from_sheet_name</t>
        </is>
      </c>
    </row>
    <row r="1191" ht="25" customHeight="1" s="55">
      <c r="A1191" s="57" t="inlineStr">
        <is>
          <t>Second_Lex_Aug18_Nam</t>
        </is>
      </c>
      <c r="B1191" s="57" t="n">
        <v>33</v>
      </c>
      <c r="C1191" s="57" t="inlineStr">
        <is>
          <t>Genotypes</t>
        </is>
      </c>
      <c r="D1191" s="57" t="inlineStr">
        <is>
          <t>UKY-26-014</t>
        </is>
      </c>
      <c r="E1191" s="57" t="inlineStr">
        <is>
          <t>UKYT-26-014</t>
        </is>
      </c>
      <c r="F1191" s="57" t="inlineStr"/>
    </row>
    <row r="1192" ht="25" customHeight="1" s="55">
      <c r="A1192" s="57" t="inlineStr">
        <is>
          <t>Second_Lex_Aug18_Nam</t>
        </is>
      </c>
      <c r="B1192" s="57" t="n">
        <v>33</v>
      </c>
      <c r="C1192" s="57" t="inlineStr">
        <is>
          <t>Harvest</t>
        </is>
      </c>
      <c r="D1192" s="57" t="inlineStr">
        <is>
          <t>Second harvest</t>
        </is>
      </c>
      <c r="E1192" s="57" t="inlineStr">
        <is>
          <t>Third</t>
        </is>
      </c>
      <c r="F1192" s="57" t="inlineStr">
        <is>
          <t>forced_from_sheet_name</t>
        </is>
      </c>
    </row>
    <row r="1193" ht="25" customHeight="1" s="55">
      <c r="A1193" s="57" t="inlineStr">
        <is>
          <t>Second_Lex_Aug18_Nam</t>
        </is>
      </c>
      <c r="B1193" s="57" t="n">
        <v>34</v>
      </c>
      <c r="C1193" s="57" t="inlineStr">
        <is>
          <t>Genotypes</t>
        </is>
      </c>
      <c r="D1193" s="57" t="inlineStr">
        <is>
          <t>UKY-26-013</t>
        </is>
      </c>
      <c r="E1193" s="57" t="inlineStr">
        <is>
          <t>UKYT-26-013</t>
        </is>
      </c>
      <c r="F1193" s="57" t="inlineStr"/>
    </row>
    <row r="1194" ht="25" customHeight="1" s="55">
      <c r="A1194" s="57" t="inlineStr">
        <is>
          <t>Second_Lex_Aug18_Nam</t>
        </is>
      </c>
      <c r="B1194" s="57" t="n">
        <v>34</v>
      </c>
      <c r="C1194" s="57" t="inlineStr">
        <is>
          <t>Harvest</t>
        </is>
      </c>
      <c r="D1194" s="57" t="inlineStr">
        <is>
          <t>Second harvest</t>
        </is>
      </c>
      <c r="E1194" s="57" t="inlineStr">
        <is>
          <t>Third</t>
        </is>
      </c>
      <c r="F1194" s="57" t="inlineStr">
        <is>
          <t>forced_from_sheet_name</t>
        </is>
      </c>
    </row>
    <row r="1195" ht="25" customHeight="1" s="55">
      <c r="A1195" s="57" t="inlineStr">
        <is>
          <t>Second_Lex_Aug18_Nam</t>
        </is>
      </c>
      <c r="B1195" s="57" t="n">
        <v>35</v>
      </c>
      <c r="C1195" s="57" t="inlineStr">
        <is>
          <t>Genotypes</t>
        </is>
      </c>
      <c r="D1195" s="57" t="inlineStr">
        <is>
          <t>UKY-26-015</t>
        </is>
      </c>
      <c r="E1195" s="57" t="inlineStr">
        <is>
          <t>UKYT-26-015</t>
        </is>
      </c>
      <c r="F1195" s="57" t="inlineStr"/>
    </row>
    <row r="1196" ht="25" customHeight="1" s="55">
      <c r="A1196" s="57" t="inlineStr">
        <is>
          <t>Second_Lex_Aug18_Nam</t>
        </is>
      </c>
      <c r="B1196" s="57" t="n">
        <v>35</v>
      </c>
      <c r="C1196" s="57" t="inlineStr">
        <is>
          <t>Harvest</t>
        </is>
      </c>
      <c r="D1196" s="57" t="inlineStr">
        <is>
          <t>Second harvest</t>
        </is>
      </c>
      <c r="E1196" s="57" t="inlineStr">
        <is>
          <t>Third</t>
        </is>
      </c>
      <c r="F1196" s="57" t="inlineStr">
        <is>
          <t>forced_from_sheet_name</t>
        </is>
      </c>
    </row>
    <row r="1197" ht="25" customHeight="1" s="55">
      <c r="A1197" s="57" t="inlineStr">
        <is>
          <t>Second_Lex_Aug18_Nam</t>
        </is>
      </c>
      <c r="B1197" s="57" t="n">
        <v>36</v>
      </c>
      <c r="C1197" s="57" t="inlineStr">
        <is>
          <t>Genotypes</t>
        </is>
      </c>
      <c r="D1197" s="57" t="inlineStr">
        <is>
          <t>UKY-25-011</t>
        </is>
      </c>
      <c r="E1197" s="57" t="inlineStr">
        <is>
          <t>UKYT-25-011</t>
        </is>
      </c>
      <c r="F1197" s="57" t="inlineStr"/>
    </row>
    <row r="1198" ht="25" customHeight="1" s="55">
      <c r="A1198" s="57" t="inlineStr">
        <is>
          <t>Second_Lex_Aug18_Nam</t>
        </is>
      </c>
      <c r="B1198" s="57" t="n">
        <v>36</v>
      </c>
      <c r="C1198" s="57" t="inlineStr">
        <is>
          <t>Harvest</t>
        </is>
      </c>
      <c r="D1198" s="57" t="inlineStr">
        <is>
          <t>Second harvest</t>
        </is>
      </c>
      <c r="E1198" s="57" t="inlineStr">
        <is>
          <t>Third</t>
        </is>
      </c>
      <c r="F1198" s="57" t="inlineStr">
        <is>
          <t>forced_from_sheet_name</t>
        </is>
      </c>
    </row>
    <row r="1199" ht="25" customHeight="1" s="55">
      <c r="A1199" s="57" t="inlineStr">
        <is>
          <t>Second_Lex_Aug18_Nam</t>
        </is>
      </c>
      <c r="B1199" s="57" t="n">
        <v>37</v>
      </c>
      <c r="C1199" s="57" t="inlineStr">
        <is>
          <t>Genotypes</t>
        </is>
      </c>
      <c r="D1199" s="57" t="inlineStr">
        <is>
          <t>UKY-26-018</t>
        </is>
      </c>
      <c r="E1199" s="57" t="inlineStr">
        <is>
          <t>UKYT-26-018</t>
        </is>
      </c>
      <c r="F1199" s="57" t="inlineStr"/>
    </row>
    <row r="1200" ht="25" customHeight="1" s="55">
      <c r="A1200" s="57" t="inlineStr">
        <is>
          <t>Second_Lex_Aug18_Nam</t>
        </is>
      </c>
      <c r="B1200" s="57" t="n">
        <v>37</v>
      </c>
      <c r="C1200" s="57" t="inlineStr">
        <is>
          <t>Harvest</t>
        </is>
      </c>
      <c r="D1200" s="57" t="inlineStr">
        <is>
          <t>Second harvest</t>
        </is>
      </c>
      <c r="E1200" s="57" t="inlineStr">
        <is>
          <t>Third</t>
        </is>
      </c>
      <c r="F1200" s="57" t="inlineStr">
        <is>
          <t>forced_from_sheet_name</t>
        </is>
      </c>
    </row>
    <row r="1201" ht="25" customHeight="1" s="55">
      <c r="A1201" s="57" t="inlineStr">
        <is>
          <t>Second_Lex_Aug18_Nam</t>
        </is>
      </c>
      <c r="B1201" s="57" t="n">
        <v>38</v>
      </c>
      <c r="C1201" s="57" t="inlineStr">
        <is>
          <t>Genotypes</t>
        </is>
      </c>
      <c r="D1201" s="57" t="inlineStr">
        <is>
          <t>UKY-26-017</t>
        </is>
      </c>
      <c r="E1201" s="57" t="inlineStr">
        <is>
          <t>UKYT-26-017</t>
        </is>
      </c>
      <c r="F1201" s="57" t="inlineStr"/>
    </row>
    <row r="1202" ht="25" customHeight="1" s="55">
      <c r="A1202" s="57" t="inlineStr">
        <is>
          <t>Second_Lex_Aug18_Nam</t>
        </is>
      </c>
      <c r="B1202" s="57" t="n">
        <v>38</v>
      </c>
      <c r="C1202" s="57" t="inlineStr">
        <is>
          <t>Harvest</t>
        </is>
      </c>
      <c r="D1202" s="57" t="inlineStr">
        <is>
          <t>Second harvest</t>
        </is>
      </c>
      <c r="E1202" s="57" t="inlineStr">
        <is>
          <t>Third</t>
        </is>
      </c>
      <c r="F1202" s="57" t="inlineStr">
        <is>
          <t>forced_from_sheet_name</t>
        </is>
      </c>
    </row>
    <row r="1203" ht="25" customHeight="1" s="55">
      <c r="A1203" s="57" t="inlineStr">
        <is>
          <t>Second_Lex_Aug18_Nam</t>
        </is>
      </c>
      <c r="B1203" s="57" t="n">
        <v>39</v>
      </c>
      <c r="C1203" s="57" t="inlineStr">
        <is>
          <t>Genotypes</t>
        </is>
      </c>
      <c r="D1203" s="57" t="inlineStr">
        <is>
          <t>UKY-26-004</t>
        </is>
      </c>
      <c r="E1203" s="57" t="inlineStr">
        <is>
          <t>UKYT-26-004</t>
        </is>
      </c>
      <c r="F1203" s="57" t="inlineStr"/>
    </row>
    <row r="1204" ht="25" customHeight="1" s="55">
      <c r="A1204" s="57" t="inlineStr">
        <is>
          <t>Second_Lex_Aug18_Nam</t>
        </is>
      </c>
      <c r="B1204" s="57" t="n">
        <v>39</v>
      </c>
      <c r="C1204" s="57" t="inlineStr">
        <is>
          <t>Harvest</t>
        </is>
      </c>
      <c r="D1204" s="57" t="inlineStr">
        <is>
          <t>Second harvest</t>
        </is>
      </c>
      <c r="E1204" s="57" t="inlineStr">
        <is>
          <t>Third</t>
        </is>
      </c>
      <c r="F1204" s="57" t="inlineStr">
        <is>
          <t>forced_from_sheet_name</t>
        </is>
      </c>
    </row>
    <row r="1205" ht="25" customHeight="1" s="55">
      <c r="A1205" s="57" t="inlineStr">
        <is>
          <t>Second_Lex_Aug18_Nam</t>
        </is>
      </c>
      <c r="B1205" s="57" t="n">
        <v>40</v>
      </c>
      <c r="C1205" s="57" t="inlineStr">
        <is>
          <t>Genotypes</t>
        </is>
      </c>
      <c r="D1205" s="57" t="inlineStr">
        <is>
          <t>UKY-26-016</t>
        </is>
      </c>
      <c r="E1205" s="57" t="inlineStr">
        <is>
          <t>UKYT-26-016</t>
        </is>
      </c>
      <c r="F1205" s="57" t="inlineStr"/>
    </row>
    <row r="1206" ht="25" customHeight="1" s="55">
      <c r="A1206" s="57" t="inlineStr">
        <is>
          <t>Second_Lex_Aug18_Nam</t>
        </is>
      </c>
      <c r="B1206" s="57" t="n">
        <v>40</v>
      </c>
      <c r="C1206" s="57" t="inlineStr">
        <is>
          <t>Harvest</t>
        </is>
      </c>
      <c r="D1206" s="57" t="inlineStr">
        <is>
          <t>Second harvest</t>
        </is>
      </c>
      <c r="E1206" s="57" t="inlineStr">
        <is>
          <t>Third</t>
        </is>
      </c>
      <c r="F1206" s="57" t="inlineStr">
        <is>
          <t>forced_from_sheet_name</t>
        </is>
      </c>
    </row>
    <row r="1207" ht="25" customHeight="1" s="55">
      <c r="A1207" s="57" t="inlineStr">
        <is>
          <t>Second_Lex_Aug18_Nam</t>
        </is>
      </c>
      <c r="B1207" s="57" t="n">
        <v>41</v>
      </c>
      <c r="C1207" s="57" t="inlineStr">
        <is>
          <t>Genotypes</t>
        </is>
      </c>
      <c r="D1207" s="57" t="inlineStr">
        <is>
          <t>UKY-26-005</t>
        </is>
      </c>
      <c r="E1207" s="57" t="inlineStr">
        <is>
          <t>UKYT-26-005</t>
        </is>
      </c>
      <c r="F1207" s="57" t="inlineStr"/>
    </row>
    <row r="1208" ht="25" customHeight="1" s="55">
      <c r="A1208" s="57" t="inlineStr">
        <is>
          <t>Second_Lex_Aug18_Nam</t>
        </is>
      </c>
      <c r="B1208" s="57" t="n">
        <v>41</v>
      </c>
      <c r="C1208" s="57" t="inlineStr">
        <is>
          <t>Harvest</t>
        </is>
      </c>
      <c r="D1208" s="57" t="inlineStr">
        <is>
          <t>Second harvest</t>
        </is>
      </c>
      <c r="E1208" s="57" t="inlineStr">
        <is>
          <t>Third</t>
        </is>
      </c>
      <c r="F1208" s="57" t="inlineStr">
        <is>
          <t>forced_from_sheet_name</t>
        </is>
      </c>
    </row>
    <row r="1209" ht="25" customHeight="1" s="55">
      <c r="A1209" s="57" t="inlineStr">
        <is>
          <t>Second_Lex_Aug18_Nam</t>
        </is>
      </c>
      <c r="B1209" s="57" t="n">
        <v>42</v>
      </c>
      <c r="C1209" s="57" t="inlineStr">
        <is>
          <t>Genotypes</t>
        </is>
      </c>
      <c r="D1209" s="57" t="inlineStr">
        <is>
          <t>UKY-26-026</t>
        </is>
      </c>
      <c r="E1209" s="57" t="inlineStr">
        <is>
          <t>UKYT-26-026</t>
        </is>
      </c>
      <c r="F1209" s="57" t="inlineStr"/>
    </row>
    <row r="1210" ht="25" customHeight="1" s="55">
      <c r="A1210" s="57" t="inlineStr">
        <is>
          <t>Second_Lex_Aug18_Nam</t>
        </is>
      </c>
      <c r="B1210" s="57" t="n">
        <v>42</v>
      </c>
      <c r="C1210" s="57" t="inlineStr">
        <is>
          <t>Harvest</t>
        </is>
      </c>
      <c r="D1210" s="57" t="inlineStr">
        <is>
          <t>Second harvest</t>
        </is>
      </c>
      <c r="E1210" s="57" t="inlineStr">
        <is>
          <t>Third</t>
        </is>
      </c>
      <c r="F1210" s="57" t="inlineStr">
        <is>
          <t>forced_from_sheet_name</t>
        </is>
      </c>
    </row>
    <row r="1211" ht="25" customHeight="1" s="55">
      <c r="A1211" s="57" t="inlineStr">
        <is>
          <t>Second_Lex_Aug18_Nam</t>
        </is>
      </c>
      <c r="B1211" s="57" t="n">
        <v>43</v>
      </c>
      <c r="C1211" s="57" t="inlineStr">
        <is>
          <t>Genotypes</t>
        </is>
      </c>
      <c r="D1211" s="57" t="inlineStr">
        <is>
          <t>UKY-26-019</t>
        </is>
      </c>
      <c r="E1211" s="57" t="inlineStr">
        <is>
          <t>UKYT-26-019</t>
        </is>
      </c>
      <c r="F1211" s="57" t="inlineStr"/>
    </row>
    <row r="1212" ht="25" customHeight="1" s="55">
      <c r="A1212" s="57" t="inlineStr">
        <is>
          <t>Second_Lex_Aug18_Nam</t>
        </is>
      </c>
      <c r="B1212" s="57" t="n">
        <v>43</v>
      </c>
      <c r="C1212" s="57" t="inlineStr">
        <is>
          <t>Harvest</t>
        </is>
      </c>
      <c r="D1212" s="57" t="inlineStr">
        <is>
          <t>Second harvest</t>
        </is>
      </c>
      <c r="E1212" s="57" t="inlineStr">
        <is>
          <t>Third</t>
        </is>
      </c>
      <c r="F1212" s="57" t="inlineStr">
        <is>
          <t>forced_from_sheet_name</t>
        </is>
      </c>
    </row>
    <row r="1213" ht="25" customHeight="1" s="55">
      <c r="A1213" s="57" t="inlineStr">
        <is>
          <t>Second_Lex_Aug18_Nam</t>
        </is>
      </c>
      <c r="B1213" s="57" t="n">
        <v>44</v>
      </c>
      <c r="C1213" s="57" t="inlineStr">
        <is>
          <t>Genotypes</t>
        </is>
      </c>
      <c r="D1213" s="57" t="inlineStr">
        <is>
          <t>UKY-25-010</t>
        </is>
      </c>
      <c r="E1213" s="57" t="inlineStr">
        <is>
          <t>UKYT-25-010</t>
        </is>
      </c>
      <c r="F1213" s="57" t="inlineStr"/>
    </row>
    <row r="1214" ht="25" customHeight="1" s="55">
      <c r="A1214" s="57" t="inlineStr">
        <is>
          <t>Second_Lex_Aug18_Nam</t>
        </is>
      </c>
      <c r="B1214" s="57" t="n">
        <v>44</v>
      </c>
      <c r="C1214" s="57" t="inlineStr">
        <is>
          <t>Harvest</t>
        </is>
      </c>
      <c r="D1214" s="57" t="inlineStr">
        <is>
          <t>Second harvest</t>
        </is>
      </c>
      <c r="E1214" s="57" t="inlineStr">
        <is>
          <t>Third</t>
        </is>
      </c>
      <c r="F1214" s="57" t="inlineStr">
        <is>
          <t>forced_from_sheet_name</t>
        </is>
      </c>
    </row>
    <row r="1215" ht="25" customHeight="1" s="55">
      <c r="A1215" s="57" t="inlineStr">
        <is>
          <t>Second_Lex_Aug18_Nam</t>
        </is>
      </c>
      <c r="B1215" s="57" t="n">
        <v>45</v>
      </c>
      <c r="C1215" s="57" t="inlineStr">
        <is>
          <t>Genotypes</t>
        </is>
      </c>
      <c r="D1215" s="57" t="inlineStr">
        <is>
          <t>UKY-25-012</t>
        </is>
      </c>
      <c r="E1215" s="57" t="inlineStr">
        <is>
          <t>UKYT-25-012</t>
        </is>
      </c>
      <c r="F1215" s="57" t="inlineStr"/>
    </row>
    <row r="1216" ht="25" customHeight="1" s="55">
      <c r="A1216" s="57" t="inlineStr">
        <is>
          <t>Second_Lex_Aug18_Nam</t>
        </is>
      </c>
      <c r="B1216" s="57" t="n">
        <v>45</v>
      </c>
      <c r="C1216" s="57" t="inlineStr">
        <is>
          <t>Harvest</t>
        </is>
      </c>
      <c r="D1216" s="57" t="inlineStr">
        <is>
          <t>Second harvest</t>
        </is>
      </c>
      <c r="E1216" s="57" t="inlineStr">
        <is>
          <t>Third</t>
        </is>
      </c>
      <c r="F1216" s="57" t="inlineStr">
        <is>
          <t>forced_from_sheet_name</t>
        </is>
      </c>
    </row>
    <row r="1217" ht="25" customHeight="1" s="55">
      <c r="A1217" s="57" t="inlineStr">
        <is>
          <t>Second_Lex_Aug18_Nam</t>
        </is>
      </c>
      <c r="B1217" s="57" t="n">
        <v>46</v>
      </c>
      <c r="C1217" s="57" t="inlineStr">
        <is>
          <t>Genotypes</t>
        </is>
      </c>
      <c r="D1217" s="57" t="inlineStr">
        <is>
          <t>UKY-26-027</t>
        </is>
      </c>
      <c r="E1217" s="57" t="inlineStr">
        <is>
          <t>UKYT-26-027</t>
        </is>
      </c>
      <c r="F1217" s="57" t="inlineStr"/>
    </row>
    <row r="1218" ht="25" customHeight="1" s="55">
      <c r="A1218" s="57" t="inlineStr">
        <is>
          <t>Second_Lex_Aug18_Nam</t>
        </is>
      </c>
      <c r="B1218" s="57" t="n">
        <v>46</v>
      </c>
      <c r="C1218" s="57" t="inlineStr">
        <is>
          <t>Harvest</t>
        </is>
      </c>
      <c r="D1218" s="57" t="inlineStr">
        <is>
          <t>Second harvest</t>
        </is>
      </c>
      <c r="E1218" s="57" t="inlineStr">
        <is>
          <t>Third</t>
        </is>
      </c>
      <c r="F1218" s="57" t="inlineStr">
        <is>
          <t>forced_from_sheet_name</t>
        </is>
      </c>
    </row>
    <row r="1219" ht="25" customHeight="1" s="55">
      <c r="A1219" s="57" t="inlineStr">
        <is>
          <t>Second_Lex_Aug18_Nam</t>
        </is>
      </c>
      <c r="B1219" s="57" t="n">
        <v>47</v>
      </c>
      <c r="C1219" s="57" t="inlineStr">
        <is>
          <t>Harvest</t>
        </is>
      </c>
      <c r="D1219" s="57" t="inlineStr">
        <is>
          <t>Second harvest</t>
        </is>
      </c>
      <c r="E1219" s="57" t="inlineStr">
        <is>
          <t>Third</t>
        </is>
      </c>
      <c r="F1219" s="57" t="inlineStr">
        <is>
          <t>forced_from_sheet_name</t>
        </is>
      </c>
    </row>
    <row r="1220" ht="25" customHeight="1" s="55">
      <c r="A1220" s="57" t="inlineStr">
        <is>
          <t>Second_Lex_Aug18_Nam</t>
        </is>
      </c>
      <c r="B1220" s="57" t="n">
        <v>48</v>
      </c>
      <c r="C1220" s="57" t="inlineStr">
        <is>
          <t>Genotypes</t>
        </is>
      </c>
      <c r="D1220" s="57" t="inlineStr">
        <is>
          <t>UKY-26-039</t>
        </is>
      </c>
      <c r="E1220" s="57" t="inlineStr">
        <is>
          <t>UKYT-26-039</t>
        </is>
      </c>
      <c r="F1220" s="57" t="inlineStr"/>
    </row>
    <row r="1221" ht="25" customHeight="1" s="55">
      <c r="A1221" s="57" t="inlineStr">
        <is>
          <t>Second_Lex_Aug18_Nam</t>
        </is>
      </c>
      <c r="B1221" s="57" t="n">
        <v>48</v>
      </c>
      <c r="C1221" s="57" t="inlineStr">
        <is>
          <t>Location</t>
        </is>
      </c>
      <c r="D1221" s="57" t="inlineStr"/>
      <c r="E1221" s="57" t="inlineStr">
        <is>
          <t>South Farm</t>
        </is>
      </c>
      <c r="F1221" s="57" t="inlineStr">
        <is>
          <t>forced_from_sheet_name</t>
        </is>
      </c>
    </row>
    <row r="1222" ht="25" customHeight="1" s="55">
      <c r="A1222" s="57" t="inlineStr">
        <is>
          <t>Second_Lex_Aug18_Nam</t>
        </is>
      </c>
      <c r="B1222" s="57" t="n">
        <v>48</v>
      </c>
      <c r="C1222" s="57" t="inlineStr">
        <is>
          <t>Harvest</t>
        </is>
      </c>
      <c r="D1222" s="57" t="inlineStr"/>
      <c r="E1222" s="57" t="inlineStr">
        <is>
          <t>Third</t>
        </is>
      </c>
      <c r="F1222" s="57" t="inlineStr">
        <is>
          <t>forced_from_sheet_name</t>
        </is>
      </c>
    </row>
    <row r="1223" ht="25" customHeight="1" s="55">
      <c r="A1223" s="57" t="inlineStr">
        <is>
          <t>Second_Lex_Aug18_Nam</t>
        </is>
      </c>
      <c r="B1223" s="57" t="n">
        <v>48</v>
      </c>
      <c r="C1223" s="57" t="inlineStr">
        <is>
          <t>Date of harvest</t>
        </is>
      </c>
      <c r="D1223" s="57" t="inlineStr"/>
      <c r="E1223" s="57" t="inlineStr">
        <is>
          <t>2026-08-18</t>
        </is>
      </c>
      <c r="F1223" s="57" t="inlineStr">
        <is>
          <t>date_forced:South Farm third harvest; data entered by Nam</t>
        </is>
      </c>
    </row>
    <row r="1224" ht="25" customHeight="1" s="55">
      <c r="A1224" s="57" t="inlineStr">
        <is>
          <t>Second_Lex_Aug18_Nam</t>
        </is>
      </c>
      <c r="B1224" s="57" t="n">
        <v>49</v>
      </c>
      <c r="C1224" s="57" t="inlineStr">
        <is>
          <t>Genotypes</t>
        </is>
      </c>
      <c r="D1224" s="57" t="inlineStr">
        <is>
          <t>UKY-26-028</t>
        </is>
      </c>
      <c r="E1224" s="57" t="inlineStr">
        <is>
          <t>UKYT-26-028</t>
        </is>
      </c>
      <c r="F1224" s="57" t="inlineStr"/>
    </row>
    <row r="1225" ht="25" customHeight="1" s="55">
      <c r="A1225" s="57" t="inlineStr">
        <is>
          <t>Second_Lex_Aug18_Nam</t>
        </is>
      </c>
      <c r="B1225" s="57" t="n">
        <v>49</v>
      </c>
      <c r="C1225" s="57" t="inlineStr">
        <is>
          <t>Location</t>
        </is>
      </c>
      <c r="D1225" s="57" t="inlineStr"/>
      <c r="E1225" s="57" t="inlineStr">
        <is>
          <t>South Farm</t>
        </is>
      </c>
      <c r="F1225" s="57" t="inlineStr">
        <is>
          <t>forced_from_sheet_name</t>
        </is>
      </c>
    </row>
    <row r="1226" ht="25" customHeight="1" s="55">
      <c r="A1226" s="57" t="inlineStr">
        <is>
          <t>Second_Lex_Aug18_Nam</t>
        </is>
      </c>
      <c r="B1226" s="57" t="n">
        <v>49</v>
      </c>
      <c r="C1226" s="57" t="inlineStr">
        <is>
          <t>Harvest</t>
        </is>
      </c>
      <c r="D1226" s="57" t="inlineStr"/>
      <c r="E1226" s="57" t="inlineStr">
        <is>
          <t>Third</t>
        </is>
      </c>
      <c r="F1226" s="57" t="inlineStr">
        <is>
          <t>forced_from_sheet_name</t>
        </is>
      </c>
    </row>
    <row r="1227" ht="25" customHeight="1" s="55">
      <c r="A1227" s="57" t="inlineStr">
        <is>
          <t>Second_Lex_Aug18_Nam</t>
        </is>
      </c>
      <c r="B1227" s="57" t="n">
        <v>49</v>
      </c>
      <c r="C1227" s="57" t="inlineStr">
        <is>
          <t>Date of harvest</t>
        </is>
      </c>
      <c r="D1227" s="57" t="inlineStr"/>
      <c r="E1227" s="57" t="inlineStr">
        <is>
          <t>2026-08-18</t>
        </is>
      </c>
      <c r="F1227" s="57" t="inlineStr">
        <is>
          <t>date_forced:South Farm third harvest; data entered by Nam</t>
        </is>
      </c>
    </row>
    <row r="1228" ht="25" customHeight="1" s="55">
      <c r="A1228" s="57" t="inlineStr">
        <is>
          <t>Second_Lex_Aug18_Nam</t>
        </is>
      </c>
      <c r="B1228" s="57" t="n">
        <v>50</v>
      </c>
      <c r="C1228" s="57" t="inlineStr">
        <is>
          <t>Genotypes</t>
        </is>
      </c>
      <c r="D1228" s="57" t="inlineStr">
        <is>
          <t>UKY-26-044</t>
        </is>
      </c>
      <c r="E1228" s="57" t="inlineStr">
        <is>
          <t>UKYT-26-044</t>
        </is>
      </c>
      <c r="F1228" s="57" t="inlineStr"/>
    </row>
    <row r="1229" ht="25" customHeight="1" s="55">
      <c r="A1229" s="57" t="inlineStr">
        <is>
          <t>Second_Lex_Aug18_Nam</t>
        </is>
      </c>
      <c r="B1229" s="57" t="n">
        <v>50</v>
      </c>
      <c r="C1229" s="57" t="inlineStr">
        <is>
          <t>Location</t>
        </is>
      </c>
      <c r="D1229" s="57" t="inlineStr"/>
      <c r="E1229" s="57" t="inlineStr">
        <is>
          <t>South Farm</t>
        </is>
      </c>
      <c r="F1229" s="57" t="inlineStr">
        <is>
          <t>forced_from_sheet_name</t>
        </is>
      </c>
    </row>
    <row r="1230" ht="25" customHeight="1" s="55">
      <c r="A1230" s="57" t="inlineStr">
        <is>
          <t>Second_Lex_Aug18_Nam</t>
        </is>
      </c>
      <c r="B1230" s="57" t="n">
        <v>50</v>
      </c>
      <c r="C1230" s="57" t="inlineStr">
        <is>
          <t>Harvest</t>
        </is>
      </c>
      <c r="D1230" s="57" t="inlineStr"/>
      <c r="E1230" s="57" t="inlineStr">
        <is>
          <t>Third</t>
        </is>
      </c>
      <c r="F1230" s="57" t="inlineStr">
        <is>
          <t>forced_from_sheet_name</t>
        </is>
      </c>
    </row>
    <row r="1231" ht="25" customHeight="1" s="55">
      <c r="A1231" s="57" t="inlineStr">
        <is>
          <t>Second_Lex_Aug18_Nam</t>
        </is>
      </c>
      <c r="B1231" s="57" t="n">
        <v>50</v>
      </c>
      <c r="C1231" s="57" t="inlineStr">
        <is>
          <t>Date of harvest</t>
        </is>
      </c>
      <c r="D1231" s="57" t="inlineStr"/>
      <c r="E1231" s="57" t="inlineStr">
        <is>
          <t>2026-08-18</t>
        </is>
      </c>
      <c r="F1231" s="57" t="inlineStr">
        <is>
          <t>date_forced:South Farm third harvest; data entered by Nam</t>
        </is>
      </c>
    </row>
    <row r="1232" ht="25" customHeight="1" s="55">
      <c r="A1232" s="57" t="inlineStr">
        <is>
          <t>Second_Lex_Aug18_Nam</t>
        </is>
      </c>
      <c r="B1232" s="57" t="n">
        <v>51</v>
      </c>
      <c r="C1232" s="57" t="inlineStr">
        <is>
          <t>Genotypes</t>
        </is>
      </c>
      <c r="D1232" s="57" t="inlineStr">
        <is>
          <t>UKY-26-034</t>
        </is>
      </c>
      <c r="E1232" s="57" t="inlineStr">
        <is>
          <t>UKYT-26-034</t>
        </is>
      </c>
      <c r="F1232" s="57" t="inlineStr"/>
    </row>
    <row r="1233" ht="25" customHeight="1" s="55">
      <c r="A1233" s="57" t="inlineStr">
        <is>
          <t>Second_Lex_Aug18_Nam</t>
        </is>
      </c>
      <c r="B1233" s="57" t="n">
        <v>51</v>
      </c>
      <c r="C1233" s="57" t="inlineStr">
        <is>
          <t>Location</t>
        </is>
      </c>
      <c r="D1233" s="57" t="inlineStr"/>
      <c r="E1233" s="57" t="inlineStr">
        <is>
          <t>South Farm</t>
        </is>
      </c>
      <c r="F1233" s="57" t="inlineStr">
        <is>
          <t>forced_from_sheet_name</t>
        </is>
      </c>
    </row>
    <row r="1234" ht="25" customHeight="1" s="55">
      <c r="A1234" s="57" t="inlineStr">
        <is>
          <t>Second_Lex_Aug18_Nam</t>
        </is>
      </c>
      <c r="B1234" s="57" t="n">
        <v>51</v>
      </c>
      <c r="C1234" s="57" t="inlineStr">
        <is>
          <t>Harvest</t>
        </is>
      </c>
      <c r="D1234" s="57" t="inlineStr"/>
      <c r="E1234" s="57" t="inlineStr">
        <is>
          <t>Third</t>
        </is>
      </c>
      <c r="F1234" s="57" t="inlineStr">
        <is>
          <t>forced_from_sheet_name</t>
        </is>
      </c>
    </row>
    <row r="1235" ht="25" customHeight="1" s="55">
      <c r="A1235" s="57" t="inlineStr">
        <is>
          <t>Second_Lex_Aug18_Nam</t>
        </is>
      </c>
      <c r="B1235" s="57" t="n">
        <v>51</v>
      </c>
      <c r="C1235" s="57" t="inlineStr">
        <is>
          <t>Date of harvest</t>
        </is>
      </c>
      <c r="D1235" s="57" t="inlineStr"/>
      <c r="E1235" s="57" t="inlineStr">
        <is>
          <t>2026-08-18</t>
        </is>
      </c>
      <c r="F1235" s="57" t="inlineStr">
        <is>
          <t>date_forced:South Farm third harvest; data entered by Nam</t>
        </is>
      </c>
    </row>
    <row r="1236" ht="25" customHeight="1" s="55">
      <c r="A1236" s="57" t="inlineStr">
        <is>
          <t>Second_Lex_Aug18_Nam</t>
        </is>
      </c>
      <c r="B1236" s="57" t="n">
        <v>52</v>
      </c>
      <c r="C1236" s="57" t="inlineStr">
        <is>
          <t>Genotypes</t>
        </is>
      </c>
      <c r="D1236" s="57" t="inlineStr">
        <is>
          <t>UKY-26-036</t>
        </is>
      </c>
      <c r="E1236" s="57" t="inlineStr">
        <is>
          <t>UKYT-26-036</t>
        </is>
      </c>
      <c r="F1236" s="57" t="inlineStr"/>
    </row>
    <row r="1237" ht="25" customHeight="1" s="55">
      <c r="A1237" s="57" t="inlineStr">
        <is>
          <t>Second_Lex_Aug18_Nam</t>
        </is>
      </c>
      <c r="B1237" s="57" t="n">
        <v>52</v>
      </c>
      <c r="C1237" s="57" t="inlineStr">
        <is>
          <t>Location</t>
        </is>
      </c>
      <c r="D1237" s="57" t="inlineStr"/>
      <c r="E1237" s="57" t="inlineStr">
        <is>
          <t>South Farm</t>
        </is>
      </c>
      <c r="F1237" s="57" t="inlineStr">
        <is>
          <t>forced_from_sheet_name</t>
        </is>
      </c>
    </row>
    <row r="1238" ht="25" customHeight="1" s="55">
      <c r="A1238" s="57" t="inlineStr">
        <is>
          <t>Second_Lex_Aug18_Nam</t>
        </is>
      </c>
      <c r="B1238" s="57" t="n">
        <v>52</v>
      </c>
      <c r="C1238" s="57" t="inlineStr">
        <is>
          <t>Harvest</t>
        </is>
      </c>
      <c r="D1238" s="57" t="inlineStr"/>
      <c r="E1238" s="57" t="inlineStr">
        <is>
          <t>Third</t>
        </is>
      </c>
      <c r="F1238" s="57" t="inlineStr">
        <is>
          <t>forced_from_sheet_name</t>
        </is>
      </c>
    </row>
    <row r="1239" ht="25" customHeight="1" s="55">
      <c r="A1239" s="57" t="inlineStr">
        <is>
          <t>Second_Lex_Aug18_Nam</t>
        </is>
      </c>
      <c r="B1239" s="57" t="n">
        <v>52</v>
      </c>
      <c r="C1239" s="57" t="inlineStr">
        <is>
          <t>Date of harvest</t>
        </is>
      </c>
      <c r="D1239" s="57" t="inlineStr"/>
      <c r="E1239" s="57" t="inlineStr">
        <is>
          <t>2026-08-18</t>
        </is>
      </c>
      <c r="F1239" s="57" t="inlineStr">
        <is>
          <t>date_forced:South Farm third harvest; data entered by Nam</t>
        </is>
      </c>
    </row>
    <row r="1240" ht="25" customHeight="1" s="55">
      <c r="A1240" s="57" t="inlineStr">
        <is>
          <t>Second_Lex_Aug18_Nam</t>
        </is>
      </c>
      <c r="B1240" s="57" t="n">
        <v>53</v>
      </c>
      <c r="C1240" s="57" t="inlineStr">
        <is>
          <t>Location</t>
        </is>
      </c>
      <c r="D1240" s="57" t="inlineStr"/>
      <c r="E1240" s="57" t="inlineStr">
        <is>
          <t>South Farm</t>
        </is>
      </c>
      <c r="F1240" s="57" t="inlineStr">
        <is>
          <t>forced_from_sheet_name</t>
        </is>
      </c>
    </row>
    <row r="1241" ht="25" customHeight="1" s="55">
      <c r="A1241" s="57" t="inlineStr">
        <is>
          <t>Second_Lex_Aug18_Nam</t>
        </is>
      </c>
      <c r="B1241" s="57" t="n">
        <v>53</v>
      </c>
      <c r="C1241" s="57" t="inlineStr">
        <is>
          <t>Harvest</t>
        </is>
      </c>
      <c r="D1241" s="57" t="inlineStr"/>
      <c r="E1241" s="57" t="inlineStr">
        <is>
          <t>Third</t>
        </is>
      </c>
      <c r="F1241" s="57" t="inlineStr">
        <is>
          <t>forced_from_sheet_name</t>
        </is>
      </c>
    </row>
    <row r="1242" ht="25" customHeight="1" s="55">
      <c r="A1242" s="57" t="inlineStr">
        <is>
          <t>Second_Lex_Aug18_Nam</t>
        </is>
      </c>
      <c r="B1242" s="57" t="n">
        <v>53</v>
      </c>
      <c r="C1242" s="57" t="inlineStr">
        <is>
          <t>Date of harvest</t>
        </is>
      </c>
      <c r="D1242" s="57" t="inlineStr"/>
      <c r="E1242" s="57" t="inlineStr">
        <is>
          <t>2026-08-18</t>
        </is>
      </c>
      <c r="F1242" s="57" t="inlineStr">
        <is>
          <t>date_forced:South Farm third harvest; data entered by Nam</t>
        </is>
      </c>
    </row>
    <row r="1243" ht="25" customHeight="1" s="55">
      <c r="A1243" s="57" t="inlineStr">
        <is>
          <t>Second_Lex_Aug18_Nam</t>
        </is>
      </c>
      <c r="B1243" s="57" t="n">
        <v>54</v>
      </c>
      <c r="C1243" s="57" t="inlineStr">
        <is>
          <t>Genotypes</t>
        </is>
      </c>
      <c r="D1243" s="57" t="inlineStr">
        <is>
          <t>UKY-26-037</t>
        </is>
      </c>
      <c r="E1243" s="57" t="inlineStr">
        <is>
          <t>UKYT-26-037</t>
        </is>
      </c>
      <c r="F1243" s="57" t="inlineStr"/>
    </row>
    <row r="1244" ht="25" customHeight="1" s="55">
      <c r="A1244" s="57" t="inlineStr">
        <is>
          <t>Second_Lex_Aug18_Nam</t>
        </is>
      </c>
      <c r="B1244" s="57" t="n">
        <v>54</v>
      </c>
      <c r="C1244" s="57" t="inlineStr">
        <is>
          <t>Location</t>
        </is>
      </c>
      <c r="D1244" s="57" t="inlineStr"/>
      <c r="E1244" s="57" t="inlineStr">
        <is>
          <t>South Farm</t>
        </is>
      </c>
      <c r="F1244" s="57" t="inlineStr">
        <is>
          <t>forced_from_sheet_name</t>
        </is>
      </c>
    </row>
    <row r="1245" ht="25" customHeight="1" s="55">
      <c r="A1245" s="57" t="inlineStr">
        <is>
          <t>Second_Lex_Aug18_Nam</t>
        </is>
      </c>
      <c r="B1245" s="57" t="n">
        <v>54</v>
      </c>
      <c r="C1245" s="57" t="inlineStr">
        <is>
          <t>Harvest</t>
        </is>
      </c>
      <c r="D1245" s="57" t="inlineStr"/>
      <c r="E1245" s="57" t="inlineStr">
        <is>
          <t>Third</t>
        </is>
      </c>
      <c r="F1245" s="57" t="inlineStr">
        <is>
          <t>forced_from_sheet_name</t>
        </is>
      </c>
    </row>
    <row r="1246" ht="25" customHeight="1" s="55">
      <c r="A1246" s="57" t="inlineStr">
        <is>
          <t>Second_Lex_Aug18_Nam</t>
        </is>
      </c>
      <c r="B1246" s="57" t="n">
        <v>54</v>
      </c>
      <c r="C1246" s="57" t="inlineStr">
        <is>
          <t>Date of harvest</t>
        </is>
      </c>
      <c r="D1246" s="57" t="inlineStr"/>
      <c r="E1246" s="57" t="inlineStr">
        <is>
          <t>2026-08-18</t>
        </is>
      </c>
      <c r="F1246" s="57" t="inlineStr">
        <is>
          <t>date_forced:South Farm third harvest; data entered by Nam</t>
        </is>
      </c>
    </row>
    <row r="1247" ht="25" customHeight="1" s="55">
      <c r="A1247" s="57" t="inlineStr">
        <is>
          <t>Second_Lex_Aug18_Nam</t>
        </is>
      </c>
      <c r="B1247" s="57" t="n">
        <v>55</v>
      </c>
      <c r="C1247" s="57" t="inlineStr">
        <is>
          <t>Location</t>
        </is>
      </c>
      <c r="D1247" s="57" t="inlineStr"/>
      <c r="E1247" s="57" t="inlineStr">
        <is>
          <t>South Farm</t>
        </is>
      </c>
      <c r="F1247" s="57" t="inlineStr">
        <is>
          <t>forced_from_sheet_name</t>
        </is>
      </c>
    </row>
    <row r="1248" ht="25" customHeight="1" s="55">
      <c r="A1248" s="57" t="inlineStr">
        <is>
          <t>Second_Lex_Aug18_Nam</t>
        </is>
      </c>
      <c r="B1248" s="57" t="n">
        <v>55</v>
      </c>
      <c r="C1248" s="57" t="inlineStr">
        <is>
          <t>Harvest</t>
        </is>
      </c>
      <c r="D1248" s="57" t="inlineStr"/>
      <c r="E1248" s="57" t="inlineStr">
        <is>
          <t>Third</t>
        </is>
      </c>
      <c r="F1248" s="57" t="inlineStr">
        <is>
          <t>forced_from_sheet_name</t>
        </is>
      </c>
    </row>
    <row r="1249" ht="25" customHeight="1" s="55">
      <c r="A1249" s="57" t="inlineStr">
        <is>
          <t>Second_Lex_Aug18_Nam</t>
        </is>
      </c>
      <c r="B1249" s="57" t="n">
        <v>56</v>
      </c>
      <c r="C1249" s="57" t="inlineStr">
        <is>
          <t>Location</t>
        </is>
      </c>
      <c r="D1249" s="57" t="inlineStr"/>
      <c r="E1249" s="57" t="inlineStr">
        <is>
          <t>South Farm</t>
        </is>
      </c>
      <c r="F1249" s="57" t="inlineStr">
        <is>
          <t>forced_from_sheet_name</t>
        </is>
      </c>
    </row>
    <row r="1250" ht="25" customHeight="1" s="55">
      <c r="A1250" s="57" t="inlineStr">
        <is>
          <t>Second_Lex_Aug18_Nam</t>
        </is>
      </c>
      <c r="B1250" s="57" t="n">
        <v>56</v>
      </c>
      <c r="C1250" s="57" t="inlineStr">
        <is>
          <t>Harvest</t>
        </is>
      </c>
      <c r="D1250" s="57" t="inlineStr"/>
      <c r="E1250" s="57" t="inlineStr">
        <is>
          <t>Third</t>
        </is>
      </c>
      <c r="F1250" s="57" t="inlineStr">
        <is>
          <t>forced_from_sheet_name</t>
        </is>
      </c>
    </row>
    <row r="1251" ht="25" customHeight="1" s="55">
      <c r="A1251" s="57" t="inlineStr">
        <is>
          <t>Second_Lex_Aug18_Nam</t>
        </is>
      </c>
      <c r="B1251" s="57" t="n">
        <v>1</v>
      </c>
      <c r="C1251" s="57" t="inlineStr">
        <is>
          <t>column_removed</t>
        </is>
      </c>
      <c r="D1251" s="57" t="inlineStr">
        <is>
          <t>Total Weight (KG)</t>
        </is>
      </c>
      <c r="E1251" s="57" t="inlineStr"/>
      <c r="F1251" s="57" t="inlineStr">
        <is>
          <t>empty_or_duplicate</t>
        </is>
      </c>
    </row>
    <row r="1252" ht="25" customHeight="1" s="55">
      <c r="A1252" s="57" t="inlineStr">
        <is>
          <t>Second_Lex_Aug18_Nam</t>
        </is>
      </c>
      <c r="B1252" s="57" t="n">
        <v>1</v>
      </c>
      <c r="C1252" s="57" t="inlineStr">
        <is>
          <t>column_removed</t>
        </is>
      </c>
      <c r="D1252" s="57" t="inlineStr">
        <is>
          <t>WEIGHT(20 SAMPLES UM)</t>
        </is>
      </c>
      <c r="E1252" s="57" t="inlineStr"/>
      <c r="F1252" s="57" t="inlineStr">
        <is>
          <t>empty_or_duplicate</t>
        </is>
      </c>
    </row>
    <row r="1253" ht="25" customHeight="1" s="55">
      <c r="A1253" s="57" t="inlineStr">
        <is>
          <t>Second_Lex_Aug18_Nam</t>
        </is>
      </c>
      <c r="B1253" s="57" t="n">
        <v>1</v>
      </c>
      <c r="C1253" s="57" t="inlineStr">
        <is>
          <t>column_removed</t>
        </is>
      </c>
      <c r="D1253" s="57" t="inlineStr">
        <is>
          <t xml:space="preserve">WEIGHT(20 SAMPLES M) </t>
        </is>
      </c>
      <c r="E1253" s="57" t="inlineStr"/>
      <c r="F1253" s="57" t="inlineStr">
        <is>
          <t>empty_or_duplicate</t>
        </is>
      </c>
    </row>
    <row r="1254" ht="25" customHeight="1" s="55">
      <c r="A1254" s="57" t="inlineStr">
        <is>
          <t>Second_Lex_Aug18_Nam</t>
        </is>
      </c>
      <c r="B1254" s="57" t="n">
        <v>1</v>
      </c>
      <c r="C1254" s="57" t="inlineStr">
        <is>
          <t>column_removed</t>
        </is>
      </c>
      <c r="D1254" s="57" t="inlineStr">
        <is>
          <t>Unmarketables (count)</t>
        </is>
      </c>
      <c r="E1254" s="57" t="inlineStr"/>
      <c r="F1254" s="57" t="inlineStr">
        <is>
          <t>empty_or_duplicate</t>
        </is>
      </c>
    </row>
    <row r="1255" ht="25" customHeight="1" s="55">
      <c r="A1255" s="57" t="inlineStr">
        <is>
          <t>Second_Lex_Aug18_Nam</t>
        </is>
      </c>
      <c r="B1255" s="57" t="n">
        <v>1</v>
      </c>
      <c r="C1255" s="57" t="inlineStr">
        <is>
          <t>column_removed</t>
        </is>
      </c>
      <c r="D1255" s="57" t="inlineStr">
        <is>
          <t>Unmarketables (weight)</t>
        </is>
      </c>
      <c r="E1255" s="57" t="inlineStr"/>
      <c r="F1255" s="57" t="inlineStr">
        <is>
          <t>empty_or_duplicate</t>
        </is>
      </c>
    </row>
    <row r="1256" ht="25" customHeight="1" s="55">
      <c r="A1256" s="57" t="inlineStr">
        <is>
          <t>Second_Lex_Aug18_Nam</t>
        </is>
      </c>
      <c r="B1256" s="57" t="n">
        <v>1</v>
      </c>
      <c r="C1256" s="57" t="inlineStr">
        <is>
          <t>column_removed</t>
        </is>
      </c>
      <c r="D1256" s="57" t="inlineStr">
        <is>
          <t xml:space="preserve">Grade 1 Marketable (counts) </t>
        </is>
      </c>
      <c r="E1256" s="57" t="inlineStr"/>
      <c r="F1256" s="57" t="inlineStr">
        <is>
          <t>empty_or_duplicate</t>
        </is>
      </c>
    </row>
    <row r="1257" ht="25" customHeight="1" s="55">
      <c r="A1257" s="57" t="inlineStr">
        <is>
          <t>Second_Lex_Aug18_Nam</t>
        </is>
      </c>
      <c r="B1257" s="57" t="n">
        <v>1</v>
      </c>
      <c r="C1257" s="57" t="inlineStr">
        <is>
          <t>column_removed</t>
        </is>
      </c>
      <c r="D1257" s="57" t="inlineStr">
        <is>
          <t>Grade 1 Marketable (weight)</t>
        </is>
      </c>
      <c r="E1257" s="57" t="inlineStr"/>
      <c r="F1257" s="57" t="inlineStr">
        <is>
          <t>empty_or_duplicate</t>
        </is>
      </c>
    </row>
    <row r="1258" ht="25" customHeight="1" s="55">
      <c r="A1258" s="57" t="inlineStr">
        <is>
          <t>Second_Lex_Aug18_Nam</t>
        </is>
      </c>
      <c r="B1258" s="57" t="n">
        <v>1</v>
      </c>
      <c r="C1258" s="57" t="inlineStr">
        <is>
          <t>column_removed</t>
        </is>
      </c>
      <c r="D1258" s="57" t="inlineStr">
        <is>
          <t>SN</t>
        </is>
      </c>
      <c r="E1258" s="57" t="inlineStr"/>
      <c r="F1258" s="57" t="inlineStr">
        <is>
          <t>empty_or_duplicate</t>
        </is>
      </c>
    </row>
    <row r="1259" ht="25" customHeight="1" s="55">
      <c r="A1259" s="57" t="inlineStr">
        <is>
          <t>Second_Lex_Aug18_Nam</t>
        </is>
      </c>
      <c r="B1259" s="57" t="n">
        <v>56</v>
      </c>
      <c r="C1259" s="57" t="inlineStr">
        <is>
          <t>row_removed</t>
        </is>
      </c>
      <c r="D1259" s="57" t="inlineStr"/>
      <c r="E1259" s="57" t="inlineStr"/>
      <c r="F1259" s="57" t="inlineStr">
        <is>
          <t>empty_plot_slot</t>
        </is>
      </c>
    </row>
    <row r="1260" ht="25" customHeight="1" s="55">
      <c r="A1260" s="57" t="inlineStr">
        <is>
          <t>Second_Lex_Aug18_Nam</t>
        </is>
      </c>
      <c r="B1260" s="57" t="n">
        <v>55</v>
      </c>
      <c r="C1260" s="57" t="inlineStr">
        <is>
          <t>row_removed</t>
        </is>
      </c>
      <c r="D1260" s="57" t="inlineStr"/>
      <c r="E1260" s="57" t="inlineStr"/>
      <c r="F1260" s="57" t="inlineStr">
        <is>
          <t>empty_plot_slot</t>
        </is>
      </c>
    </row>
    <row r="1261" ht="25" customHeight="1" s="55">
      <c r="A1261" s="57" t="inlineStr">
        <is>
          <t>Second_Lex_Aug18_Nam</t>
        </is>
      </c>
      <c r="B1261" s="57" t="n">
        <v>1</v>
      </c>
      <c r="C1261" s="57" t="inlineStr">
        <is>
          <t>header</t>
        </is>
      </c>
      <c r="D1261" s="57" t="inlineStr">
        <is>
          <t>TOTAL WEIGHT (Gram)</t>
        </is>
      </c>
      <c r="E1261" s="57" t="inlineStr">
        <is>
          <t>Total Weight (g)</t>
        </is>
      </c>
      <c r="F1261" s="57" t="inlineStr">
        <is>
          <t>standardized</t>
        </is>
      </c>
    </row>
    <row r="1262" ht="25" customHeight="1" s="55">
      <c r="A1262" s="57" t="inlineStr">
        <is>
          <t>Second_Lex_Aug18_Nam</t>
        </is>
      </c>
      <c r="B1262" s="57" t="n">
        <v>1</v>
      </c>
      <c r="C1262" s="57" t="inlineStr">
        <is>
          <t>header</t>
        </is>
      </c>
      <c r="D1262" s="57" t="inlineStr">
        <is>
          <t>Weight of 20 counts</t>
        </is>
      </c>
      <c r="E1262" s="57" t="inlineStr">
        <is>
          <t>Weight of 20 fruit (g)</t>
        </is>
      </c>
      <c r="F1262" s="57" t="inlineStr">
        <is>
          <t>standardized</t>
        </is>
      </c>
    </row>
    <row r="1263" ht="25" customHeight="1" s="55">
      <c r="A1263" s="57" t="inlineStr">
        <is>
          <t>Second_Lex_Aug18_Ella</t>
        </is>
      </c>
      <c r="B1263" s="57" t="n">
        <v>2</v>
      </c>
      <c r="C1263" s="57" t="inlineStr">
        <is>
          <t>Total Weight</t>
        </is>
      </c>
      <c r="D1263" s="57" t="inlineStr">
        <is>
          <t>1.02</t>
        </is>
      </c>
      <c r="E1263" s="57" t="inlineStr">
        <is>
          <t>462.7</t>
        </is>
      </c>
      <c r="F1263" s="57" t="inlineStr">
        <is>
          <t>lbs_to_g</t>
        </is>
      </c>
    </row>
    <row r="1264" ht="25" customHeight="1" s="55">
      <c r="A1264" s="57" t="inlineStr">
        <is>
          <t>Second_Lex_Aug18_Ella</t>
        </is>
      </c>
      <c r="B1264" s="57" t="n">
        <v>3</v>
      </c>
      <c r="C1264" s="57" t="inlineStr">
        <is>
          <t>Total Weight</t>
        </is>
      </c>
      <c r="D1264" s="57" t="inlineStr">
        <is>
          <t>4.1</t>
        </is>
      </c>
      <c r="E1264" s="57" t="inlineStr">
        <is>
          <t>1859.7</t>
        </is>
      </c>
      <c r="F1264" s="57" t="inlineStr">
        <is>
          <t>lbs_to_g</t>
        </is>
      </c>
    </row>
    <row r="1265" ht="25" customHeight="1" s="55">
      <c r="A1265" s="57" t="inlineStr">
        <is>
          <t>Second_Lex_Aug18_Ella</t>
        </is>
      </c>
      <c r="B1265" s="57" t="n">
        <v>3</v>
      </c>
      <c r="C1265" s="57" t="inlineStr">
        <is>
          <t>Weight of 20</t>
        </is>
      </c>
      <c r="D1265" s="57" t="inlineStr">
        <is>
          <t>0.39</t>
        </is>
      </c>
      <c r="E1265" s="57" t="inlineStr">
        <is>
          <t>176.9</t>
        </is>
      </c>
      <c r="F1265" s="57" t="inlineStr">
        <is>
          <t>lbs_to_g</t>
        </is>
      </c>
    </row>
    <row r="1266" ht="25" customHeight="1" s="55">
      <c r="A1266" s="57" t="inlineStr">
        <is>
          <t>Second_Lex_Aug18_Ella</t>
        </is>
      </c>
      <c r="B1266" s="57" t="n">
        <v>4</v>
      </c>
      <c r="C1266" s="57" t="inlineStr">
        <is>
          <t>Total Weight</t>
        </is>
      </c>
      <c r="D1266" s="57" t="inlineStr">
        <is>
          <t>9.59</t>
        </is>
      </c>
      <c r="E1266" s="57" t="inlineStr">
        <is>
          <t>4350.0</t>
        </is>
      </c>
      <c r="F1266" s="57" t="inlineStr">
        <is>
          <t>lbs_to_g</t>
        </is>
      </c>
    </row>
    <row r="1267" ht="25" customHeight="1" s="55">
      <c r="A1267" s="57" t="inlineStr">
        <is>
          <t>Second_Lex_Aug18_Ella</t>
        </is>
      </c>
      <c r="B1267" s="57" t="n">
        <v>4</v>
      </c>
      <c r="C1267" s="57" t="inlineStr">
        <is>
          <t>Weight of 20</t>
        </is>
      </c>
      <c r="D1267" s="57" t="inlineStr">
        <is>
          <t>6.92</t>
        </is>
      </c>
      <c r="E1267" s="57" t="inlineStr">
        <is>
          <t>3138.9</t>
        </is>
      </c>
      <c r="F1267" s="57" t="inlineStr">
        <is>
          <t>lbs_to_g</t>
        </is>
      </c>
    </row>
    <row r="1268" ht="25" customHeight="1" s="55">
      <c r="A1268" s="57" t="inlineStr">
        <is>
          <t>Second_Lex_Aug18_Ella</t>
        </is>
      </c>
      <c r="B1268" s="57" t="n">
        <v>5</v>
      </c>
      <c r="C1268" s="57" t="inlineStr">
        <is>
          <t>Total Weight</t>
        </is>
      </c>
      <c r="D1268" s="57" t="inlineStr">
        <is>
          <t>13.18</t>
        </is>
      </c>
      <c r="E1268" s="57" t="inlineStr">
        <is>
          <t>5978.3</t>
        </is>
      </c>
      <c r="F1268" s="57" t="inlineStr">
        <is>
          <t>lbs_to_g</t>
        </is>
      </c>
    </row>
    <row r="1269" ht="25" customHeight="1" s="55">
      <c r="A1269" s="57" t="inlineStr">
        <is>
          <t>Second_Lex_Aug18_Ella</t>
        </is>
      </c>
      <c r="B1269" s="57" t="n">
        <v>5</v>
      </c>
      <c r="C1269" s="57" t="inlineStr">
        <is>
          <t>Weight of 20</t>
        </is>
      </c>
      <c r="D1269" s="57" t="inlineStr">
        <is>
          <t>10.58</t>
        </is>
      </c>
      <c r="E1269" s="57" t="inlineStr">
        <is>
          <t>4799.0</t>
        </is>
      </c>
      <c r="F1269" s="57" t="inlineStr">
        <is>
          <t>lbs_to_g</t>
        </is>
      </c>
    </row>
    <row r="1270" ht="25" customHeight="1" s="55">
      <c r="A1270" s="57" t="inlineStr">
        <is>
          <t>Second_Lex_Aug18_Ella</t>
        </is>
      </c>
      <c r="B1270" s="57" t="n">
        <v>6</v>
      </c>
      <c r="C1270" s="57" t="inlineStr">
        <is>
          <t>Total Weight</t>
        </is>
      </c>
      <c r="D1270" s="57" t="inlineStr">
        <is>
          <t>4.96</t>
        </is>
      </c>
      <c r="E1270" s="57" t="inlineStr">
        <is>
          <t>2249.8</t>
        </is>
      </c>
      <c r="F1270" s="57" t="inlineStr">
        <is>
          <t>lbs_to_g</t>
        </is>
      </c>
    </row>
    <row r="1271" ht="25" customHeight="1" s="55">
      <c r="A1271" s="57" t="inlineStr">
        <is>
          <t>Second_Lex_Aug18_Ella</t>
        </is>
      </c>
      <c r="B1271" s="57" t="n">
        <v>7</v>
      </c>
      <c r="C1271" s="57" t="inlineStr">
        <is>
          <t>Total Weight</t>
        </is>
      </c>
      <c r="D1271" s="57" t="inlineStr">
        <is>
          <t>18.2</t>
        </is>
      </c>
      <c r="E1271" s="57" t="inlineStr">
        <is>
          <t>8255.4</t>
        </is>
      </c>
      <c r="F1271" s="57" t="inlineStr">
        <is>
          <t>lbs_to_g</t>
        </is>
      </c>
    </row>
    <row r="1272" ht="25" customHeight="1" s="55">
      <c r="A1272" s="57" t="inlineStr">
        <is>
          <t>Second_Lex_Aug18_Ella</t>
        </is>
      </c>
      <c r="B1272" s="57" t="n">
        <v>7</v>
      </c>
      <c r="C1272" s="57" t="inlineStr">
        <is>
          <t>Weight of 20</t>
        </is>
      </c>
      <c r="D1272" s="57" t="inlineStr">
        <is>
          <t>4.71</t>
        </is>
      </c>
      <c r="E1272" s="57" t="inlineStr">
        <is>
          <t>2136.4</t>
        </is>
      </c>
      <c r="F1272" s="57" t="inlineStr">
        <is>
          <t>lbs_to_g</t>
        </is>
      </c>
    </row>
    <row r="1273" ht="25" customHeight="1" s="55">
      <c r="A1273" s="57" t="inlineStr">
        <is>
          <t>Second_Lex_Aug18_Ella</t>
        </is>
      </c>
      <c r="B1273" s="57" t="n">
        <v>8</v>
      </c>
      <c r="C1273" s="57" t="inlineStr">
        <is>
          <t>Total Weight</t>
        </is>
      </c>
      <c r="D1273" s="57" t="inlineStr">
        <is>
          <t>2.97</t>
        </is>
      </c>
      <c r="E1273" s="57" t="inlineStr">
        <is>
          <t>1347.2</t>
        </is>
      </c>
      <c r="F1273" s="57" t="inlineStr">
        <is>
          <t>lbs_to_g</t>
        </is>
      </c>
    </row>
    <row r="1274" ht="25" customHeight="1" s="55">
      <c r="A1274" s="57" t="inlineStr">
        <is>
          <t>Second_Lex_Aug18_Ella</t>
        </is>
      </c>
      <c r="B1274" s="57" t="n">
        <v>9</v>
      </c>
      <c r="C1274" s="57" t="inlineStr">
        <is>
          <t>Total Weight</t>
        </is>
      </c>
      <c r="D1274" s="57" t="inlineStr">
        <is>
          <t>8.7</t>
        </is>
      </c>
      <c r="E1274" s="57" t="inlineStr">
        <is>
          <t>3946.3</t>
        </is>
      </c>
      <c r="F1274" s="57" t="inlineStr">
        <is>
          <t>lbs_to_g</t>
        </is>
      </c>
    </row>
    <row r="1275" ht="25" customHeight="1" s="55">
      <c r="A1275" s="57" t="inlineStr">
        <is>
          <t>Second_Lex_Aug18_Ella</t>
        </is>
      </c>
      <c r="B1275" s="57" t="n">
        <v>9</v>
      </c>
      <c r="C1275" s="57" t="inlineStr">
        <is>
          <t>Weight of 20</t>
        </is>
      </c>
      <c r="D1275" s="57" t="inlineStr">
        <is>
          <t>6.7</t>
        </is>
      </c>
      <c r="E1275" s="57" t="inlineStr">
        <is>
          <t>3039.1</t>
        </is>
      </c>
      <c r="F1275" s="57" t="inlineStr">
        <is>
          <t>lbs_to_g</t>
        </is>
      </c>
    </row>
    <row r="1276" ht="25" customHeight="1" s="55">
      <c r="A1276" s="57" t="inlineStr">
        <is>
          <t>Second_Lex_Aug18_Ella</t>
        </is>
      </c>
      <c r="B1276" s="57" t="n">
        <v>2</v>
      </c>
      <c r="C1276" s="57" t="inlineStr">
        <is>
          <t>Genotypes</t>
        </is>
      </c>
      <c r="D1276" s="57" t="inlineStr">
        <is>
          <t>26-41</t>
        </is>
      </c>
      <c r="E1276" s="57" t="inlineStr">
        <is>
          <t>UKYT-26-041</t>
        </is>
      </c>
      <c r="F1276" s="57" t="inlineStr"/>
    </row>
    <row r="1277" ht="25" customHeight="1" s="55">
      <c r="A1277" s="57" t="inlineStr">
        <is>
          <t>Second_Lex_Aug18_Ella</t>
        </is>
      </c>
      <c r="B1277" s="57" t="n">
        <v>2</v>
      </c>
      <c r="C1277" s="57" t="inlineStr">
        <is>
          <t>Location</t>
        </is>
      </c>
      <c r="D1277" s="57" t="inlineStr"/>
      <c r="E1277" s="57" t="inlineStr">
        <is>
          <t>South Farm</t>
        </is>
      </c>
      <c r="F1277" s="57" t="inlineStr">
        <is>
          <t>forced_from_sheet_name</t>
        </is>
      </c>
    </row>
    <row r="1278" ht="25" customHeight="1" s="55">
      <c r="A1278" s="57" t="inlineStr">
        <is>
          <t>Second_Lex_Aug18_Ella</t>
        </is>
      </c>
      <c r="B1278" s="57" t="n">
        <v>2</v>
      </c>
      <c r="C1278" s="57" t="inlineStr">
        <is>
          <t>Harvest</t>
        </is>
      </c>
      <c r="D1278" s="57" t="inlineStr"/>
      <c r="E1278" s="57" t="inlineStr">
        <is>
          <t>Third</t>
        </is>
      </c>
      <c r="F1278" s="57" t="inlineStr">
        <is>
          <t>forced_from_sheet_name</t>
        </is>
      </c>
    </row>
    <row r="1279" ht="25" customHeight="1" s="55">
      <c r="A1279" s="57" t="inlineStr">
        <is>
          <t>Second_Lex_Aug18_Ella</t>
        </is>
      </c>
      <c r="B1279" s="57" t="n">
        <v>2</v>
      </c>
      <c r="C1279" s="57" t="inlineStr">
        <is>
          <t>Date of harvest</t>
        </is>
      </c>
      <c r="D1279" s="57" t="inlineStr"/>
      <c r="E1279" s="57" t="inlineStr">
        <is>
          <t>2026-08-18</t>
        </is>
      </c>
      <c r="F1279" s="57" t="inlineStr">
        <is>
          <t>date_forced:South Farm third harvest; data entered by Ella (same day as Nam sheet)</t>
        </is>
      </c>
    </row>
    <row r="1280" ht="25" customHeight="1" s="55">
      <c r="A1280" s="57" t="inlineStr">
        <is>
          <t>Second_Lex_Aug18_Ella</t>
        </is>
      </c>
      <c r="B1280" s="57" t="n">
        <v>3</v>
      </c>
      <c r="C1280" s="57" t="inlineStr">
        <is>
          <t>Genotypes</t>
        </is>
      </c>
      <c r="D1280" s="57" t="inlineStr">
        <is>
          <t>Peacevine cherry</t>
        </is>
      </c>
      <c r="E1280" s="57" t="inlineStr">
        <is>
          <t>Peace Vine</t>
        </is>
      </c>
      <c r="F1280" s="57" t="inlineStr"/>
    </row>
    <row r="1281" ht="25" customHeight="1" s="55">
      <c r="A1281" s="57" t="inlineStr">
        <is>
          <t>Second_Lex_Aug18_Ella</t>
        </is>
      </c>
      <c r="B1281" s="57" t="n">
        <v>3</v>
      </c>
      <c r="C1281" s="57" t="inlineStr">
        <is>
          <t>Location</t>
        </is>
      </c>
      <c r="D1281" s="57" t="inlineStr"/>
      <c r="E1281" s="57" t="inlineStr">
        <is>
          <t>South Farm</t>
        </is>
      </c>
      <c r="F1281" s="57" t="inlineStr">
        <is>
          <t>forced_from_sheet_name</t>
        </is>
      </c>
    </row>
    <row r="1282" ht="25" customHeight="1" s="55">
      <c r="A1282" s="57" t="inlineStr">
        <is>
          <t>Second_Lex_Aug18_Ella</t>
        </is>
      </c>
      <c r="B1282" s="57" t="n">
        <v>3</v>
      </c>
      <c r="C1282" s="57" t="inlineStr">
        <is>
          <t>Harvest</t>
        </is>
      </c>
      <c r="D1282" s="57" t="inlineStr"/>
      <c r="E1282" s="57" t="inlineStr">
        <is>
          <t>Third</t>
        </is>
      </c>
      <c r="F1282" s="57" t="inlineStr">
        <is>
          <t>forced_from_sheet_name</t>
        </is>
      </c>
    </row>
    <row r="1283" ht="25" customHeight="1" s="55">
      <c r="A1283" s="57" t="inlineStr">
        <is>
          <t>Second_Lex_Aug18_Ella</t>
        </is>
      </c>
      <c r="B1283" s="57" t="n">
        <v>3</v>
      </c>
      <c r="C1283" s="57" t="inlineStr">
        <is>
          <t>Date of harvest</t>
        </is>
      </c>
      <c r="D1283" s="57" t="inlineStr"/>
      <c r="E1283" s="57" t="inlineStr">
        <is>
          <t>2026-08-18</t>
        </is>
      </c>
      <c r="F1283" s="57" t="inlineStr">
        <is>
          <t>date_forced:South Farm third harvest; data entered by Ella (same day as Nam sheet)</t>
        </is>
      </c>
    </row>
    <row r="1284" ht="25" customHeight="1" s="55">
      <c r="A1284" s="57" t="inlineStr">
        <is>
          <t>Second_Lex_Aug18_Ella</t>
        </is>
      </c>
      <c r="B1284" s="57" t="n">
        <v>4</v>
      </c>
      <c r="C1284" s="57" t="inlineStr">
        <is>
          <t>Genotypes</t>
        </is>
      </c>
      <c r="D1284" s="57" t="inlineStr">
        <is>
          <t>2633</t>
        </is>
      </c>
      <c r="E1284" s="57" t="inlineStr">
        <is>
          <t>UKYT-26-033</t>
        </is>
      </c>
      <c r="F1284" s="57" t="inlineStr"/>
    </row>
    <row r="1285" ht="25" customHeight="1" s="55">
      <c r="A1285" s="57" t="inlineStr">
        <is>
          <t>Second_Lex_Aug18_Ella</t>
        </is>
      </c>
      <c r="B1285" s="57" t="n">
        <v>4</v>
      </c>
      <c r="C1285" s="57" t="inlineStr">
        <is>
          <t>Location</t>
        </is>
      </c>
      <c r="D1285" s="57" t="inlineStr"/>
      <c r="E1285" s="57" t="inlineStr">
        <is>
          <t>South Farm</t>
        </is>
      </c>
      <c r="F1285" s="57" t="inlineStr">
        <is>
          <t>forced_from_sheet_name</t>
        </is>
      </c>
    </row>
    <row r="1286" ht="25" customHeight="1" s="55">
      <c r="A1286" s="57" t="inlineStr">
        <is>
          <t>Second_Lex_Aug18_Ella</t>
        </is>
      </c>
      <c r="B1286" s="57" t="n">
        <v>4</v>
      </c>
      <c r="C1286" s="57" t="inlineStr">
        <is>
          <t>Harvest</t>
        </is>
      </c>
      <c r="D1286" s="57" t="inlineStr"/>
      <c r="E1286" s="57" t="inlineStr">
        <is>
          <t>Third</t>
        </is>
      </c>
      <c r="F1286" s="57" t="inlineStr">
        <is>
          <t>forced_from_sheet_name</t>
        </is>
      </c>
    </row>
    <row r="1287" ht="25" customHeight="1" s="55">
      <c r="A1287" s="57" t="inlineStr">
        <is>
          <t>Second_Lex_Aug18_Ella</t>
        </is>
      </c>
      <c r="B1287" s="57" t="n">
        <v>4</v>
      </c>
      <c r="C1287" s="57" t="inlineStr">
        <is>
          <t>Date of harvest</t>
        </is>
      </c>
      <c r="D1287" s="57" t="inlineStr"/>
      <c r="E1287" s="57" t="inlineStr">
        <is>
          <t>2026-08-18</t>
        </is>
      </c>
      <c r="F1287" s="57" t="inlineStr">
        <is>
          <t>date_forced:South Farm third harvest; data entered by Ella (same day as Nam sheet)</t>
        </is>
      </c>
    </row>
    <row r="1288" ht="25" customHeight="1" s="55">
      <c r="A1288" s="57" t="inlineStr">
        <is>
          <t>Second_Lex_Aug18_Ella</t>
        </is>
      </c>
      <c r="B1288" s="57" t="n">
        <v>5</v>
      </c>
      <c r="C1288" s="57" t="inlineStr">
        <is>
          <t>Genotypes</t>
        </is>
      </c>
      <c r="D1288" s="57" t="inlineStr">
        <is>
          <t>26-32</t>
        </is>
      </c>
      <c r="E1288" s="57" t="inlineStr">
        <is>
          <t>UKYT-26-032</t>
        </is>
      </c>
      <c r="F1288" s="57" t="inlineStr"/>
    </row>
    <row r="1289" ht="25" customHeight="1" s="55">
      <c r="A1289" s="57" t="inlineStr">
        <is>
          <t>Second_Lex_Aug18_Ella</t>
        </is>
      </c>
      <c r="B1289" s="57" t="n">
        <v>5</v>
      </c>
      <c r="C1289" s="57" t="inlineStr">
        <is>
          <t>Location</t>
        </is>
      </c>
      <c r="D1289" s="57" t="inlineStr"/>
      <c r="E1289" s="57" t="inlineStr">
        <is>
          <t>South Farm</t>
        </is>
      </c>
      <c r="F1289" s="57" t="inlineStr">
        <is>
          <t>forced_from_sheet_name</t>
        </is>
      </c>
    </row>
    <row r="1290" ht="25" customHeight="1" s="55">
      <c r="A1290" s="57" t="inlineStr">
        <is>
          <t>Second_Lex_Aug18_Ella</t>
        </is>
      </c>
      <c r="B1290" s="57" t="n">
        <v>5</v>
      </c>
      <c r="C1290" s="57" t="inlineStr">
        <is>
          <t>Harvest</t>
        </is>
      </c>
      <c r="D1290" s="57" t="inlineStr"/>
      <c r="E1290" s="57" t="inlineStr">
        <is>
          <t>Third</t>
        </is>
      </c>
      <c r="F1290" s="57" t="inlineStr">
        <is>
          <t>forced_from_sheet_name</t>
        </is>
      </c>
    </row>
    <row r="1291" ht="25" customHeight="1" s="55">
      <c r="A1291" s="57" t="inlineStr">
        <is>
          <t>Second_Lex_Aug18_Ella</t>
        </is>
      </c>
      <c r="B1291" s="57" t="n">
        <v>5</v>
      </c>
      <c r="C1291" s="57" t="inlineStr">
        <is>
          <t>Date of harvest</t>
        </is>
      </c>
      <c r="D1291" s="57" t="inlineStr"/>
      <c r="E1291" s="57" t="inlineStr">
        <is>
          <t>2026-08-18</t>
        </is>
      </c>
      <c r="F1291" s="57" t="inlineStr">
        <is>
          <t>date_forced:South Farm third harvest; data entered by Ella (same day as Nam sheet)</t>
        </is>
      </c>
    </row>
    <row r="1292" ht="25" customHeight="1" s="55">
      <c r="A1292" s="57" t="inlineStr">
        <is>
          <t>Second_Lex_Aug18_Ella</t>
        </is>
      </c>
      <c r="B1292" s="57" t="n">
        <v>6</v>
      </c>
      <c r="C1292" s="57" t="inlineStr">
        <is>
          <t>Genotypes</t>
        </is>
      </c>
      <c r="D1292" s="57" t="inlineStr">
        <is>
          <t>26-38</t>
        </is>
      </c>
      <c r="E1292" s="57" t="inlineStr">
        <is>
          <t>UKYT-26-038</t>
        </is>
      </c>
      <c r="F1292" s="57" t="inlineStr"/>
    </row>
    <row r="1293" ht="25" customHeight="1" s="55">
      <c r="A1293" s="57" t="inlineStr">
        <is>
          <t>Second_Lex_Aug18_Ella</t>
        </is>
      </c>
      <c r="B1293" s="57" t="n">
        <v>6</v>
      </c>
      <c r="C1293" s="57" t="inlineStr">
        <is>
          <t>Location</t>
        </is>
      </c>
      <c r="D1293" s="57" t="inlineStr"/>
      <c r="E1293" s="57" t="inlineStr">
        <is>
          <t>South Farm</t>
        </is>
      </c>
      <c r="F1293" s="57" t="inlineStr">
        <is>
          <t>forced_from_sheet_name</t>
        </is>
      </c>
    </row>
    <row r="1294" ht="25" customHeight="1" s="55">
      <c r="A1294" s="57" t="inlineStr">
        <is>
          <t>Second_Lex_Aug18_Ella</t>
        </is>
      </c>
      <c r="B1294" s="57" t="n">
        <v>6</v>
      </c>
      <c r="C1294" s="57" t="inlineStr">
        <is>
          <t>Harvest</t>
        </is>
      </c>
      <c r="D1294" s="57" t="inlineStr"/>
      <c r="E1294" s="57" t="inlineStr">
        <is>
          <t>Third</t>
        </is>
      </c>
      <c r="F1294" s="57" t="inlineStr">
        <is>
          <t>forced_from_sheet_name</t>
        </is>
      </c>
    </row>
    <row r="1295" ht="25" customHeight="1" s="55">
      <c r="A1295" s="57" t="inlineStr">
        <is>
          <t>Second_Lex_Aug18_Ella</t>
        </is>
      </c>
      <c r="B1295" s="57" t="n">
        <v>6</v>
      </c>
      <c r="C1295" s="57" t="inlineStr">
        <is>
          <t>Date of harvest</t>
        </is>
      </c>
      <c r="D1295" s="57" t="inlineStr"/>
      <c r="E1295" s="57" t="inlineStr">
        <is>
          <t>2026-08-18</t>
        </is>
      </c>
      <c r="F1295" s="57" t="inlineStr">
        <is>
          <t>date_forced:South Farm third harvest; data entered by Ella (same day as Nam sheet)</t>
        </is>
      </c>
    </row>
    <row r="1296" ht="25" customHeight="1" s="55">
      <c r="A1296" s="57" t="inlineStr">
        <is>
          <t>Second_Lex_Aug18_Ella</t>
        </is>
      </c>
      <c r="B1296" s="57" t="n">
        <v>7</v>
      </c>
      <c r="C1296" s="57" t="inlineStr">
        <is>
          <t>Genotypes</t>
        </is>
      </c>
      <c r="D1296" s="57" t="inlineStr">
        <is>
          <t>26-30</t>
        </is>
      </c>
      <c r="E1296" s="57" t="inlineStr">
        <is>
          <t>UKYT-26-030</t>
        </is>
      </c>
      <c r="F1296" s="57" t="inlineStr"/>
    </row>
    <row r="1297" ht="25" customHeight="1" s="55">
      <c r="A1297" s="57" t="inlineStr">
        <is>
          <t>Second_Lex_Aug18_Ella</t>
        </is>
      </c>
      <c r="B1297" s="57" t="n">
        <v>7</v>
      </c>
      <c r="C1297" s="57" t="inlineStr">
        <is>
          <t>Location</t>
        </is>
      </c>
      <c r="D1297" s="57" t="inlineStr"/>
      <c r="E1297" s="57" t="inlineStr">
        <is>
          <t>South Farm</t>
        </is>
      </c>
      <c r="F1297" s="57" t="inlineStr">
        <is>
          <t>forced_from_sheet_name</t>
        </is>
      </c>
    </row>
    <row r="1298" ht="25" customHeight="1" s="55">
      <c r="A1298" s="57" t="inlineStr">
        <is>
          <t>Second_Lex_Aug18_Ella</t>
        </is>
      </c>
      <c r="B1298" s="57" t="n">
        <v>7</v>
      </c>
      <c r="C1298" s="57" t="inlineStr">
        <is>
          <t>Harvest</t>
        </is>
      </c>
      <c r="D1298" s="57" t="inlineStr"/>
      <c r="E1298" s="57" t="inlineStr">
        <is>
          <t>Third</t>
        </is>
      </c>
      <c r="F1298" s="57" t="inlineStr">
        <is>
          <t>forced_from_sheet_name</t>
        </is>
      </c>
    </row>
    <row r="1299" ht="25" customHeight="1" s="55">
      <c r="A1299" s="57" t="inlineStr">
        <is>
          <t>Second_Lex_Aug18_Ella</t>
        </is>
      </c>
      <c r="B1299" s="57" t="n">
        <v>7</v>
      </c>
      <c r="C1299" s="57" t="inlineStr">
        <is>
          <t>Date of harvest</t>
        </is>
      </c>
      <c r="D1299" s="57" t="inlineStr"/>
      <c r="E1299" s="57" t="inlineStr">
        <is>
          <t>2026-08-18</t>
        </is>
      </c>
      <c r="F1299" s="57" t="inlineStr">
        <is>
          <t>date_forced:South Farm third harvest; data entered by Ella (same day as Nam sheet)</t>
        </is>
      </c>
    </row>
    <row r="1300" ht="25" customHeight="1" s="55">
      <c r="A1300" s="57" t="inlineStr">
        <is>
          <t>Second_Lex_Aug18_Ella</t>
        </is>
      </c>
      <c r="B1300" s="57" t="n">
        <v>8</v>
      </c>
      <c r="C1300" s="57" t="inlineStr">
        <is>
          <t>Genotypes</t>
        </is>
      </c>
      <c r="D1300" s="57" t="inlineStr">
        <is>
          <t>26-31</t>
        </is>
      </c>
      <c r="E1300" s="57" t="inlineStr">
        <is>
          <t>UKYT-26-031</t>
        </is>
      </c>
      <c r="F1300" s="57" t="inlineStr"/>
    </row>
    <row r="1301" ht="25" customHeight="1" s="55">
      <c r="A1301" s="57" t="inlineStr">
        <is>
          <t>Second_Lex_Aug18_Ella</t>
        </is>
      </c>
      <c r="B1301" s="57" t="n">
        <v>8</v>
      </c>
      <c r="C1301" s="57" t="inlineStr">
        <is>
          <t>Location</t>
        </is>
      </c>
      <c r="D1301" s="57" t="inlineStr"/>
      <c r="E1301" s="57" t="inlineStr">
        <is>
          <t>South Farm</t>
        </is>
      </c>
      <c r="F1301" s="57" t="inlineStr">
        <is>
          <t>forced_from_sheet_name</t>
        </is>
      </c>
    </row>
    <row r="1302" ht="25" customHeight="1" s="55">
      <c r="A1302" s="57" t="inlineStr">
        <is>
          <t>Second_Lex_Aug18_Ella</t>
        </is>
      </c>
      <c r="B1302" s="57" t="n">
        <v>8</v>
      </c>
      <c r="C1302" s="57" t="inlineStr">
        <is>
          <t>Harvest</t>
        </is>
      </c>
      <c r="D1302" s="57" t="inlineStr"/>
      <c r="E1302" s="57" t="inlineStr">
        <is>
          <t>Third</t>
        </is>
      </c>
      <c r="F1302" s="57" t="inlineStr">
        <is>
          <t>forced_from_sheet_name</t>
        </is>
      </c>
    </row>
    <row r="1303" ht="25" customHeight="1" s="55">
      <c r="A1303" s="57" t="inlineStr">
        <is>
          <t>Second_Lex_Aug18_Ella</t>
        </is>
      </c>
      <c r="B1303" s="57" t="n">
        <v>8</v>
      </c>
      <c r="C1303" s="57" t="inlineStr">
        <is>
          <t>Date of harvest</t>
        </is>
      </c>
      <c r="D1303" s="57" t="inlineStr"/>
      <c r="E1303" s="57" t="inlineStr">
        <is>
          <t>2026-08-18</t>
        </is>
      </c>
      <c r="F1303" s="57" t="inlineStr">
        <is>
          <t>date_forced:South Farm third harvest; data entered by Ella (same day as Nam sheet)</t>
        </is>
      </c>
    </row>
    <row r="1304" ht="25" customHeight="1" s="55">
      <c r="A1304" s="57" t="inlineStr">
        <is>
          <t>Second_Lex_Aug18_Ella</t>
        </is>
      </c>
      <c r="B1304" s="57" t="n">
        <v>9</v>
      </c>
      <c r="C1304" s="57" t="inlineStr">
        <is>
          <t>Genotypes</t>
        </is>
      </c>
      <c r="D1304" s="57" t="inlineStr">
        <is>
          <t>26-29</t>
        </is>
      </c>
      <c r="E1304" s="57" t="inlineStr">
        <is>
          <t>UKYT-26-029</t>
        </is>
      </c>
      <c r="F1304" s="57" t="inlineStr"/>
    </row>
    <row r="1305" ht="25" customHeight="1" s="55">
      <c r="A1305" s="57" t="inlineStr">
        <is>
          <t>Second_Lex_Aug18_Ella</t>
        </is>
      </c>
      <c r="B1305" s="57" t="n">
        <v>9</v>
      </c>
      <c r="C1305" s="57" t="inlineStr">
        <is>
          <t>Location</t>
        </is>
      </c>
      <c r="D1305" s="57" t="inlineStr"/>
      <c r="E1305" s="57" t="inlineStr">
        <is>
          <t>South Farm</t>
        </is>
      </c>
      <c r="F1305" s="57" t="inlineStr">
        <is>
          <t>forced_from_sheet_name</t>
        </is>
      </c>
    </row>
    <row r="1306" ht="25" customHeight="1" s="55">
      <c r="A1306" s="57" t="inlineStr">
        <is>
          <t>Second_Lex_Aug18_Ella</t>
        </is>
      </c>
      <c r="B1306" s="57" t="n">
        <v>9</v>
      </c>
      <c r="C1306" s="57" t="inlineStr">
        <is>
          <t>Harvest</t>
        </is>
      </c>
      <c r="D1306" s="57" t="inlineStr"/>
      <c r="E1306" s="57" t="inlineStr">
        <is>
          <t>Third</t>
        </is>
      </c>
      <c r="F1306" s="57" t="inlineStr">
        <is>
          <t>forced_from_sheet_name</t>
        </is>
      </c>
    </row>
    <row r="1307" ht="25" customHeight="1" s="55">
      <c r="A1307" s="57" t="inlineStr">
        <is>
          <t>Second_Lex_Aug18_Ella</t>
        </is>
      </c>
      <c r="B1307" s="57" t="n">
        <v>9</v>
      </c>
      <c r="C1307" s="57" t="inlineStr">
        <is>
          <t>Date of harvest</t>
        </is>
      </c>
      <c r="D1307" s="57" t="inlineStr"/>
      <c r="E1307" s="57" t="inlineStr">
        <is>
          <t>2026-08-18</t>
        </is>
      </c>
      <c r="F1307" s="57" t="inlineStr">
        <is>
          <t>date_forced:South Farm third harvest; data entered by Ella (same day as Nam sheet)</t>
        </is>
      </c>
    </row>
    <row r="1308" ht="25" customHeight="1" s="55">
      <c r="A1308" s="57" t="inlineStr">
        <is>
          <t>Second_Lex_Aug18_Ella</t>
        </is>
      </c>
      <c r="B1308" s="57" t="n">
        <v>1</v>
      </c>
      <c r="C1308" s="57" t="inlineStr">
        <is>
          <t>header</t>
        </is>
      </c>
      <c r="D1308" s="57" t="inlineStr">
        <is>
          <t>fruit count</t>
        </is>
      </c>
      <c r="E1308" s="57" t="inlineStr">
        <is>
          <t>Fruit count</t>
        </is>
      </c>
      <c r="F1308" s="57" t="inlineStr">
        <is>
          <t>standardized</t>
        </is>
      </c>
    </row>
    <row r="1309" ht="25" customHeight="1" s="55">
      <c r="A1309" s="57" t="inlineStr">
        <is>
          <t>Second_Lex_Aug18_Ella</t>
        </is>
      </c>
      <c r="B1309" s="57" t="n">
        <v>1</v>
      </c>
      <c r="C1309" s="57" t="inlineStr">
        <is>
          <t>header</t>
        </is>
      </c>
      <c r="D1309" s="57" t="inlineStr">
        <is>
          <t>Weight of 20 counts</t>
        </is>
      </c>
      <c r="E1309" s="57" t="inlineStr">
        <is>
          <t>Weight of 20 fruit (g)</t>
        </is>
      </c>
      <c r="F1309" s="57" t="inlineStr">
        <is>
          <t>standardized</t>
        </is>
      </c>
    </row>
    <row r="1310" ht="25" customHeight="1" s="55">
      <c r="A1310" s="57" t="inlineStr">
        <is>
          <t>Second_lex_Aug19_Nam</t>
        </is>
      </c>
      <c r="B1310" s="57" t="n">
        <v>2</v>
      </c>
      <c r="C1310" s="57" t="inlineStr">
        <is>
          <t>Location</t>
        </is>
      </c>
      <c r="D1310" s="57" t="inlineStr"/>
      <c r="E1310" s="57" t="inlineStr">
        <is>
          <t>South Farm</t>
        </is>
      </c>
      <c r="F1310" s="57" t="inlineStr">
        <is>
          <t>forced_from_sheet_name</t>
        </is>
      </c>
    </row>
    <row r="1311" ht="25" customHeight="1" s="55">
      <c r="A1311" s="57" t="inlineStr">
        <is>
          <t>Second_lex_Aug19_Nam</t>
        </is>
      </c>
      <c r="B1311" s="57" t="n">
        <v>2</v>
      </c>
      <c r="C1311" s="57" t="inlineStr">
        <is>
          <t>Harvest</t>
        </is>
      </c>
      <c r="D1311" s="57" t="inlineStr"/>
      <c r="E1311" s="57" t="inlineStr">
        <is>
          <t>Fourth</t>
        </is>
      </c>
      <c r="F1311" s="57" t="inlineStr">
        <is>
          <t>forced_from_sheet_name</t>
        </is>
      </c>
    </row>
    <row r="1312" ht="25" customHeight="1" s="55">
      <c r="A1312" s="57" t="inlineStr">
        <is>
          <t>Second_lex_Aug19_Nam</t>
        </is>
      </c>
      <c r="B1312" s="57" t="n">
        <v>2</v>
      </c>
      <c r="C1312" s="57" t="inlineStr">
        <is>
          <t>Date of harvest</t>
        </is>
      </c>
      <c r="D1312" s="57" t="inlineStr"/>
      <c r="E1312" s="57" t="inlineStr">
        <is>
          <t>2026-08-19</t>
        </is>
      </c>
      <c r="F1312" s="57" t="inlineStr">
        <is>
          <t>date_forced:South Farm fourth harvest; data entered by Nam</t>
        </is>
      </c>
    </row>
    <row r="1313" ht="25" customHeight="1" s="55">
      <c r="A1313" s="57" t="inlineStr">
        <is>
          <t>Second_lex_Aug19_Nam</t>
        </is>
      </c>
      <c r="B1313" s="57" t="n">
        <v>3</v>
      </c>
      <c r="C1313" s="57" t="inlineStr">
        <is>
          <t>Genotypes</t>
        </is>
      </c>
      <c r="D1313" s="57" t="inlineStr">
        <is>
          <t>UKY-26-019</t>
        </is>
      </c>
      <c r="E1313" s="57" t="inlineStr">
        <is>
          <t>UKYT-26-019</t>
        </is>
      </c>
      <c r="F1313" s="57" t="inlineStr"/>
    </row>
    <row r="1314" ht="25" customHeight="1" s="55">
      <c r="A1314" s="57" t="inlineStr">
        <is>
          <t>Second_lex_Aug19_Nam</t>
        </is>
      </c>
      <c r="B1314" s="57" t="n">
        <v>3</v>
      </c>
      <c r="C1314" s="57" t="inlineStr">
        <is>
          <t>Location</t>
        </is>
      </c>
      <c r="D1314" s="57" t="inlineStr"/>
      <c r="E1314" s="57" t="inlineStr">
        <is>
          <t>South Farm</t>
        </is>
      </c>
      <c r="F1314" s="57" t="inlineStr">
        <is>
          <t>forced_from_sheet_name</t>
        </is>
      </c>
    </row>
    <row r="1315" ht="25" customHeight="1" s="55">
      <c r="A1315" s="57" t="inlineStr">
        <is>
          <t>Second_lex_Aug19_Nam</t>
        </is>
      </c>
      <c r="B1315" s="57" t="n">
        <v>3</v>
      </c>
      <c r="C1315" s="57" t="inlineStr">
        <is>
          <t>Harvest</t>
        </is>
      </c>
      <c r="D1315" s="57" t="inlineStr"/>
      <c r="E1315" s="57" t="inlineStr">
        <is>
          <t>Fourth</t>
        </is>
      </c>
      <c r="F1315" s="57" t="inlineStr">
        <is>
          <t>forced_from_sheet_name</t>
        </is>
      </c>
    </row>
    <row r="1316" ht="25" customHeight="1" s="55">
      <c r="A1316" s="57" t="inlineStr">
        <is>
          <t>Second_lex_Aug19_Nam</t>
        </is>
      </c>
      <c r="B1316" s="57" t="n">
        <v>3</v>
      </c>
      <c r="C1316" s="57" t="inlineStr">
        <is>
          <t>Date of harvest</t>
        </is>
      </c>
      <c r="D1316" s="57" t="inlineStr"/>
      <c r="E1316" s="57" t="inlineStr">
        <is>
          <t>2026-08-19</t>
        </is>
      </c>
      <c r="F1316" s="57" t="inlineStr">
        <is>
          <t>date_forced:South Farm fourth harvest; data entered by Nam</t>
        </is>
      </c>
    </row>
    <row r="1317" ht="25" customHeight="1" s="55">
      <c r="A1317" s="57" t="inlineStr">
        <is>
          <t>Second_lex_Aug19_Nam</t>
        </is>
      </c>
      <c r="B1317" s="57" t="n">
        <v>4</v>
      </c>
      <c r="C1317" s="57" t="inlineStr">
        <is>
          <t>Genotypes</t>
        </is>
      </c>
      <c r="D1317" s="57" t="inlineStr">
        <is>
          <t>UKY-26-037</t>
        </is>
      </c>
      <c r="E1317" s="57" t="inlineStr">
        <is>
          <t>UKYT-26-037</t>
        </is>
      </c>
      <c r="F1317" s="57" t="inlineStr"/>
    </row>
    <row r="1318" ht="25" customHeight="1" s="55">
      <c r="A1318" s="57" t="inlineStr">
        <is>
          <t>Second_lex_Aug19_Nam</t>
        </is>
      </c>
      <c r="B1318" s="57" t="n">
        <v>4</v>
      </c>
      <c r="C1318" s="57" t="inlineStr">
        <is>
          <t>Location</t>
        </is>
      </c>
      <c r="D1318" s="57" t="inlineStr"/>
      <c r="E1318" s="57" t="inlineStr">
        <is>
          <t>South Farm</t>
        </is>
      </c>
      <c r="F1318" s="57" t="inlineStr">
        <is>
          <t>forced_from_sheet_name</t>
        </is>
      </c>
    </row>
    <row r="1319" ht="25" customHeight="1" s="55">
      <c r="A1319" s="57" t="inlineStr">
        <is>
          <t>Second_lex_Aug19_Nam</t>
        </is>
      </c>
      <c r="B1319" s="57" t="n">
        <v>4</v>
      </c>
      <c r="C1319" s="57" t="inlineStr">
        <is>
          <t>Harvest</t>
        </is>
      </c>
      <c r="D1319" s="57" t="inlineStr"/>
      <c r="E1319" s="57" t="inlineStr">
        <is>
          <t>Fourth</t>
        </is>
      </c>
      <c r="F1319" s="57" t="inlineStr">
        <is>
          <t>forced_from_sheet_name</t>
        </is>
      </c>
    </row>
    <row r="1320" ht="25" customHeight="1" s="55">
      <c r="A1320" s="57" t="inlineStr">
        <is>
          <t>Second_lex_Aug19_Nam</t>
        </is>
      </c>
      <c r="B1320" s="57" t="n">
        <v>4</v>
      </c>
      <c r="C1320" s="57" t="inlineStr">
        <is>
          <t>Date of harvest</t>
        </is>
      </c>
      <c r="D1320" s="57" t="inlineStr"/>
      <c r="E1320" s="57" t="inlineStr">
        <is>
          <t>2026-08-19</t>
        </is>
      </c>
      <c r="F1320" s="57" t="inlineStr">
        <is>
          <t>date_forced:South Farm fourth harvest; data entered by Nam</t>
        </is>
      </c>
    </row>
    <row r="1321" ht="25" customHeight="1" s="55">
      <c r="A1321" s="57" t="inlineStr">
        <is>
          <t>Second_lex_Aug19_Nam</t>
        </is>
      </c>
      <c r="B1321" s="57" t="n">
        <v>5</v>
      </c>
      <c r="C1321" s="57" t="inlineStr">
        <is>
          <t>Genotypes</t>
        </is>
      </c>
      <c r="D1321" s="57" t="inlineStr">
        <is>
          <t>UKY-26-039</t>
        </is>
      </c>
      <c r="E1321" s="57" t="inlineStr">
        <is>
          <t>UKYT-26-039</t>
        </is>
      </c>
      <c r="F1321" s="57" t="inlineStr"/>
    </row>
    <row r="1322" ht="25" customHeight="1" s="55">
      <c r="A1322" s="57" t="inlineStr">
        <is>
          <t>Second_lex_Aug19_Nam</t>
        </is>
      </c>
      <c r="B1322" s="57" t="n">
        <v>5</v>
      </c>
      <c r="C1322" s="57" t="inlineStr">
        <is>
          <t>Location</t>
        </is>
      </c>
      <c r="D1322" s="57" t="inlineStr"/>
      <c r="E1322" s="57" t="inlineStr">
        <is>
          <t>South Farm</t>
        </is>
      </c>
      <c r="F1322" s="57" t="inlineStr">
        <is>
          <t>forced_from_sheet_name</t>
        </is>
      </c>
    </row>
    <row r="1323" ht="25" customHeight="1" s="55">
      <c r="A1323" s="57" t="inlineStr">
        <is>
          <t>Second_lex_Aug19_Nam</t>
        </is>
      </c>
      <c r="B1323" s="57" t="n">
        <v>5</v>
      </c>
      <c r="C1323" s="57" t="inlineStr">
        <is>
          <t>Harvest</t>
        </is>
      </c>
      <c r="D1323" s="57" t="inlineStr"/>
      <c r="E1323" s="57" t="inlineStr">
        <is>
          <t>Fourth</t>
        </is>
      </c>
      <c r="F1323" s="57" t="inlineStr">
        <is>
          <t>forced_from_sheet_name</t>
        </is>
      </c>
    </row>
    <row r="1324" ht="25" customHeight="1" s="55">
      <c r="A1324" s="57" t="inlineStr">
        <is>
          <t>Second_lex_Aug19_Nam</t>
        </is>
      </c>
      <c r="B1324" s="57" t="n">
        <v>5</v>
      </c>
      <c r="C1324" s="57" t="inlineStr">
        <is>
          <t>Date of harvest</t>
        </is>
      </c>
      <c r="D1324" s="57" t="inlineStr"/>
      <c r="E1324" s="57" t="inlineStr">
        <is>
          <t>2026-08-19</t>
        </is>
      </c>
      <c r="F1324" s="57" t="inlineStr">
        <is>
          <t>date_forced:South Farm fourth harvest; data entered by Nam</t>
        </is>
      </c>
    </row>
    <row r="1325" ht="25" customHeight="1" s="55">
      <c r="A1325" s="57" t="inlineStr">
        <is>
          <t>Second_lex_Aug19_Nam</t>
        </is>
      </c>
      <c r="B1325" s="57" t="n">
        <v>6</v>
      </c>
      <c r="C1325" s="57" t="inlineStr">
        <is>
          <t>Genotypes</t>
        </is>
      </c>
      <c r="D1325" s="57" t="inlineStr">
        <is>
          <t>UKY-26-035 Second Rep first row first genotype</t>
        </is>
      </c>
      <c r="E1325" s="57" t="inlineStr">
        <is>
          <t>UKYT-26-035</t>
        </is>
      </c>
      <c r="F1325" s="57" t="inlineStr"/>
    </row>
    <row r="1326" ht="25" customHeight="1" s="55">
      <c r="A1326" s="57" t="inlineStr">
        <is>
          <t>Second_lex_Aug19_Nam</t>
        </is>
      </c>
      <c r="B1326" s="57" t="n">
        <v>6</v>
      </c>
      <c r="C1326" s="57" t="inlineStr">
        <is>
          <t>Location</t>
        </is>
      </c>
      <c r="D1326" s="57" t="inlineStr"/>
      <c r="E1326" s="57" t="inlineStr">
        <is>
          <t>South Farm</t>
        </is>
      </c>
      <c r="F1326" s="57" t="inlineStr">
        <is>
          <t>forced_from_sheet_name</t>
        </is>
      </c>
    </row>
    <row r="1327" ht="25" customHeight="1" s="55">
      <c r="A1327" s="57" t="inlineStr">
        <is>
          <t>Second_lex_Aug19_Nam</t>
        </is>
      </c>
      <c r="B1327" s="57" t="n">
        <v>6</v>
      </c>
      <c r="C1327" s="57" t="inlineStr">
        <is>
          <t>Harvest</t>
        </is>
      </c>
      <c r="D1327" s="57" t="inlineStr"/>
      <c r="E1327" s="57" t="inlineStr">
        <is>
          <t>Fourth</t>
        </is>
      </c>
      <c r="F1327" s="57" t="inlineStr">
        <is>
          <t>forced_from_sheet_name</t>
        </is>
      </c>
    </row>
    <row r="1328" ht="25" customHeight="1" s="55">
      <c r="A1328" s="57" t="inlineStr">
        <is>
          <t>Second_lex_Aug19_Nam</t>
        </is>
      </c>
      <c r="B1328" s="57" t="n">
        <v>6</v>
      </c>
      <c r="C1328" s="57" t="inlineStr">
        <is>
          <t>Date of harvest</t>
        </is>
      </c>
      <c r="D1328" s="57" t="inlineStr"/>
      <c r="E1328" s="57" t="inlineStr">
        <is>
          <t>2026-08-19</t>
        </is>
      </c>
      <c r="F1328" s="57" t="inlineStr">
        <is>
          <t>date_forced:South Farm fourth harvest; data entered by Nam</t>
        </is>
      </c>
    </row>
    <row r="1329" ht="25" customHeight="1" s="55">
      <c r="A1329" s="57" t="inlineStr">
        <is>
          <t>Second_lex_Aug19_Nam</t>
        </is>
      </c>
      <c r="B1329" s="57" t="n">
        <v>7</v>
      </c>
      <c r="C1329" s="57" t="inlineStr">
        <is>
          <t>Genotypes</t>
        </is>
      </c>
      <c r="D1329" s="57" t="inlineStr">
        <is>
          <t>UKY-26-036</t>
        </is>
      </c>
      <c r="E1329" s="57" t="inlineStr">
        <is>
          <t>UKYT-26-036</t>
        </is>
      </c>
      <c r="F1329" s="57" t="inlineStr"/>
    </row>
    <row r="1330" ht="25" customHeight="1" s="55">
      <c r="A1330" s="57" t="inlineStr">
        <is>
          <t>Second_lex_Aug19_Nam</t>
        </is>
      </c>
      <c r="B1330" s="57" t="n">
        <v>7</v>
      </c>
      <c r="C1330" s="57" t="inlineStr">
        <is>
          <t>Location</t>
        </is>
      </c>
      <c r="D1330" s="57" t="inlineStr"/>
      <c r="E1330" s="57" t="inlineStr">
        <is>
          <t>South Farm</t>
        </is>
      </c>
      <c r="F1330" s="57" t="inlineStr">
        <is>
          <t>forced_from_sheet_name</t>
        </is>
      </c>
    </row>
    <row r="1331" ht="25" customHeight="1" s="55">
      <c r="A1331" s="57" t="inlineStr">
        <is>
          <t>Second_lex_Aug19_Nam</t>
        </is>
      </c>
      <c r="B1331" s="57" t="n">
        <v>7</v>
      </c>
      <c r="C1331" s="57" t="inlineStr">
        <is>
          <t>Harvest</t>
        </is>
      </c>
      <c r="D1331" s="57" t="inlineStr"/>
      <c r="E1331" s="57" t="inlineStr">
        <is>
          <t>Fourth</t>
        </is>
      </c>
      <c r="F1331" s="57" t="inlineStr">
        <is>
          <t>forced_from_sheet_name</t>
        </is>
      </c>
    </row>
    <row r="1332" ht="25" customHeight="1" s="55">
      <c r="A1332" s="57" t="inlineStr">
        <is>
          <t>Second_lex_Aug19_Nam</t>
        </is>
      </c>
      <c r="B1332" s="57" t="n">
        <v>7</v>
      </c>
      <c r="C1332" s="57" t="inlineStr">
        <is>
          <t>Date of harvest</t>
        </is>
      </c>
      <c r="D1332" s="57" t="inlineStr"/>
      <c r="E1332" s="57" t="inlineStr">
        <is>
          <t>2026-08-19</t>
        </is>
      </c>
      <c r="F1332" s="57" t="inlineStr">
        <is>
          <t>date_forced:South Farm fourth harvest; data entered by Nam</t>
        </is>
      </c>
    </row>
    <row r="1333" ht="25" customHeight="1" s="55">
      <c r="A1333" s="57" t="inlineStr">
        <is>
          <t>Second_lex_Aug19_Nam</t>
        </is>
      </c>
      <c r="B1333" s="57" t="n">
        <v>8</v>
      </c>
      <c r="C1333" s="57" t="inlineStr">
        <is>
          <t>Genotypes</t>
        </is>
      </c>
      <c r="D1333" s="57" t="inlineStr">
        <is>
          <t>UKY-26-026</t>
        </is>
      </c>
      <c r="E1333" s="57" t="inlineStr">
        <is>
          <t>UKYT-26-026</t>
        </is>
      </c>
      <c r="F1333" s="57" t="inlineStr"/>
    </row>
    <row r="1334" ht="25" customHeight="1" s="55">
      <c r="A1334" s="57" t="inlineStr">
        <is>
          <t>Second_lex_Aug19_Nam</t>
        </is>
      </c>
      <c r="B1334" s="57" t="n">
        <v>8</v>
      </c>
      <c r="C1334" s="57" t="inlineStr">
        <is>
          <t>Location</t>
        </is>
      </c>
      <c r="D1334" s="57" t="inlineStr"/>
      <c r="E1334" s="57" t="inlineStr">
        <is>
          <t>South Farm</t>
        </is>
      </c>
      <c r="F1334" s="57" t="inlineStr">
        <is>
          <t>forced_from_sheet_name</t>
        </is>
      </c>
    </row>
    <row r="1335" ht="25" customHeight="1" s="55">
      <c r="A1335" s="57" t="inlineStr">
        <is>
          <t>Second_lex_Aug19_Nam</t>
        </is>
      </c>
      <c r="B1335" s="57" t="n">
        <v>8</v>
      </c>
      <c r="C1335" s="57" t="inlineStr">
        <is>
          <t>Harvest</t>
        </is>
      </c>
      <c r="D1335" s="57" t="inlineStr"/>
      <c r="E1335" s="57" t="inlineStr">
        <is>
          <t>Fourth</t>
        </is>
      </c>
      <c r="F1335" s="57" t="inlineStr">
        <is>
          <t>forced_from_sheet_name</t>
        </is>
      </c>
    </row>
    <row r="1336" ht="25" customHeight="1" s="55">
      <c r="A1336" s="57" t="inlineStr">
        <is>
          <t>Second_lex_Aug19_Nam</t>
        </is>
      </c>
      <c r="B1336" s="57" t="n">
        <v>8</v>
      </c>
      <c r="C1336" s="57" t="inlineStr">
        <is>
          <t>Date of harvest</t>
        </is>
      </c>
      <c r="D1336" s="57" t="inlineStr"/>
      <c r="E1336" s="57" t="inlineStr">
        <is>
          <t>2026-08-19</t>
        </is>
      </c>
      <c r="F1336" s="57" t="inlineStr">
        <is>
          <t>date_forced:South Farm fourth harvest; data entered by Nam</t>
        </is>
      </c>
    </row>
    <row r="1337" ht="25" customHeight="1" s="55">
      <c r="A1337" s="57" t="inlineStr">
        <is>
          <t>Second_lex_Aug19_Nam</t>
        </is>
      </c>
      <c r="B1337" s="57" t="n">
        <v>9</v>
      </c>
      <c r="C1337" s="57" t="inlineStr">
        <is>
          <t>Genotypes</t>
        </is>
      </c>
      <c r="D1337" s="57" t="inlineStr">
        <is>
          <t>UKY-26-025</t>
        </is>
      </c>
      <c r="E1337" s="57" t="inlineStr">
        <is>
          <t>UKYT-26-025</t>
        </is>
      </c>
      <c r="F1337" s="57" t="inlineStr"/>
    </row>
    <row r="1338" ht="25" customHeight="1" s="55">
      <c r="A1338" s="57" t="inlineStr">
        <is>
          <t>Second_lex_Aug19_Nam</t>
        </is>
      </c>
      <c r="B1338" s="57" t="n">
        <v>9</v>
      </c>
      <c r="C1338" s="57" t="inlineStr">
        <is>
          <t>Location</t>
        </is>
      </c>
      <c r="D1338" s="57" t="inlineStr"/>
      <c r="E1338" s="57" t="inlineStr">
        <is>
          <t>South Farm</t>
        </is>
      </c>
      <c r="F1338" s="57" t="inlineStr">
        <is>
          <t>forced_from_sheet_name</t>
        </is>
      </c>
    </row>
    <row r="1339" ht="25" customHeight="1" s="55">
      <c r="A1339" s="57" t="inlineStr">
        <is>
          <t>Second_lex_Aug19_Nam</t>
        </is>
      </c>
      <c r="B1339" s="57" t="n">
        <v>9</v>
      </c>
      <c r="C1339" s="57" t="inlineStr">
        <is>
          <t>Harvest</t>
        </is>
      </c>
      <c r="D1339" s="57" t="inlineStr"/>
      <c r="E1339" s="57" t="inlineStr">
        <is>
          <t>Fourth</t>
        </is>
      </c>
      <c r="F1339" s="57" t="inlineStr">
        <is>
          <t>forced_from_sheet_name</t>
        </is>
      </c>
    </row>
    <row r="1340" ht="25" customHeight="1" s="55">
      <c r="A1340" s="57" t="inlineStr">
        <is>
          <t>Second_lex_Aug19_Nam</t>
        </is>
      </c>
      <c r="B1340" s="57" t="n">
        <v>9</v>
      </c>
      <c r="C1340" s="57" t="inlineStr">
        <is>
          <t>Date of harvest</t>
        </is>
      </c>
      <c r="D1340" s="57" t="inlineStr"/>
      <c r="E1340" s="57" t="inlineStr">
        <is>
          <t>2026-08-19</t>
        </is>
      </c>
      <c r="F1340" s="57" t="inlineStr">
        <is>
          <t>date_forced:South Farm fourth harvest; data entered by Nam</t>
        </is>
      </c>
    </row>
    <row r="1341" ht="25" customHeight="1" s="55">
      <c r="A1341" s="57" t="inlineStr">
        <is>
          <t>Second_lex_Aug19_Nam</t>
        </is>
      </c>
      <c r="B1341" s="57" t="n">
        <v>10</v>
      </c>
      <c r="C1341" s="57" t="inlineStr">
        <is>
          <t>Genotypes</t>
        </is>
      </c>
      <c r="D1341" s="57" t="inlineStr">
        <is>
          <t>UKY-26-021</t>
        </is>
      </c>
      <c r="E1341" s="57" t="inlineStr">
        <is>
          <t>UKYT-26-021</t>
        </is>
      </c>
      <c r="F1341" s="57" t="inlineStr"/>
    </row>
    <row r="1342" ht="25" customHeight="1" s="55">
      <c r="A1342" s="57" t="inlineStr">
        <is>
          <t>Second_lex_Aug19_Nam</t>
        </is>
      </c>
      <c r="B1342" s="57" t="n">
        <v>10</v>
      </c>
      <c r="C1342" s="57" t="inlineStr">
        <is>
          <t>Location</t>
        </is>
      </c>
      <c r="D1342" s="57" t="inlineStr"/>
      <c r="E1342" s="57" t="inlineStr">
        <is>
          <t>South Farm</t>
        </is>
      </c>
      <c r="F1342" s="57" t="inlineStr">
        <is>
          <t>forced_from_sheet_name</t>
        </is>
      </c>
    </row>
    <row r="1343" ht="25" customHeight="1" s="55">
      <c r="A1343" s="57" t="inlineStr">
        <is>
          <t>Second_lex_Aug19_Nam</t>
        </is>
      </c>
      <c r="B1343" s="57" t="n">
        <v>10</v>
      </c>
      <c r="C1343" s="57" t="inlineStr">
        <is>
          <t>Harvest</t>
        </is>
      </c>
      <c r="D1343" s="57" t="inlineStr"/>
      <c r="E1343" s="57" t="inlineStr">
        <is>
          <t>Fourth</t>
        </is>
      </c>
      <c r="F1343" s="57" t="inlineStr">
        <is>
          <t>forced_from_sheet_name</t>
        </is>
      </c>
    </row>
    <row r="1344" ht="25" customHeight="1" s="55">
      <c r="A1344" s="57" t="inlineStr">
        <is>
          <t>Second_lex_Aug19_Nam</t>
        </is>
      </c>
      <c r="B1344" s="57" t="n">
        <v>10</v>
      </c>
      <c r="C1344" s="57" t="inlineStr">
        <is>
          <t>Date of harvest</t>
        </is>
      </c>
      <c r="D1344" s="57" t="inlineStr"/>
      <c r="E1344" s="57" t="inlineStr">
        <is>
          <t>2026-08-19</t>
        </is>
      </c>
      <c r="F1344" s="57" t="inlineStr">
        <is>
          <t>date_forced:South Farm fourth harvest; data entered by Nam</t>
        </is>
      </c>
    </row>
    <row r="1345" ht="25" customHeight="1" s="55">
      <c r="A1345" s="57" t="inlineStr">
        <is>
          <t>Second_lex_Aug19_Nam</t>
        </is>
      </c>
      <c r="B1345" s="57" t="n">
        <v>11</v>
      </c>
      <c r="C1345" s="57" t="inlineStr">
        <is>
          <t>Genotypes</t>
        </is>
      </c>
      <c r="D1345" s="57" t="inlineStr">
        <is>
          <t>UKY-26-024</t>
        </is>
      </c>
      <c r="E1345" s="57" t="inlineStr">
        <is>
          <t>UKYT-26-024</t>
        </is>
      </c>
      <c r="F1345" s="57" t="inlineStr"/>
    </row>
    <row r="1346" ht="25" customHeight="1" s="55">
      <c r="A1346" s="57" t="inlineStr">
        <is>
          <t>Second_lex_Aug19_Nam</t>
        </is>
      </c>
      <c r="B1346" s="57" t="n">
        <v>11</v>
      </c>
      <c r="C1346" s="57" t="inlineStr">
        <is>
          <t>Location</t>
        </is>
      </c>
      <c r="D1346" s="57" t="inlineStr"/>
      <c r="E1346" s="57" t="inlineStr">
        <is>
          <t>South Farm</t>
        </is>
      </c>
      <c r="F1346" s="57" t="inlineStr">
        <is>
          <t>forced_from_sheet_name</t>
        </is>
      </c>
    </row>
    <row r="1347" ht="25" customHeight="1" s="55">
      <c r="A1347" s="57" t="inlineStr">
        <is>
          <t>Second_lex_Aug19_Nam</t>
        </is>
      </c>
      <c r="B1347" s="57" t="n">
        <v>11</v>
      </c>
      <c r="C1347" s="57" t="inlineStr">
        <is>
          <t>Harvest</t>
        </is>
      </c>
      <c r="D1347" s="57" t="inlineStr"/>
      <c r="E1347" s="57" t="inlineStr">
        <is>
          <t>Fourth</t>
        </is>
      </c>
      <c r="F1347" s="57" t="inlineStr">
        <is>
          <t>forced_from_sheet_name</t>
        </is>
      </c>
    </row>
    <row r="1348" ht="25" customHeight="1" s="55">
      <c r="A1348" s="57" t="inlineStr">
        <is>
          <t>Second_lex_Aug19_Nam</t>
        </is>
      </c>
      <c r="B1348" s="57" t="n">
        <v>11</v>
      </c>
      <c r="C1348" s="57" t="inlineStr">
        <is>
          <t>Date of harvest</t>
        </is>
      </c>
      <c r="D1348" s="57" t="inlineStr"/>
      <c r="E1348" s="57" t="inlineStr">
        <is>
          <t>2026-08-19</t>
        </is>
      </c>
      <c r="F1348" s="57" t="inlineStr">
        <is>
          <t>date_forced:South Farm fourth harvest; data entered by Nam</t>
        </is>
      </c>
    </row>
    <row r="1349" ht="25" customHeight="1" s="55">
      <c r="A1349" s="57" t="inlineStr">
        <is>
          <t>Second_lex_Aug19_Nam</t>
        </is>
      </c>
      <c r="B1349" s="57" t="n">
        <v>12</v>
      </c>
      <c r="C1349" s="57" t="inlineStr">
        <is>
          <t>Genotypes</t>
        </is>
      </c>
      <c r="D1349" s="57" t="inlineStr">
        <is>
          <t>UKY-26-038</t>
        </is>
      </c>
      <c r="E1349" s="57" t="inlineStr">
        <is>
          <t>UKYT-26-038</t>
        </is>
      </c>
      <c r="F1349" s="57" t="inlineStr"/>
    </row>
    <row r="1350" ht="25" customHeight="1" s="55">
      <c r="A1350" s="57" t="inlineStr">
        <is>
          <t>Second_lex_Aug19_Nam</t>
        </is>
      </c>
      <c r="B1350" s="57" t="n">
        <v>12</v>
      </c>
      <c r="C1350" s="57" t="inlineStr">
        <is>
          <t>Location</t>
        </is>
      </c>
      <c r="D1350" s="57" t="inlineStr"/>
      <c r="E1350" s="57" t="inlineStr">
        <is>
          <t>South Farm</t>
        </is>
      </c>
      <c r="F1350" s="57" t="inlineStr">
        <is>
          <t>forced_from_sheet_name</t>
        </is>
      </c>
    </row>
    <row r="1351" ht="25" customHeight="1" s="55">
      <c r="A1351" s="57" t="inlineStr">
        <is>
          <t>Second_lex_Aug19_Nam</t>
        </is>
      </c>
      <c r="B1351" s="57" t="n">
        <v>12</v>
      </c>
      <c r="C1351" s="57" t="inlineStr">
        <is>
          <t>Harvest</t>
        </is>
      </c>
      <c r="D1351" s="57" t="inlineStr"/>
      <c r="E1351" s="57" t="inlineStr">
        <is>
          <t>Fourth</t>
        </is>
      </c>
      <c r="F1351" s="57" t="inlineStr">
        <is>
          <t>forced_from_sheet_name</t>
        </is>
      </c>
    </row>
    <row r="1352" ht="25" customHeight="1" s="55">
      <c r="A1352" s="57" t="inlineStr">
        <is>
          <t>Second_lex_Aug19_Nam</t>
        </is>
      </c>
      <c r="B1352" s="57" t="n">
        <v>12</v>
      </c>
      <c r="C1352" s="57" t="inlineStr">
        <is>
          <t>Date of harvest</t>
        </is>
      </c>
      <c r="D1352" s="57" t="inlineStr"/>
      <c r="E1352" s="57" t="inlineStr">
        <is>
          <t>2026-08-19</t>
        </is>
      </c>
      <c r="F1352" s="57" t="inlineStr">
        <is>
          <t>date_forced:South Farm fourth harvest; data entered by Nam</t>
        </is>
      </c>
    </row>
    <row r="1353" ht="25" customHeight="1" s="55">
      <c r="A1353" s="57" t="inlineStr">
        <is>
          <t>Second_lex_Aug19_Nam</t>
        </is>
      </c>
      <c r="B1353" s="57" t="n">
        <v>13</v>
      </c>
      <c r="C1353" s="57" t="inlineStr">
        <is>
          <t>Location</t>
        </is>
      </c>
      <c r="D1353" s="57" t="inlineStr"/>
      <c r="E1353" s="57" t="inlineStr">
        <is>
          <t>South Farm</t>
        </is>
      </c>
      <c r="F1353" s="57" t="inlineStr">
        <is>
          <t>forced_from_sheet_name</t>
        </is>
      </c>
    </row>
    <row r="1354" ht="25" customHeight="1" s="55">
      <c r="A1354" s="57" t="inlineStr">
        <is>
          <t>Second_lex_Aug19_Nam</t>
        </is>
      </c>
      <c r="B1354" s="57" t="n">
        <v>13</v>
      </c>
      <c r="C1354" s="57" t="inlineStr">
        <is>
          <t>Harvest</t>
        </is>
      </c>
      <c r="D1354" s="57" t="inlineStr"/>
      <c r="E1354" s="57" t="inlineStr">
        <is>
          <t>Fourth</t>
        </is>
      </c>
      <c r="F1354" s="57" t="inlineStr">
        <is>
          <t>forced_from_sheet_name</t>
        </is>
      </c>
    </row>
    <row r="1355" ht="25" customHeight="1" s="55">
      <c r="A1355" s="57" t="inlineStr">
        <is>
          <t>Second_lex_Aug19_Nam</t>
        </is>
      </c>
      <c r="B1355" s="57" t="n">
        <v>13</v>
      </c>
      <c r="C1355" s="57" t="inlineStr">
        <is>
          <t>Date of harvest</t>
        </is>
      </c>
      <c r="D1355" s="57" t="inlineStr"/>
      <c r="E1355" s="57" t="inlineStr">
        <is>
          <t>2026-08-19</t>
        </is>
      </c>
      <c r="F1355" s="57" t="inlineStr">
        <is>
          <t>date_forced:South Farm fourth harvest; data entered by Nam</t>
        </is>
      </c>
    </row>
    <row r="1356" ht="25" customHeight="1" s="55">
      <c r="A1356" s="57" t="inlineStr">
        <is>
          <t>Second_lex_Aug19_Nam</t>
        </is>
      </c>
      <c r="B1356" s="57" t="n">
        <v>14</v>
      </c>
      <c r="C1356" s="57" t="inlineStr">
        <is>
          <t>Genotypes</t>
        </is>
      </c>
      <c r="D1356" s="57" t="inlineStr">
        <is>
          <t>UKY-26-028</t>
        </is>
      </c>
      <c r="E1356" s="57" t="inlineStr">
        <is>
          <t>UKYT-26-028</t>
        </is>
      </c>
      <c r="F1356" s="57" t="inlineStr"/>
    </row>
    <row r="1357" ht="25" customHeight="1" s="55">
      <c r="A1357" s="57" t="inlineStr">
        <is>
          <t>Second_lex_Aug19_Nam</t>
        </is>
      </c>
      <c r="B1357" s="57" t="n">
        <v>14</v>
      </c>
      <c r="C1357" s="57" t="inlineStr">
        <is>
          <t>Location</t>
        </is>
      </c>
      <c r="D1357" s="57" t="inlineStr"/>
      <c r="E1357" s="57" t="inlineStr">
        <is>
          <t>South Farm</t>
        </is>
      </c>
      <c r="F1357" s="57" t="inlineStr">
        <is>
          <t>forced_from_sheet_name</t>
        </is>
      </c>
    </row>
    <row r="1358" ht="25" customHeight="1" s="55">
      <c r="A1358" s="57" t="inlineStr">
        <is>
          <t>Second_lex_Aug19_Nam</t>
        </is>
      </c>
      <c r="B1358" s="57" t="n">
        <v>14</v>
      </c>
      <c r="C1358" s="57" t="inlineStr">
        <is>
          <t>Harvest</t>
        </is>
      </c>
      <c r="D1358" s="57" t="inlineStr"/>
      <c r="E1358" s="57" t="inlineStr">
        <is>
          <t>Fourth</t>
        </is>
      </c>
      <c r="F1358" s="57" t="inlineStr">
        <is>
          <t>forced_from_sheet_name</t>
        </is>
      </c>
    </row>
    <row r="1359" ht="25" customHeight="1" s="55">
      <c r="A1359" s="57" t="inlineStr">
        <is>
          <t>Second_lex_Aug19_Nam</t>
        </is>
      </c>
      <c r="B1359" s="57" t="n">
        <v>14</v>
      </c>
      <c r="C1359" s="57" t="inlineStr">
        <is>
          <t>Date of harvest</t>
        </is>
      </c>
      <c r="D1359" s="57" t="inlineStr"/>
      <c r="E1359" s="57" t="inlineStr">
        <is>
          <t>2026-08-19</t>
        </is>
      </c>
      <c r="F1359" s="57" t="inlineStr">
        <is>
          <t>date_forced:South Farm fourth harvest; data entered by Nam</t>
        </is>
      </c>
    </row>
    <row r="1360" ht="25" customHeight="1" s="55">
      <c r="A1360" s="57" t="inlineStr">
        <is>
          <t>Second_lex_Aug19_Nam</t>
        </is>
      </c>
      <c r="B1360" s="57" t="n">
        <v>15</v>
      </c>
      <c r="C1360" s="57" t="inlineStr">
        <is>
          <t>Genotypes</t>
        </is>
      </c>
      <c r="D1360" s="57" t="inlineStr">
        <is>
          <t>UKY-26-033</t>
        </is>
      </c>
      <c r="E1360" s="57" t="inlineStr">
        <is>
          <t>UKYT-26-033</t>
        </is>
      </c>
      <c r="F1360" s="57" t="inlineStr"/>
    </row>
    <row r="1361" ht="25" customHeight="1" s="55">
      <c r="A1361" s="57" t="inlineStr">
        <is>
          <t>Second_lex_Aug19_Nam</t>
        </is>
      </c>
      <c r="B1361" s="57" t="n">
        <v>15</v>
      </c>
      <c r="C1361" s="57" t="inlineStr">
        <is>
          <t>Location</t>
        </is>
      </c>
      <c r="D1361" s="57" t="inlineStr"/>
      <c r="E1361" s="57" t="inlineStr">
        <is>
          <t>South Farm</t>
        </is>
      </c>
      <c r="F1361" s="57" t="inlineStr">
        <is>
          <t>forced_from_sheet_name</t>
        </is>
      </c>
    </row>
    <row r="1362" ht="25" customHeight="1" s="55">
      <c r="A1362" s="57" t="inlineStr">
        <is>
          <t>Second_lex_Aug19_Nam</t>
        </is>
      </c>
      <c r="B1362" s="57" t="n">
        <v>15</v>
      </c>
      <c r="C1362" s="57" t="inlineStr">
        <is>
          <t>Harvest</t>
        </is>
      </c>
      <c r="D1362" s="57" t="inlineStr"/>
      <c r="E1362" s="57" t="inlineStr">
        <is>
          <t>Fourth</t>
        </is>
      </c>
      <c r="F1362" s="57" t="inlineStr">
        <is>
          <t>forced_from_sheet_name</t>
        </is>
      </c>
    </row>
    <row r="1363" ht="25" customHeight="1" s="55">
      <c r="A1363" s="57" t="inlineStr">
        <is>
          <t>Second_lex_Aug19_Nam</t>
        </is>
      </c>
      <c r="B1363" s="57" t="n">
        <v>15</v>
      </c>
      <c r="C1363" s="57" t="inlineStr">
        <is>
          <t>Date of harvest</t>
        </is>
      </c>
      <c r="D1363" s="57" t="inlineStr"/>
      <c r="E1363" s="57" t="inlineStr">
        <is>
          <t>2026-08-19</t>
        </is>
      </c>
      <c r="F1363" s="57" t="inlineStr">
        <is>
          <t>date_forced:South Farm fourth harvest; data entered by Nam</t>
        </is>
      </c>
    </row>
    <row r="1364" ht="25" customHeight="1" s="55">
      <c r="A1364" s="57" t="inlineStr">
        <is>
          <t>Second_lex_Aug19_Nam</t>
        </is>
      </c>
      <c r="B1364" s="57" t="n">
        <v>16</v>
      </c>
      <c r="C1364" s="57" t="inlineStr">
        <is>
          <t>Genotypes</t>
        </is>
      </c>
      <c r="D1364" s="57" t="inlineStr">
        <is>
          <t>UKY-26-032</t>
        </is>
      </c>
      <c r="E1364" s="57" t="inlineStr">
        <is>
          <t>UKYT-26-032</t>
        </is>
      </c>
      <c r="F1364" s="57" t="inlineStr"/>
    </row>
    <row r="1365" ht="25" customHeight="1" s="55">
      <c r="A1365" s="57" t="inlineStr">
        <is>
          <t>Second_lex_Aug19_Nam</t>
        </is>
      </c>
      <c r="B1365" s="57" t="n">
        <v>16</v>
      </c>
      <c r="C1365" s="57" t="inlineStr">
        <is>
          <t>Location</t>
        </is>
      </c>
      <c r="D1365" s="57" t="inlineStr"/>
      <c r="E1365" s="57" t="inlineStr">
        <is>
          <t>South Farm</t>
        </is>
      </c>
      <c r="F1365" s="57" t="inlineStr">
        <is>
          <t>forced_from_sheet_name</t>
        </is>
      </c>
    </row>
    <row r="1366" ht="25" customHeight="1" s="55">
      <c r="A1366" s="57" t="inlineStr">
        <is>
          <t>Second_lex_Aug19_Nam</t>
        </is>
      </c>
      <c r="B1366" s="57" t="n">
        <v>16</v>
      </c>
      <c r="C1366" s="57" t="inlineStr">
        <is>
          <t>Harvest</t>
        </is>
      </c>
      <c r="D1366" s="57" t="inlineStr"/>
      <c r="E1366" s="57" t="inlineStr">
        <is>
          <t>Fourth</t>
        </is>
      </c>
      <c r="F1366" s="57" t="inlineStr">
        <is>
          <t>forced_from_sheet_name</t>
        </is>
      </c>
    </row>
    <row r="1367" ht="25" customHeight="1" s="55">
      <c r="A1367" s="57" t="inlineStr">
        <is>
          <t>Second_lex_Aug19_Nam</t>
        </is>
      </c>
      <c r="B1367" s="57" t="n">
        <v>16</v>
      </c>
      <c r="C1367" s="57" t="inlineStr">
        <is>
          <t>Date of harvest</t>
        </is>
      </c>
      <c r="D1367" s="57" t="inlineStr"/>
      <c r="E1367" s="57" t="inlineStr">
        <is>
          <t>2026-08-19</t>
        </is>
      </c>
      <c r="F1367" s="57" t="inlineStr">
        <is>
          <t>date_forced:South Farm fourth harvest; data entered by Nam</t>
        </is>
      </c>
    </row>
    <row r="1368" ht="25" customHeight="1" s="55">
      <c r="A1368" s="57" t="inlineStr">
        <is>
          <t>Second_lex_Aug19_Nam</t>
        </is>
      </c>
      <c r="B1368" s="57" t="n">
        <v>17</v>
      </c>
      <c r="C1368" s="57" t="inlineStr">
        <is>
          <t>Genotypes</t>
        </is>
      </c>
      <c r="D1368" s="57" t="inlineStr">
        <is>
          <t>UKY-26-030</t>
        </is>
      </c>
      <c r="E1368" s="57" t="inlineStr">
        <is>
          <t>UKYT-26-030</t>
        </is>
      </c>
      <c r="F1368" s="57" t="inlineStr"/>
    </row>
    <row r="1369" ht="25" customHeight="1" s="55">
      <c r="A1369" s="57" t="inlineStr">
        <is>
          <t>Second_lex_Aug19_Nam</t>
        </is>
      </c>
      <c r="B1369" s="57" t="n">
        <v>17</v>
      </c>
      <c r="C1369" s="57" t="inlineStr">
        <is>
          <t>Location</t>
        </is>
      </c>
      <c r="D1369" s="57" t="inlineStr"/>
      <c r="E1369" s="57" t="inlineStr">
        <is>
          <t>South Farm</t>
        </is>
      </c>
      <c r="F1369" s="57" t="inlineStr">
        <is>
          <t>forced_from_sheet_name</t>
        </is>
      </c>
    </row>
    <row r="1370" ht="25" customHeight="1" s="55">
      <c r="A1370" s="57" t="inlineStr">
        <is>
          <t>Second_lex_Aug19_Nam</t>
        </is>
      </c>
      <c r="B1370" s="57" t="n">
        <v>17</v>
      </c>
      <c r="C1370" s="57" t="inlineStr">
        <is>
          <t>Harvest</t>
        </is>
      </c>
      <c r="D1370" s="57" t="inlineStr"/>
      <c r="E1370" s="57" t="inlineStr">
        <is>
          <t>Fourth</t>
        </is>
      </c>
      <c r="F1370" s="57" t="inlineStr">
        <is>
          <t>forced_from_sheet_name</t>
        </is>
      </c>
    </row>
    <row r="1371" ht="25" customHeight="1" s="55">
      <c r="A1371" s="57" t="inlineStr">
        <is>
          <t>Second_lex_Aug19_Nam</t>
        </is>
      </c>
      <c r="B1371" s="57" t="n">
        <v>17</v>
      </c>
      <c r="C1371" s="57" t="inlineStr">
        <is>
          <t>Date of harvest</t>
        </is>
      </c>
      <c r="D1371" s="57" t="inlineStr"/>
      <c r="E1371" s="57" t="inlineStr">
        <is>
          <t>2026-08-19</t>
        </is>
      </c>
      <c r="F1371" s="57" t="inlineStr">
        <is>
          <t>date_forced:South Farm fourth harvest; data entered by Nam</t>
        </is>
      </c>
    </row>
    <row r="1372" ht="25" customHeight="1" s="55">
      <c r="A1372" s="57" t="inlineStr">
        <is>
          <t>Second_lex_Aug19_Nam</t>
        </is>
      </c>
      <c r="B1372" s="57" t="n">
        <v>18</v>
      </c>
      <c r="C1372" s="57" t="inlineStr">
        <is>
          <t>Genotypes</t>
        </is>
      </c>
      <c r="D1372" s="57" t="inlineStr">
        <is>
          <t>Peace Vine Cherry</t>
        </is>
      </c>
      <c r="E1372" s="57" t="inlineStr">
        <is>
          <t>Peace Vine</t>
        </is>
      </c>
      <c r="F1372" s="57" t="inlineStr"/>
    </row>
    <row r="1373" ht="25" customHeight="1" s="55">
      <c r="A1373" s="57" t="inlineStr">
        <is>
          <t>Second_lex_Aug19_Nam</t>
        </is>
      </c>
      <c r="B1373" s="57" t="n">
        <v>18</v>
      </c>
      <c r="C1373" s="57" t="inlineStr">
        <is>
          <t>Location</t>
        </is>
      </c>
      <c r="D1373" s="57" t="inlineStr"/>
      <c r="E1373" s="57" t="inlineStr">
        <is>
          <t>South Farm</t>
        </is>
      </c>
      <c r="F1373" s="57" t="inlineStr">
        <is>
          <t>forced_from_sheet_name</t>
        </is>
      </c>
    </row>
    <row r="1374" ht="25" customHeight="1" s="55">
      <c r="A1374" s="57" t="inlineStr">
        <is>
          <t>Second_lex_Aug19_Nam</t>
        </is>
      </c>
      <c r="B1374" s="57" t="n">
        <v>18</v>
      </c>
      <c r="C1374" s="57" t="inlineStr">
        <is>
          <t>Harvest</t>
        </is>
      </c>
      <c r="D1374" s="57" t="inlineStr"/>
      <c r="E1374" s="57" t="inlineStr">
        <is>
          <t>Fourth</t>
        </is>
      </c>
      <c r="F1374" s="57" t="inlineStr">
        <is>
          <t>forced_from_sheet_name</t>
        </is>
      </c>
    </row>
    <row r="1375" ht="25" customHeight="1" s="55">
      <c r="A1375" s="57" t="inlineStr">
        <is>
          <t>Second_lex_Aug19_Nam</t>
        </is>
      </c>
      <c r="B1375" s="57" t="n">
        <v>18</v>
      </c>
      <c r="C1375" s="57" t="inlineStr">
        <is>
          <t>Date of harvest</t>
        </is>
      </c>
      <c r="D1375" s="57" t="inlineStr"/>
      <c r="E1375" s="57" t="inlineStr">
        <is>
          <t>2026-08-19</t>
        </is>
      </c>
      <c r="F1375" s="57" t="inlineStr">
        <is>
          <t>date_forced:South Farm fourth harvest; data entered by Nam</t>
        </is>
      </c>
    </row>
    <row r="1376" ht="25" customHeight="1" s="55">
      <c r="A1376" s="57" t="inlineStr">
        <is>
          <t>Second_lex_Aug19_Nam</t>
        </is>
      </c>
      <c r="B1376" s="57" t="n">
        <v>19</v>
      </c>
      <c r="C1376" s="57" t="inlineStr">
        <is>
          <t>Genotypes</t>
        </is>
      </c>
      <c r="D1376" s="57" t="inlineStr">
        <is>
          <t>UKY-26-034</t>
        </is>
      </c>
      <c r="E1376" s="57" t="inlineStr">
        <is>
          <t>UKYT-26-034</t>
        </is>
      </c>
      <c r="F1376" s="57" t="inlineStr"/>
    </row>
    <row r="1377" ht="25" customHeight="1" s="55">
      <c r="A1377" s="57" t="inlineStr">
        <is>
          <t>Second_lex_Aug19_Nam</t>
        </is>
      </c>
      <c r="B1377" s="57" t="n">
        <v>19</v>
      </c>
      <c r="C1377" s="57" t="inlineStr">
        <is>
          <t>Location</t>
        </is>
      </c>
      <c r="D1377" s="57" t="inlineStr"/>
      <c r="E1377" s="57" t="inlineStr">
        <is>
          <t>South Farm</t>
        </is>
      </c>
      <c r="F1377" s="57" t="inlineStr">
        <is>
          <t>forced_from_sheet_name</t>
        </is>
      </c>
    </row>
    <row r="1378" ht="25" customHeight="1" s="55">
      <c r="A1378" s="57" t="inlineStr">
        <is>
          <t>Second_lex_Aug19_Nam</t>
        </is>
      </c>
      <c r="B1378" s="57" t="n">
        <v>19</v>
      </c>
      <c r="C1378" s="57" t="inlineStr">
        <is>
          <t>Harvest</t>
        </is>
      </c>
      <c r="D1378" s="57" t="inlineStr"/>
      <c r="E1378" s="57" t="inlineStr">
        <is>
          <t>Fourth</t>
        </is>
      </c>
      <c r="F1378" s="57" t="inlineStr">
        <is>
          <t>forced_from_sheet_name</t>
        </is>
      </c>
    </row>
    <row r="1379" ht="25" customHeight="1" s="55">
      <c r="A1379" s="57" t="inlineStr">
        <is>
          <t>Second_lex_Aug19_Nam</t>
        </is>
      </c>
      <c r="B1379" s="57" t="n">
        <v>19</v>
      </c>
      <c r="C1379" s="57" t="inlineStr">
        <is>
          <t>Date of harvest</t>
        </is>
      </c>
      <c r="D1379" s="57" t="inlineStr"/>
      <c r="E1379" s="57" t="inlineStr">
        <is>
          <t>2026-08-19</t>
        </is>
      </c>
      <c r="F1379" s="57" t="inlineStr">
        <is>
          <t>date_forced:South Farm fourth harvest; data entered by Nam</t>
        </is>
      </c>
    </row>
    <row r="1380" ht="25" customHeight="1" s="55">
      <c r="A1380" s="57" t="inlineStr">
        <is>
          <t>Second_lex_Aug19_Nam</t>
        </is>
      </c>
      <c r="B1380" s="57" t="n">
        <v>20</v>
      </c>
      <c r="C1380" s="57" t="inlineStr">
        <is>
          <t>Genotypes</t>
        </is>
      </c>
      <c r="D1380" s="57" t="inlineStr">
        <is>
          <t>UKY-26-043</t>
        </is>
      </c>
      <c r="E1380" s="57" t="inlineStr">
        <is>
          <t>UKYT-26-043</t>
        </is>
      </c>
      <c r="F1380" s="57" t="inlineStr"/>
    </row>
    <row r="1381" ht="25" customHeight="1" s="55">
      <c r="A1381" s="57" t="inlineStr">
        <is>
          <t>Second_lex_Aug19_Nam</t>
        </is>
      </c>
      <c r="B1381" s="57" t="n">
        <v>20</v>
      </c>
      <c r="C1381" s="57" t="inlineStr">
        <is>
          <t>Location</t>
        </is>
      </c>
      <c r="D1381" s="57" t="inlineStr"/>
      <c r="E1381" s="57" t="inlineStr">
        <is>
          <t>South Farm</t>
        </is>
      </c>
      <c r="F1381" s="57" t="inlineStr">
        <is>
          <t>forced_from_sheet_name</t>
        </is>
      </c>
    </row>
    <row r="1382" ht="25" customHeight="1" s="55">
      <c r="A1382" s="57" t="inlineStr">
        <is>
          <t>Second_lex_Aug19_Nam</t>
        </is>
      </c>
      <c r="B1382" s="57" t="n">
        <v>20</v>
      </c>
      <c r="C1382" s="57" t="inlineStr">
        <is>
          <t>Harvest</t>
        </is>
      </c>
      <c r="D1382" s="57" t="inlineStr"/>
      <c r="E1382" s="57" t="inlineStr">
        <is>
          <t>Fourth</t>
        </is>
      </c>
      <c r="F1382" s="57" t="inlineStr">
        <is>
          <t>forced_from_sheet_name</t>
        </is>
      </c>
    </row>
    <row r="1383" ht="25" customHeight="1" s="55">
      <c r="A1383" s="57" t="inlineStr">
        <is>
          <t>Second_lex_Aug19_Nam</t>
        </is>
      </c>
      <c r="B1383" s="57" t="n">
        <v>20</v>
      </c>
      <c r="C1383" s="57" t="inlineStr">
        <is>
          <t>Date of harvest</t>
        </is>
      </c>
      <c r="D1383" s="57" t="inlineStr"/>
      <c r="E1383" s="57" t="inlineStr">
        <is>
          <t>2026-08-19</t>
        </is>
      </c>
      <c r="F1383" s="57" t="inlineStr">
        <is>
          <t>date_forced:South Farm fourth harvest; data entered by Nam</t>
        </is>
      </c>
    </row>
    <row r="1384" ht="25" customHeight="1" s="55">
      <c r="A1384" s="57" t="inlineStr">
        <is>
          <t>Second_lex_Aug19_Nam</t>
        </is>
      </c>
      <c r="B1384" s="57" t="n">
        <v>21</v>
      </c>
      <c r="C1384" s="57" t="inlineStr">
        <is>
          <t>Genotypes</t>
        </is>
      </c>
      <c r="D1384" s="57" t="inlineStr">
        <is>
          <t>UKY-26-031</t>
        </is>
      </c>
      <c r="E1384" s="57" t="inlineStr">
        <is>
          <t>UKYT-26-031</t>
        </is>
      </c>
      <c r="F1384" s="57" t="inlineStr"/>
    </row>
    <row r="1385" ht="25" customHeight="1" s="55">
      <c r="A1385" s="57" t="inlineStr">
        <is>
          <t>Second_lex_Aug19_Nam</t>
        </is>
      </c>
      <c r="B1385" s="57" t="n">
        <v>21</v>
      </c>
      <c r="C1385" s="57" t="inlineStr">
        <is>
          <t>Location</t>
        </is>
      </c>
      <c r="D1385" s="57" t="inlineStr"/>
      <c r="E1385" s="57" t="inlineStr">
        <is>
          <t>South Farm</t>
        </is>
      </c>
      <c r="F1385" s="57" t="inlineStr">
        <is>
          <t>forced_from_sheet_name</t>
        </is>
      </c>
    </row>
    <row r="1386" ht="25" customHeight="1" s="55">
      <c r="A1386" s="57" t="inlineStr">
        <is>
          <t>Second_lex_Aug19_Nam</t>
        </is>
      </c>
      <c r="B1386" s="57" t="n">
        <v>21</v>
      </c>
      <c r="C1386" s="57" t="inlineStr">
        <is>
          <t>Harvest</t>
        </is>
      </c>
      <c r="D1386" s="57" t="inlineStr"/>
      <c r="E1386" s="57" t="inlineStr">
        <is>
          <t>Fourth</t>
        </is>
      </c>
      <c r="F1386" s="57" t="inlineStr">
        <is>
          <t>forced_from_sheet_name</t>
        </is>
      </c>
    </row>
    <row r="1387" ht="25" customHeight="1" s="55">
      <c r="A1387" s="57" t="inlineStr">
        <is>
          <t>Second_lex_Aug19_Nam</t>
        </is>
      </c>
      <c r="B1387" s="57" t="n">
        <v>21</v>
      </c>
      <c r="C1387" s="57" t="inlineStr">
        <is>
          <t>Date of harvest</t>
        </is>
      </c>
      <c r="D1387" s="57" t="inlineStr"/>
      <c r="E1387" s="57" t="inlineStr">
        <is>
          <t>2026-08-19</t>
        </is>
      </c>
      <c r="F1387" s="57" t="inlineStr">
        <is>
          <t>date_forced:South Farm fourth harvest; data entered by Nam</t>
        </is>
      </c>
    </row>
    <row r="1388" ht="25" customHeight="1" s="55">
      <c r="A1388" s="57" t="inlineStr">
        <is>
          <t>Second_lex_Aug19_Nam</t>
        </is>
      </c>
      <c r="B1388" s="57" t="n">
        <v>22</v>
      </c>
      <c r="C1388" s="57" t="inlineStr">
        <is>
          <t>Genotypes</t>
        </is>
      </c>
      <c r="D1388" s="57" t="inlineStr">
        <is>
          <t>UKY-26-042</t>
        </is>
      </c>
      <c r="E1388" s="57" t="inlineStr">
        <is>
          <t>UKYT-26-042</t>
        </is>
      </c>
      <c r="F1388" s="57" t="inlineStr"/>
    </row>
    <row r="1389" ht="25" customHeight="1" s="55">
      <c r="A1389" s="57" t="inlineStr">
        <is>
          <t>Second_lex_Aug19_Nam</t>
        </is>
      </c>
      <c r="B1389" s="57" t="n">
        <v>22</v>
      </c>
      <c r="C1389" s="57" t="inlineStr">
        <is>
          <t>Location</t>
        </is>
      </c>
      <c r="D1389" s="57" t="inlineStr"/>
      <c r="E1389" s="57" t="inlineStr">
        <is>
          <t>South Farm</t>
        </is>
      </c>
      <c r="F1389" s="57" t="inlineStr">
        <is>
          <t>forced_from_sheet_name</t>
        </is>
      </c>
    </row>
    <row r="1390" ht="25" customHeight="1" s="55">
      <c r="A1390" s="57" t="inlineStr">
        <is>
          <t>Second_lex_Aug19_Nam</t>
        </is>
      </c>
      <c r="B1390" s="57" t="n">
        <v>22</v>
      </c>
      <c r="C1390" s="57" t="inlineStr">
        <is>
          <t>Harvest</t>
        </is>
      </c>
      <c r="D1390" s="57" t="inlineStr"/>
      <c r="E1390" s="57" t="inlineStr">
        <is>
          <t>Fourth</t>
        </is>
      </c>
      <c r="F1390" s="57" t="inlineStr">
        <is>
          <t>forced_from_sheet_name</t>
        </is>
      </c>
    </row>
    <row r="1391" ht="25" customHeight="1" s="55">
      <c r="A1391" s="57" t="inlineStr">
        <is>
          <t>Second_lex_Aug19_Nam</t>
        </is>
      </c>
      <c r="B1391" s="57" t="n">
        <v>22</v>
      </c>
      <c r="C1391" s="57" t="inlineStr">
        <is>
          <t>Date of harvest</t>
        </is>
      </c>
      <c r="D1391" s="57" t="inlineStr"/>
      <c r="E1391" s="57" t="inlineStr">
        <is>
          <t>2026-08-19</t>
        </is>
      </c>
      <c r="F1391" s="57" t="inlineStr">
        <is>
          <t>date_forced:South Farm fourth harvest; data entered by Nam</t>
        </is>
      </c>
    </row>
    <row r="1392" ht="25" customHeight="1" s="55">
      <c r="A1392" s="57" t="inlineStr">
        <is>
          <t>Second_lex_Aug19_Nam</t>
        </is>
      </c>
      <c r="B1392" s="57" t="n">
        <v>23</v>
      </c>
      <c r="C1392" s="57" t="inlineStr">
        <is>
          <t>Genotypes</t>
        </is>
      </c>
      <c r="D1392" s="57" t="inlineStr">
        <is>
          <t>UKY-26-029</t>
        </is>
      </c>
      <c r="E1392" s="57" t="inlineStr">
        <is>
          <t>UKYT-26-029</t>
        </is>
      </c>
      <c r="F1392" s="57" t="inlineStr"/>
    </row>
    <row r="1393" ht="25" customHeight="1" s="55">
      <c r="A1393" s="57" t="inlineStr">
        <is>
          <t>Second_lex_Aug19_Nam</t>
        </is>
      </c>
      <c r="B1393" s="57" t="n">
        <v>23</v>
      </c>
      <c r="C1393" s="57" t="inlineStr">
        <is>
          <t>Location</t>
        </is>
      </c>
      <c r="D1393" s="57" t="inlineStr"/>
      <c r="E1393" s="57" t="inlineStr">
        <is>
          <t>South Farm</t>
        </is>
      </c>
      <c r="F1393" s="57" t="inlineStr">
        <is>
          <t>forced_from_sheet_name</t>
        </is>
      </c>
    </row>
    <row r="1394" ht="25" customHeight="1" s="55">
      <c r="A1394" s="57" t="inlineStr">
        <is>
          <t>Second_lex_Aug19_Nam</t>
        </is>
      </c>
      <c r="B1394" s="57" t="n">
        <v>23</v>
      </c>
      <c r="C1394" s="57" t="inlineStr">
        <is>
          <t>Harvest</t>
        </is>
      </c>
      <c r="D1394" s="57" t="inlineStr"/>
      <c r="E1394" s="57" t="inlineStr">
        <is>
          <t>Fourth</t>
        </is>
      </c>
      <c r="F1394" s="57" t="inlineStr">
        <is>
          <t>forced_from_sheet_name</t>
        </is>
      </c>
    </row>
    <row r="1395" ht="25" customHeight="1" s="55">
      <c r="A1395" s="57" t="inlineStr">
        <is>
          <t>Second_lex_Aug19_Nam</t>
        </is>
      </c>
      <c r="B1395" s="57" t="n">
        <v>23</v>
      </c>
      <c r="C1395" s="57" t="inlineStr">
        <is>
          <t>Date of harvest</t>
        </is>
      </c>
      <c r="D1395" s="57" t="inlineStr"/>
      <c r="E1395" s="57" t="inlineStr">
        <is>
          <t>2026-08-19</t>
        </is>
      </c>
      <c r="F1395" s="57" t="inlineStr">
        <is>
          <t>date_forced:South Farm fourth harvest; data entered by Nam</t>
        </is>
      </c>
    </row>
    <row r="1396" ht="25" customHeight="1" s="55">
      <c r="A1396" s="57" t="inlineStr">
        <is>
          <t>Second_lex_Aug19_Nam</t>
        </is>
      </c>
      <c r="B1396" s="57" t="n">
        <v>24</v>
      </c>
      <c r="C1396" s="57" t="inlineStr">
        <is>
          <t>Genotypes</t>
        </is>
      </c>
      <c r="D1396" s="57" t="inlineStr">
        <is>
          <t>UKY-26-023</t>
        </is>
      </c>
      <c r="E1396" s="57" t="inlineStr">
        <is>
          <t>UKYT-26-023</t>
        </is>
      </c>
      <c r="F1396" s="57" t="inlineStr"/>
    </row>
    <row r="1397" ht="25" customHeight="1" s="55">
      <c r="A1397" s="57" t="inlineStr">
        <is>
          <t>Second_lex_Aug19_Nam</t>
        </is>
      </c>
      <c r="B1397" s="57" t="n">
        <v>24</v>
      </c>
      <c r="C1397" s="57" t="inlineStr">
        <is>
          <t>Location</t>
        </is>
      </c>
      <c r="D1397" s="57" t="inlineStr"/>
      <c r="E1397" s="57" t="inlineStr">
        <is>
          <t>South Farm</t>
        </is>
      </c>
      <c r="F1397" s="57" t="inlineStr">
        <is>
          <t>forced_from_sheet_name</t>
        </is>
      </c>
    </row>
    <row r="1398" ht="25" customHeight="1" s="55">
      <c r="A1398" s="57" t="inlineStr">
        <is>
          <t>Second_lex_Aug19_Nam</t>
        </is>
      </c>
      <c r="B1398" s="57" t="n">
        <v>24</v>
      </c>
      <c r="C1398" s="57" t="inlineStr">
        <is>
          <t>Harvest</t>
        </is>
      </c>
      <c r="D1398" s="57" t="inlineStr"/>
      <c r="E1398" s="57" t="inlineStr">
        <is>
          <t>Fourth</t>
        </is>
      </c>
      <c r="F1398" s="57" t="inlineStr">
        <is>
          <t>forced_from_sheet_name</t>
        </is>
      </c>
    </row>
    <row r="1399" ht="25" customHeight="1" s="55">
      <c r="A1399" s="57" t="inlineStr">
        <is>
          <t>Second_lex_Aug19_Nam</t>
        </is>
      </c>
      <c r="B1399" s="57" t="n">
        <v>24</v>
      </c>
      <c r="C1399" s="57" t="inlineStr">
        <is>
          <t>Date of harvest</t>
        </is>
      </c>
      <c r="D1399" s="57" t="inlineStr"/>
      <c r="E1399" s="57" t="inlineStr">
        <is>
          <t>2026-08-19</t>
        </is>
      </c>
      <c r="F1399" s="57" t="inlineStr">
        <is>
          <t>date_forced:South Farm fourth harvest; data entered by Nam</t>
        </is>
      </c>
    </row>
    <row r="1400" ht="25" customHeight="1" s="55">
      <c r="A1400" s="57" t="inlineStr">
        <is>
          <t>Second_lex_Aug19_Nam</t>
        </is>
      </c>
      <c r="B1400" s="57" t="n">
        <v>25</v>
      </c>
      <c r="C1400" s="57" t="inlineStr">
        <is>
          <t>Genotypes</t>
        </is>
      </c>
      <c r="D1400" s="57" t="inlineStr">
        <is>
          <t>UKY-25-012</t>
        </is>
      </c>
      <c r="E1400" s="57" t="inlineStr">
        <is>
          <t>UKYT-25-012</t>
        </is>
      </c>
      <c r="F1400" s="57" t="inlineStr"/>
    </row>
    <row r="1401" ht="25" customHeight="1" s="55">
      <c r="A1401" s="57" t="inlineStr">
        <is>
          <t>Second_lex_Aug19_Nam</t>
        </is>
      </c>
      <c r="B1401" s="57" t="n">
        <v>25</v>
      </c>
      <c r="C1401" s="57" t="inlineStr">
        <is>
          <t>Location</t>
        </is>
      </c>
      <c r="D1401" s="57" t="inlineStr"/>
      <c r="E1401" s="57" t="inlineStr">
        <is>
          <t>South Farm</t>
        </is>
      </c>
      <c r="F1401" s="57" t="inlineStr">
        <is>
          <t>forced_from_sheet_name</t>
        </is>
      </c>
    </row>
    <row r="1402" ht="25" customHeight="1" s="55">
      <c r="A1402" s="57" t="inlineStr">
        <is>
          <t>Second_lex_Aug19_Nam</t>
        </is>
      </c>
      <c r="B1402" s="57" t="n">
        <v>25</v>
      </c>
      <c r="C1402" s="57" t="inlineStr">
        <is>
          <t>Harvest</t>
        </is>
      </c>
      <c r="D1402" s="57" t="inlineStr"/>
      <c r="E1402" s="57" t="inlineStr">
        <is>
          <t>Fourth</t>
        </is>
      </c>
      <c r="F1402" s="57" t="inlineStr">
        <is>
          <t>forced_from_sheet_name</t>
        </is>
      </c>
    </row>
    <row r="1403" ht="25" customHeight="1" s="55">
      <c r="A1403" s="57" t="inlineStr">
        <is>
          <t>Second_lex_Aug19_Nam</t>
        </is>
      </c>
      <c r="B1403" s="57" t="n">
        <v>25</v>
      </c>
      <c r="C1403" s="57" t="inlineStr">
        <is>
          <t>Date of harvest</t>
        </is>
      </c>
      <c r="D1403" s="57" t="inlineStr"/>
      <c r="E1403" s="57" t="inlineStr">
        <is>
          <t>2026-08-19</t>
        </is>
      </c>
      <c r="F1403" s="57" t="inlineStr">
        <is>
          <t>date_forced:South Farm fourth harvest; data entered by Nam</t>
        </is>
      </c>
    </row>
    <row r="1404" ht="25" customHeight="1" s="55">
      <c r="A1404" s="57" t="inlineStr">
        <is>
          <t>Second_lex_Aug19_Nam</t>
        </is>
      </c>
      <c r="B1404" s="57" t="n">
        <v>26</v>
      </c>
      <c r="C1404" s="57" t="inlineStr">
        <is>
          <t>Genotypes</t>
        </is>
      </c>
      <c r="D1404" s="57" t="inlineStr">
        <is>
          <t>UKY-25-011</t>
        </is>
      </c>
      <c r="E1404" s="57" t="inlineStr">
        <is>
          <t>UKYT-25-011</t>
        </is>
      </c>
      <c r="F1404" s="57" t="inlineStr"/>
    </row>
    <row r="1405" ht="25" customHeight="1" s="55">
      <c r="A1405" s="57" t="inlineStr">
        <is>
          <t>Second_lex_Aug19_Nam</t>
        </is>
      </c>
      <c r="B1405" s="57" t="n">
        <v>26</v>
      </c>
      <c r="C1405" s="57" t="inlineStr">
        <is>
          <t>Location</t>
        </is>
      </c>
      <c r="D1405" s="57" t="inlineStr"/>
      <c r="E1405" s="57" t="inlineStr">
        <is>
          <t>South Farm</t>
        </is>
      </c>
      <c r="F1405" s="57" t="inlineStr">
        <is>
          <t>forced_from_sheet_name</t>
        </is>
      </c>
    </row>
    <row r="1406" ht="25" customHeight="1" s="55">
      <c r="A1406" s="57" t="inlineStr">
        <is>
          <t>Second_lex_Aug19_Nam</t>
        </is>
      </c>
      <c r="B1406" s="57" t="n">
        <v>26</v>
      </c>
      <c r="C1406" s="57" t="inlineStr">
        <is>
          <t>Harvest</t>
        </is>
      </c>
      <c r="D1406" s="57" t="inlineStr"/>
      <c r="E1406" s="57" t="inlineStr">
        <is>
          <t>Fourth</t>
        </is>
      </c>
      <c r="F1406" s="57" t="inlineStr">
        <is>
          <t>forced_from_sheet_name</t>
        </is>
      </c>
    </row>
    <row r="1407" ht="25" customHeight="1" s="55">
      <c r="A1407" s="57" t="inlineStr">
        <is>
          <t>Second_lex_Aug19_Nam</t>
        </is>
      </c>
      <c r="B1407" s="57" t="n">
        <v>26</v>
      </c>
      <c r="C1407" s="57" t="inlineStr">
        <is>
          <t>Date of harvest</t>
        </is>
      </c>
      <c r="D1407" s="57" t="inlineStr"/>
      <c r="E1407" s="57" t="inlineStr">
        <is>
          <t>2026-08-19</t>
        </is>
      </c>
      <c r="F1407" s="57" t="inlineStr">
        <is>
          <t>date_forced:South Farm fourth harvest; data entered by Nam</t>
        </is>
      </c>
    </row>
    <row r="1408" ht="25" customHeight="1" s="55">
      <c r="A1408" s="57" t="inlineStr">
        <is>
          <t>Second_lex_Aug19_Nam</t>
        </is>
      </c>
      <c r="B1408" s="57" t="n">
        <v>27</v>
      </c>
      <c r="C1408" s="57" t="inlineStr">
        <is>
          <t>Genotypes</t>
        </is>
      </c>
      <c r="D1408" s="57" t="inlineStr">
        <is>
          <t>UKY-25-015</t>
        </is>
      </c>
      <c r="E1408" s="57" t="inlineStr">
        <is>
          <t>UKYT-25-015</t>
        </is>
      </c>
      <c r="F1408" s="57" t="inlineStr"/>
    </row>
    <row r="1409" ht="25" customHeight="1" s="55">
      <c r="A1409" s="57" t="inlineStr">
        <is>
          <t>Second_lex_Aug19_Nam</t>
        </is>
      </c>
      <c r="B1409" s="57" t="n">
        <v>27</v>
      </c>
      <c r="C1409" s="57" t="inlineStr">
        <is>
          <t>Location</t>
        </is>
      </c>
      <c r="D1409" s="57" t="inlineStr"/>
      <c r="E1409" s="57" t="inlineStr">
        <is>
          <t>South Farm</t>
        </is>
      </c>
      <c r="F1409" s="57" t="inlineStr">
        <is>
          <t>forced_from_sheet_name</t>
        </is>
      </c>
    </row>
    <row r="1410" ht="25" customHeight="1" s="55">
      <c r="A1410" s="57" t="inlineStr">
        <is>
          <t>Second_lex_Aug19_Nam</t>
        </is>
      </c>
      <c r="B1410" s="57" t="n">
        <v>27</v>
      </c>
      <c r="C1410" s="57" t="inlineStr">
        <is>
          <t>Harvest</t>
        </is>
      </c>
      <c r="D1410" s="57" t="inlineStr"/>
      <c r="E1410" s="57" t="inlineStr">
        <is>
          <t>Fourth</t>
        </is>
      </c>
      <c r="F1410" s="57" t="inlineStr">
        <is>
          <t>forced_from_sheet_name</t>
        </is>
      </c>
    </row>
    <row r="1411" ht="25" customHeight="1" s="55">
      <c r="A1411" s="57" t="inlineStr">
        <is>
          <t>Second_lex_Aug19_Nam</t>
        </is>
      </c>
      <c r="B1411" s="57" t="n">
        <v>27</v>
      </c>
      <c r="C1411" s="57" t="inlineStr">
        <is>
          <t>Date of harvest</t>
        </is>
      </c>
      <c r="D1411" s="57" t="inlineStr"/>
      <c r="E1411" s="57" t="inlineStr">
        <is>
          <t>2026-08-19</t>
        </is>
      </c>
      <c r="F1411" s="57" t="inlineStr">
        <is>
          <t>date_forced:South Farm fourth harvest; data entered by Nam</t>
        </is>
      </c>
    </row>
    <row r="1412" ht="25" customHeight="1" s="55">
      <c r="A1412" s="57" t="inlineStr">
        <is>
          <t>Second_lex_Aug19_Nam</t>
        </is>
      </c>
      <c r="B1412" s="57" t="n">
        <v>28</v>
      </c>
      <c r="C1412" s="57" t="inlineStr">
        <is>
          <t>Genotypes</t>
        </is>
      </c>
      <c r="D1412" s="57" t="inlineStr">
        <is>
          <t>UKY-25-014</t>
        </is>
      </c>
      <c r="E1412" s="57" t="inlineStr">
        <is>
          <t>UKYT-25-014</t>
        </is>
      </c>
      <c r="F1412" s="57" t="inlineStr"/>
    </row>
    <row r="1413" ht="25" customHeight="1" s="55">
      <c r="A1413" s="57" t="inlineStr">
        <is>
          <t>Second_lex_Aug19_Nam</t>
        </is>
      </c>
      <c r="B1413" s="57" t="n">
        <v>28</v>
      </c>
      <c r="C1413" s="57" t="inlineStr">
        <is>
          <t>Location</t>
        </is>
      </c>
      <c r="D1413" s="57" t="inlineStr"/>
      <c r="E1413" s="57" t="inlineStr">
        <is>
          <t>South Farm</t>
        </is>
      </c>
      <c r="F1413" s="57" t="inlineStr">
        <is>
          <t>forced_from_sheet_name</t>
        </is>
      </c>
    </row>
    <row r="1414" ht="25" customHeight="1" s="55">
      <c r="A1414" s="57" t="inlineStr">
        <is>
          <t>Second_lex_Aug19_Nam</t>
        </is>
      </c>
      <c r="B1414" s="57" t="n">
        <v>28</v>
      </c>
      <c r="C1414" s="57" t="inlineStr">
        <is>
          <t>Harvest</t>
        </is>
      </c>
      <c r="D1414" s="57" t="inlineStr"/>
      <c r="E1414" s="57" t="inlineStr">
        <is>
          <t>Fourth</t>
        </is>
      </c>
      <c r="F1414" s="57" t="inlineStr">
        <is>
          <t>forced_from_sheet_name</t>
        </is>
      </c>
    </row>
    <row r="1415" ht="25" customHeight="1" s="55">
      <c r="A1415" s="57" t="inlineStr">
        <is>
          <t>Second_lex_Aug19_Nam</t>
        </is>
      </c>
      <c r="B1415" s="57" t="n">
        <v>28</v>
      </c>
      <c r="C1415" s="57" t="inlineStr">
        <is>
          <t>Date of harvest</t>
        </is>
      </c>
      <c r="D1415" s="57" t="inlineStr"/>
      <c r="E1415" s="57" t="inlineStr">
        <is>
          <t>2026-08-19</t>
        </is>
      </c>
      <c r="F1415" s="57" t="inlineStr">
        <is>
          <t>date_forced:South Farm fourth harvest; data entered by Nam</t>
        </is>
      </c>
    </row>
    <row r="1416" ht="25" customHeight="1" s="55">
      <c r="A1416" s="57" t="inlineStr">
        <is>
          <t>Second_lex_Aug19_Nam</t>
        </is>
      </c>
      <c r="B1416" s="57" t="n">
        <v>29</v>
      </c>
      <c r="C1416" s="57" t="inlineStr">
        <is>
          <t>Genotypes</t>
        </is>
      </c>
      <c r="D1416" s="57" t="inlineStr">
        <is>
          <t>UKY-25-013</t>
        </is>
      </c>
      <c r="E1416" s="57" t="inlineStr">
        <is>
          <t>UKYT-25-013</t>
        </is>
      </c>
      <c r="F1416" s="57" t="inlineStr"/>
    </row>
    <row r="1417" ht="25" customHeight="1" s="55">
      <c r="A1417" s="57" t="inlineStr">
        <is>
          <t>Second_lex_Aug19_Nam</t>
        </is>
      </c>
      <c r="B1417" s="57" t="n">
        <v>29</v>
      </c>
      <c r="C1417" s="57" t="inlineStr">
        <is>
          <t>Location</t>
        </is>
      </c>
      <c r="D1417" s="57" t="inlineStr"/>
      <c r="E1417" s="57" t="inlineStr">
        <is>
          <t>South Farm</t>
        </is>
      </c>
      <c r="F1417" s="57" t="inlineStr">
        <is>
          <t>forced_from_sheet_name</t>
        </is>
      </c>
    </row>
    <row r="1418" ht="25" customHeight="1" s="55">
      <c r="A1418" s="57" t="inlineStr">
        <is>
          <t>Second_lex_Aug19_Nam</t>
        </is>
      </c>
      <c r="B1418" s="57" t="n">
        <v>29</v>
      </c>
      <c r="C1418" s="57" t="inlineStr">
        <is>
          <t>Harvest</t>
        </is>
      </c>
      <c r="D1418" s="57" t="inlineStr"/>
      <c r="E1418" s="57" t="inlineStr">
        <is>
          <t>Fourth</t>
        </is>
      </c>
      <c r="F1418" s="57" t="inlineStr">
        <is>
          <t>forced_from_sheet_name</t>
        </is>
      </c>
    </row>
    <row r="1419" ht="25" customHeight="1" s="55">
      <c r="A1419" s="57" t="inlineStr">
        <is>
          <t>Second_lex_Aug19_Nam</t>
        </is>
      </c>
      <c r="B1419" s="57" t="n">
        <v>29</v>
      </c>
      <c r="C1419" s="57" t="inlineStr">
        <is>
          <t>Date of harvest</t>
        </is>
      </c>
      <c r="D1419" s="57" t="inlineStr"/>
      <c r="E1419" s="57" t="inlineStr">
        <is>
          <t>2026-08-19</t>
        </is>
      </c>
      <c r="F1419" s="57" t="inlineStr">
        <is>
          <t>date_forced:South Farm fourth harvest; data entered by Nam</t>
        </is>
      </c>
    </row>
    <row r="1420" ht="25" customHeight="1" s="55">
      <c r="A1420" s="57" t="inlineStr">
        <is>
          <t>Second_lex_Aug19_Nam</t>
        </is>
      </c>
      <c r="B1420" s="57" t="n">
        <v>30</v>
      </c>
      <c r="C1420" s="57" t="inlineStr">
        <is>
          <t>Genotypes</t>
        </is>
      </c>
      <c r="D1420" s="57" t="inlineStr">
        <is>
          <t>UKY-26-022</t>
        </is>
      </c>
      <c r="E1420" s="57" t="inlineStr">
        <is>
          <t>UKYT-26-022</t>
        </is>
      </c>
      <c r="F1420" s="57" t="inlineStr"/>
    </row>
    <row r="1421" ht="25" customHeight="1" s="55">
      <c r="A1421" s="57" t="inlineStr">
        <is>
          <t>Second_lex_Aug19_Nam</t>
        </is>
      </c>
      <c r="B1421" s="57" t="n">
        <v>30</v>
      </c>
      <c r="C1421" s="57" t="inlineStr">
        <is>
          <t>Location</t>
        </is>
      </c>
      <c r="D1421" s="57" t="inlineStr"/>
      <c r="E1421" s="57" t="inlineStr">
        <is>
          <t>South Farm</t>
        </is>
      </c>
      <c r="F1421" s="57" t="inlineStr">
        <is>
          <t>forced_from_sheet_name</t>
        </is>
      </c>
    </row>
    <row r="1422" ht="25" customHeight="1" s="55">
      <c r="A1422" s="57" t="inlineStr">
        <is>
          <t>Second_lex_Aug19_Nam</t>
        </is>
      </c>
      <c r="B1422" s="57" t="n">
        <v>30</v>
      </c>
      <c r="C1422" s="57" t="inlineStr">
        <is>
          <t>Harvest</t>
        </is>
      </c>
      <c r="D1422" s="57" t="inlineStr"/>
      <c r="E1422" s="57" t="inlineStr">
        <is>
          <t>Fourth</t>
        </is>
      </c>
      <c r="F1422" s="57" t="inlineStr">
        <is>
          <t>forced_from_sheet_name</t>
        </is>
      </c>
    </row>
    <row r="1423" ht="25" customHeight="1" s="55">
      <c r="A1423" s="57" t="inlineStr">
        <is>
          <t>Second_lex_Aug19_Nam</t>
        </is>
      </c>
      <c r="B1423" s="57" t="n">
        <v>30</v>
      </c>
      <c r="C1423" s="57" t="inlineStr">
        <is>
          <t>Date of harvest</t>
        </is>
      </c>
      <c r="D1423" s="57" t="inlineStr"/>
      <c r="E1423" s="57" t="inlineStr">
        <is>
          <t>2026-08-19</t>
        </is>
      </c>
      <c r="F1423" s="57" t="inlineStr">
        <is>
          <t>date_forced:South Farm fourth harvest; data entered by Nam</t>
        </is>
      </c>
    </row>
    <row r="1424" ht="25" customHeight="1" s="55">
      <c r="A1424" s="57" t="inlineStr">
        <is>
          <t>Second_lex_Aug19_Nam</t>
        </is>
      </c>
      <c r="B1424" s="57" t="n">
        <v>31</v>
      </c>
      <c r="C1424" s="57" t="inlineStr">
        <is>
          <t>Genotypes</t>
        </is>
      </c>
      <c r="D1424" s="57" t="inlineStr">
        <is>
          <t>UKY-25-016</t>
        </is>
      </c>
      <c r="E1424" s="57" t="inlineStr">
        <is>
          <t>UKYT-25-016</t>
        </is>
      </c>
      <c r="F1424" s="57" t="inlineStr"/>
    </row>
    <row r="1425" ht="25" customHeight="1" s="55">
      <c r="A1425" s="57" t="inlineStr">
        <is>
          <t>Second_lex_Aug19_Nam</t>
        </is>
      </c>
      <c r="B1425" s="57" t="n">
        <v>31</v>
      </c>
      <c r="C1425" s="57" t="inlineStr">
        <is>
          <t>Location</t>
        </is>
      </c>
      <c r="D1425" s="57" t="inlineStr"/>
      <c r="E1425" s="57" t="inlineStr">
        <is>
          <t>South Farm</t>
        </is>
      </c>
      <c r="F1425" s="57" t="inlineStr">
        <is>
          <t>forced_from_sheet_name</t>
        </is>
      </c>
    </row>
    <row r="1426" ht="25" customHeight="1" s="55">
      <c r="A1426" s="57" t="inlineStr">
        <is>
          <t>Second_lex_Aug19_Nam</t>
        </is>
      </c>
      <c r="B1426" s="57" t="n">
        <v>31</v>
      </c>
      <c r="C1426" s="57" t="inlineStr">
        <is>
          <t>Harvest</t>
        </is>
      </c>
      <c r="D1426" s="57" t="inlineStr"/>
      <c r="E1426" s="57" t="inlineStr">
        <is>
          <t>Fourth</t>
        </is>
      </c>
      <c r="F1426" s="57" t="inlineStr">
        <is>
          <t>forced_from_sheet_name</t>
        </is>
      </c>
    </row>
    <row r="1427" ht="25" customHeight="1" s="55">
      <c r="A1427" s="57" t="inlineStr">
        <is>
          <t>Second_lex_Aug19_Nam</t>
        </is>
      </c>
      <c r="B1427" s="57" t="n">
        <v>31</v>
      </c>
      <c r="C1427" s="57" t="inlineStr">
        <is>
          <t>Date of harvest</t>
        </is>
      </c>
      <c r="D1427" s="57" t="inlineStr"/>
      <c r="E1427" s="57" t="inlineStr">
        <is>
          <t>2026-08-19</t>
        </is>
      </c>
      <c r="F1427" s="57" t="inlineStr">
        <is>
          <t>date_forced:South Farm fourth harvest; data entered by Nam</t>
        </is>
      </c>
    </row>
    <row r="1428" ht="25" customHeight="1" s="55">
      <c r="A1428" s="57" t="inlineStr">
        <is>
          <t>Second_lex_Aug19_Nam</t>
        </is>
      </c>
      <c r="B1428" s="57" t="n">
        <v>32</v>
      </c>
      <c r="C1428" s="57" t="inlineStr">
        <is>
          <t>Genotypes</t>
        </is>
      </c>
      <c r="D1428" s="57" t="inlineStr">
        <is>
          <t>UKY-25-010</t>
        </is>
      </c>
      <c r="E1428" s="57" t="inlineStr">
        <is>
          <t>UKYT-25-010</t>
        </is>
      </c>
      <c r="F1428" s="57" t="inlineStr"/>
    </row>
    <row r="1429" ht="25" customHeight="1" s="55">
      <c r="A1429" s="57" t="inlineStr">
        <is>
          <t>Second_lex_Aug19_Nam</t>
        </is>
      </c>
      <c r="B1429" s="57" t="n">
        <v>32</v>
      </c>
      <c r="C1429" s="57" t="inlineStr">
        <is>
          <t>Location</t>
        </is>
      </c>
      <c r="D1429" s="57" t="inlineStr"/>
      <c r="E1429" s="57" t="inlineStr">
        <is>
          <t>South Farm</t>
        </is>
      </c>
      <c r="F1429" s="57" t="inlineStr">
        <is>
          <t>forced_from_sheet_name</t>
        </is>
      </c>
    </row>
    <row r="1430" ht="25" customHeight="1" s="55">
      <c r="A1430" s="57" t="inlineStr">
        <is>
          <t>Second_lex_Aug19_Nam</t>
        </is>
      </c>
      <c r="B1430" s="57" t="n">
        <v>32</v>
      </c>
      <c r="C1430" s="57" t="inlineStr">
        <is>
          <t>Harvest</t>
        </is>
      </c>
      <c r="D1430" s="57" t="inlineStr"/>
      <c r="E1430" s="57" t="inlineStr">
        <is>
          <t>Fourth</t>
        </is>
      </c>
      <c r="F1430" s="57" t="inlineStr">
        <is>
          <t>forced_from_sheet_name</t>
        </is>
      </c>
    </row>
    <row r="1431" ht="25" customHeight="1" s="55">
      <c r="A1431" s="57" t="inlineStr">
        <is>
          <t>Second_lex_Aug19_Nam</t>
        </is>
      </c>
      <c r="B1431" s="57" t="n">
        <v>32</v>
      </c>
      <c r="C1431" s="57" t="inlineStr">
        <is>
          <t>Date of harvest</t>
        </is>
      </c>
      <c r="D1431" s="57" t="inlineStr"/>
      <c r="E1431" s="57" t="inlineStr">
        <is>
          <t>2026-08-19</t>
        </is>
      </c>
      <c r="F1431" s="57" t="inlineStr">
        <is>
          <t>date_forced:South Farm fourth harvest; data entered by Nam</t>
        </is>
      </c>
    </row>
    <row r="1432" ht="25" customHeight="1" s="55">
      <c r="A1432" s="57" t="inlineStr">
        <is>
          <t>Second_lex_Aug19_Nam</t>
        </is>
      </c>
      <c r="B1432" s="57" t="n">
        <v>33</v>
      </c>
      <c r="C1432" s="57" t="inlineStr">
        <is>
          <t>Genotypes</t>
        </is>
      </c>
      <c r="D1432" s="57" t="inlineStr">
        <is>
          <t>UKY-25-018</t>
        </is>
      </c>
      <c r="E1432" s="57" t="inlineStr">
        <is>
          <t>UKYT-25-018</t>
        </is>
      </c>
      <c r="F1432" s="57" t="inlineStr"/>
    </row>
    <row r="1433" ht="25" customHeight="1" s="55">
      <c r="A1433" s="57" t="inlineStr">
        <is>
          <t>Second_lex_Aug19_Nam</t>
        </is>
      </c>
      <c r="B1433" s="57" t="n">
        <v>33</v>
      </c>
      <c r="C1433" s="57" t="inlineStr">
        <is>
          <t>Location</t>
        </is>
      </c>
      <c r="D1433" s="57" t="inlineStr"/>
      <c r="E1433" s="57" t="inlineStr">
        <is>
          <t>South Farm</t>
        </is>
      </c>
      <c r="F1433" s="57" t="inlineStr">
        <is>
          <t>forced_from_sheet_name</t>
        </is>
      </c>
    </row>
    <row r="1434" ht="25" customHeight="1" s="55">
      <c r="A1434" s="57" t="inlineStr">
        <is>
          <t>Second_lex_Aug19_Nam</t>
        </is>
      </c>
      <c r="B1434" s="57" t="n">
        <v>33</v>
      </c>
      <c r="C1434" s="57" t="inlineStr">
        <is>
          <t>Harvest</t>
        </is>
      </c>
      <c r="D1434" s="57" t="inlineStr"/>
      <c r="E1434" s="57" t="inlineStr">
        <is>
          <t>Fourth</t>
        </is>
      </c>
      <c r="F1434" s="57" t="inlineStr">
        <is>
          <t>forced_from_sheet_name</t>
        </is>
      </c>
    </row>
    <row r="1435" ht="25" customHeight="1" s="55">
      <c r="A1435" s="57" t="inlineStr">
        <is>
          <t>Second_lex_Aug19_Nam</t>
        </is>
      </c>
      <c r="B1435" s="57" t="n">
        <v>33</v>
      </c>
      <c r="C1435" s="57" t="inlineStr">
        <is>
          <t>Date of harvest</t>
        </is>
      </c>
      <c r="D1435" s="57" t="inlineStr"/>
      <c r="E1435" s="57" t="inlineStr">
        <is>
          <t>2026-08-19</t>
        </is>
      </c>
      <c r="F1435" s="57" t="inlineStr">
        <is>
          <t>date_forced:South Farm fourth harvest; data entered by Nam</t>
        </is>
      </c>
    </row>
    <row r="1436" ht="25" customHeight="1" s="55">
      <c r="A1436" s="57" t="inlineStr">
        <is>
          <t>Second_lex_Aug19_Nam</t>
        </is>
      </c>
      <c r="B1436" s="57" t="n">
        <v>34</v>
      </c>
      <c r="C1436" s="57" t="inlineStr">
        <is>
          <t>Genotypes</t>
        </is>
      </c>
      <c r="D1436" s="57" t="inlineStr">
        <is>
          <t>UKY-26-008</t>
        </is>
      </c>
      <c r="E1436" s="57" t="inlineStr">
        <is>
          <t>UKYT-26-008</t>
        </is>
      </c>
      <c r="F1436" s="57" t="inlineStr"/>
    </row>
    <row r="1437" ht="25" customHeight="1" s="55">
      <c r="A1437" s="57" t="inlineStr">
        <is>
          <t>Second_lex_Aug19_Nam</t>
        </is>
      </c>
      <c r="B1437" s="57" t="n">
        <v>34</v>
      </c>
      <c r="C1437" s="57" t="inlineStr">
        <is>
          <t>Location</t>
        </is>
      </c>
      <c r="D1437" s="57" t="inlineStr"/>
      <c r="E1437" s="57" t="inlineStr">
        <is>
          <t>South Farm</t>
        </is>
      </c>
      <c r="F1437" s="57" t="inlineStr">
        <is>
          <t>forced_from_sheet_name</t>
        </is>
      </c>
    </row>
    <row r="1438" ht="25" customHeight="1" s="55">
      <c r="A1438" s="57" t="inlineStr">
        <is>
          <t>Second_lex_Aug19_Nam</t>
        </is>
      </c>
      <c r="B1438" s="57" t="n">
        <v>34</v>
      </c>
      <c r="C1438" s="57" t="inlineStr">
        <is>
          <t>Harvest</t>
        </is>
      </c>
      <c r="D1438" s="57" t="inlineStr"/>
      <c r="E1438" s="57" t="inlineStr">
        <is>
          <t>Fourth</t>
        </is>
      </c>
      <c r="F1438" s="57" t="inlineStr">
        <is>
          <t>forced_from_sheet_name</t>
        </is>
      </c>
    </row>
    <row r="1439" ht="25" customHeight="1" s="55">
      <c r="A1439" s="57" t="inlineStr">
        <is>
          <t>Second_lex_Aug19_Nam</t>
        </is>
      </c>
      <c r="B1439" s="57" t="n">
        <v>34</v>
      </c>
      <c r="C1439" s="57" t="inlineStr">
        <is>
          <t>Date of harvest</t>
        </is>
      </c>
      <c r="D1439" s="57" t="inlineStr"/>
      <c r="E1439" s="57" t="inlineStr">
        <is>
          <t>2026-08-19</t>
        </is>
      </c>
      <c r="F1439" s="57" t="inlineStr">
        <is>
          <t>date_forced:South Farm fourth harvest; data entered by Nam</t>
        </is>
      </c>
    </row>
    <row r="1440" ht="25" customHeight="1" s="55">
      <c r="A1440" s="57" t="inlineStr">
        <is>
          <t>Second_lex_Aug19_Nam</t>
        </is>
      </c>
      <c r="B1440" s="57" t="n">
        <v>35</v>
      </c>
      <c r="C1440" s="57" t="inlineStr">
        <is>
          <t>Genotypes</t>
        </is>
      </c>
      <c r="D1440" s="57" t="inlineStr">
        <is>
          <t>UKY-25-017</t>
        </is>
      </c>
      <c r="E1440" s="57" t="inlineStr">
        <is>
          <t>UKYT-25-017</t>
        </is>
      </c>
      <c r="F1440" s="57" t="inlineStr"/>
    </row>
    <row r="1441" ht="25" customHeight="1" s="55">
      <c r="A1441" s="57" t="inlineStr">
        <is>
          <t>Second_lex_Aug19_Nam</t>
        </is>
      </c>
      <c r="B1441" s="57" t="n">
        <v>35</v>
      </c>
      <c r="C1441" s="57" t="inlineStr">
        <is>
          <t>Location</t>
        </is>
      </c>
      <c r="D1441" s="57" t="inlineStr"/>
      <c r="E1441" s="57" t="inlineStr">
        <is>
          <t>South Farm</t>
        </is>
      </c>
      <c r="F1441" s="57" t="inlineStr">
        <is>
          <t>forced_from_sheet_name</t>
        </is>
      </c>
    </row>
    <row r="1442" ht="25" customHeight="1" s="55">
      <c r="A1442" s="57" t="inlineStr">
        <is>
          <t>Second_lex_Aug19_Nam</t>
        </is>
      </c>
      <c r="B1442" s="57" t="n">
        <v>35</v>
      </c>
      <c r="C1442" s="57" t="inlineStr">
        <is>
          <t>Harvest</t>
        </is>
      </c>
      <c r="D1442" s="57" t="inlineStr"/>
      <c r="E1442" s="57" t="inlineStr">
        <is>
          <t>Fourth</t>
        </is>
      </c>
      <c r="F1442" s="57" t="inlineStr">
        <is>
          <t>forced_from_sheet_name</t>
        </is>
      </c>
    </row>
    <row r="1443" ht="25" customHeight="1" s="55">
      <c r="A1443" s="57" t="inlineStr">
        <is>
          <t>Second_lex_Aug19_Nam</t>
        </is>
      </c>
      <c r="B1443" s="57" t="n">
        <v>35</v>
      </c>
      <c r="C1443" s="57" t="inlineStr">
        <is>
          <t>Date of harvest</t>
        </is>
      </c>
      <c r="D1443" s="57" t="inlineStr"/>
      <c r="E1443" s="57" t="inlineStr">
        <is>
          <t>2026-08-19</t>
        </is>
      </c>
      <c r="F1443" s="57" t="inlineStr">
        <is>
          <t>date_forced:South Farm fourth harvest; data entered by Nam</t>
        </is>
      </c>
    </row>
    <row r="1444" ht="25" customHeight="1" s="55">
      <c r="A1444" s="57" t="inlineStr">
        <is>
          <t>Second_lex_Aug19_Nam</t>
        </is>
      </c>
      <c r="B1444" s="57" t="n">
        <v>36</v>
      </c>
      <c r="C1444" s="57" t="inlineStr">
        <is>
          <t>Genotypes</t>
        </is>
      </c>
      <c r="D1444" s="57" t="inlineStr">
        <is>
          <t>UKY-26-015</t>
        </is>
      </c>
      <c r="E1444" s="57" t="inlineStr">
        <is>
          <t>UKYT-26-015</t>
        </is>
      </c>
      <c r="F1444" s="57" t="inlineStr"/>
    </row>
    <row r="1445" ht="25" customHeight="1" s="55">
      <c r="A1445" s="57" t="inlineStr">
        <is>
          <t>Second_lex_Aug19_Nam</t>
        </is>
      </c>
      <c r="B1445" s="57" t="n">
        <v>36</v>
      </c>
      <c r="C1445" s="57" t="inlineStr">
        <is>
          <t>Location</t>
        </is>
      </c>
      <c r="D1445" s="57" t="inlineStr"/>
      <c r="E1445" s="57" t="inlineStr">
        <is>
          <t>South Farm</t>
        </is>
      </c>
      <c r="F1445" s="57" t="inlineStr">
        <is>
          <t>forced_from_sheet_name</t>
        </is>
      </c>
    </row>
    <row r="1446" ht="25" customHeight="1" s="55">
      <c r="A1446" s="57" t="inlineStr">
        <is>
          <t>Second_lex_Aug19_Nam</t>
        </is>
      </c>
      <c r="B1446" s="57" t="n">
        <v>36</v>
      </c>
      <c r="C1446" s="57" t="inlineStr">
        <is>
          <t>Harvest</t>
        </is>
      </c>
      <c r="D1446" s="57" t="inlineStr"/>
      <c r="E1446" s="57" t="inlineStr">
        <is>
          <t>Fourth</t>
        </is>
      </c>
      <c r="F1446" s="57" t="inlineStr">
        <is>
          <t>forced_from_sheet_name</t>
        </is>
      </c>
    </row>
    <row r="1447" ht="25" customHeight="1" s="55">
      <c r="A1447" s="57" t="inlineStr">
        <is>
          <t>Second_lex_Aug19_Nam</t>
        </is>
      </c>
      <c r="B1447" s="57" t="n">
        <v>36</v>
      </c>
      <c r="C1447" s="57" t="inlineStr">
        <is>
          <t>Date of harvest</t>
        </is>
      </c>
      <c r="D1447" s="57" t="inlineStr"/>
      <c r="E1447" s="57" t="inlineStr">
        <is>
          <t>2026-08-19</t>
        </is>
      </c>
      <c r="F1447" s="57" t="inlineStr">
        <is>
          <t>date_forced:South Farm fourth harvest; data entered by Nam</t>
        </is>
      </c>
    </row>
    <row r="1448" ht="25" customHeight="1" s="55">
      <c r="A1448" s="57" t="inlineStr">
        <is>
          <t>Second_lex_Aug19_Nam</t>
        </is>
      </c>
      <c r="B1448" s="57" t="n">
        <v>37</v>
      </c>
      <c r="C1448" s="57" t="inlineStr">
        <is>
          <t>Genotypes</t>
        </is>
      </c>
      <c r="D1448" s="57" t="inlineStr">
        <is>
          <t>UKY-26-014</t>
        </is>
      </c>
      <c r="E1448" s="57" t="inlineStr">
        <is>
          <t>UKYT-26-014</t>
        </is>
      </c>
      <c r="F1448" s="57" t="inlineStr"/>
    </row>
    <row r="1449" ht="25" customHeight="1" s="55">
      <c r="A1449" s="57" t="inlineStr">
        <is>
          <t>Second_lex_Aug19_Nam</t>
        </is>
      </c>
      <c r="B1449" s="57" t="n">
        <v>37</v>
      </c>
      <c r="C1449" s="57" t="inlineStr">
        <is>
          <t>Location</t>
        </is>
      </c>
      <c r="D1449" s="57" t="inlineStr"/>
      <c r="E1449" s="57" t="inlineStr">
        <is>
          <t>South Farm</t>
        </is>
      </c>
      <c r="F1449" s="57" t="inlineStr">
        <is>
          <t>forced_from_sheet_name</t>
        </is>
      </c>
    </row>
    <row r="1450" ht="25" customHeight="1" s="55">
      <c r="A1450" s="57" t="inlineStr">
        <is>
          <t>Second_lex_Aug19_Nam</t>
        </is>
      </c>
      <c r="B1450" s="57" t="n">
        <v>37</v>
      </c>
      <c r="C1450" s="57" t="inlineStr">
        <is>
          <t>Harvest</t>
        </is>
      </c>
      <c r="D1450" s="57" t="inlineStr"/>
      <c r="E1450" s="57" t="inlineStr">
        <is>
          <t>Fourth</t>
        </is>
      </c>
      <c r="F1450" s="57" t="inlineStr">
        <is>
          <t>forced_from_sheet_name</t>
        </is>
      </c>
    </row>
    <row r="1451" ht="25" customHeight="1" s="55">
      <c r="A1451" s="57" t="inlineStr">
        <is>
          <t>Second_lex_Aug19_Nam</t>
        </is>
      </c>
      <c r="B1451" s="57" t="n">
        <v>37</v>
      </c>
      <c r="C1451" s="57" t="inlineStr">
        <is>
          <t>Date of harvest</t>
        </is>
      </c>
      <c r="D1451" s="57" t="inlineStr"/>
      <c r="E1451" s="57" t="inlineStr">
        <is>
          <t>2026-08-19</t>
        </is>
      </c>
      <c r="F1451" s="57" t="inlineStr">
        <is>
          <t>date_forced:South Farm fourth harvest; data entered by Nam</t>
        </is>
      </c>
    </row>
    <row r="1452" ht="25" customHeight="1" s="55">
      <c r="A1452" s="57" t="inlineStr">
        <is>
          <t>Second_lex_Aug19_Nam</t>
        </is>
      </c>
      <c r="B1452" s="57" t="n">
        <v>38</v>
      </c>
      <c r="C1452" s="57" t="inlineStr">
        <is>
          <t>Genotypes</t>
        </is>
      </c>
      <c r="D1452" s="57" t="inlineStr">
        <is>
          <t>UKY-26-009</t>
        </is>
      </c>
      <c r="E1452" s="57" t="inlineStr">
        <is>
          <t>UKYT-26-009</t>
        </is>
      </c>
      <c r="F1452" s="57" t="inlineStr"/>
    </row>
    <row r="1453" ht="25" customHeight="1" s="55">
      <c r="A1453" s="57" t="inlineStr">
        <is>
          <t>Second_lex_Aug19_Nam</t>
        </is>
      </c>
      <c r="B1453" s="57" t="n">
        <v>38</v>
      </c>
      <c r="C1453" s="57" t="inlineStr">
        <is>
          <t>Location</t>
        </is>
      </c>
      <c r="D1453" s="57" t="inlineStr"/>
      <c r="E1453" s="57" t="inlineStr">
        <is>
          <t>South Farm</t>
        </is>
      </c>
      <c r="F1453" s="57" t="inlineStr">
        <is>
          <t>forced_from_sheet_name</t>
        </is>
      </c>
    </row>
    <row r="1454" ht="25" customHeight="1" s="55">
      <c r="A1454" s="57" t="inlineStr">
        <is>
          <t>Second_lex_Aug19_Nam</t>
        </is>
      </c>
      <c r="B1454" s="57" t="n">
        <v>38</v>
      </c>
      <c r="C1454" s="57" t="inlineStr">
        <is>
          <t>Harvest</t>
        </is>
      </c>
      <c r="D1454" s="57" t="inlineStr"/>
      <c r="E1454" s="57" t="inlineStr">
        <is>
          <t>Fourth</t>
        </is>
      </c>
      <c r="F1454" s="57" t="inlineStr">
        <is>
          <t>forced_from_sheet_name</t>
        </is>
      </c>
    </row>
    <row r="1455" ht="25" customHeight="1" s="55">
      <c r="A1455" s="57" t="inlineStr">
        <is>
          <t>Second_lex_Aug19_Nam</t>
        </is>
      </c>
      <c r="B1455" s="57" t="n">
        <v>38</v>
      </c>
      <c r="C1455" s="57" t="inlineStr">
        <is>
          <t>Date of harvest</t>
        </is>
      </c>
      <c r="D1455" s="57" t="inlineStr"/>
      <c r="E1455" s="57" t="inlineStr">
        <is>
          <t>2026-08-19</t>
        </is>
      </c>
      <c r="F1455" s="57" t="inlineStr">
        <is>
          <t>date_forced:South Farm fourth harvest; data entered by Nam</t>
        </is>
      </c>
    </row>
    <row r="1456" ht="25" customHeight="1" s="55">
      <c r="A1456" s="57" t="inlineStr">
        <is>
          <t>Second_lex_Aug19_Nam</t>
        </is>
      </c>
      <c r="B1456" s="57" t="n">
        <v>39</v>
      </c>
      <c r="C1456" s="57" t="inlineStr">
        <is>
          <t>Genotypes</t>
        </is>
      </c>
      <c r="D1456" s="57" t="inlineStr">
        <is>
          <t>UKY-26-002</t>
        </is>
      </c>
      <c r="E1456" s="57" t="inlineStr">
        <is>
          <t>UKYT-26-002</t>
        </is>
      </c>
      <c r="F1456" s="57" t="inlineStr"/>
    </row>
    <row r="1457" ht="25" customHeight="1" s="55">
      <c r="A1457" s="57" t="inlineStr">
        <is>
          <t>Second_lex_Aug19_Nam</t>
        </is>
      </c>
      <c r="B1457" s="57" t="n">
        <v>39</v>
      </c>
      <c r="C1457" s="57" t="inlineStr">
        <is>
          <t>Location</t>
        </is>
      </c>
      <c r="D1457" s="57" t="inlineStr"/>
      <c r="E1457" s="57" t="inlineStr">
        <is>
          <t>South Farm</t>
        </is>
      </c>
      <c r="F1457" s="57" t="inlineStr">
        <is>
          <t>forced_from_sheet_name</t>
        </is>
      </c>
    </row>
    <row r="1458" ht="25" customHeight="1" s="55">
      <c r="A1458" s="57" t="inlineStr">
        <is>
          <t>Second_lex_Aug19_Nam</t>
        </is>
      </c>
      <c r="B1458" s="57" t="n">
        <v>39</v>
      </c>
      <c r="C1458" s="57" t="inlineStr">
        <is>
          <t>Harvest</t>
        </is>
      </c>
      <c r="D1458" s="57" t="inlineStr"/>
      <c r="E1458" s="57" t="inlineStr">
        <is>
          <t>Fourth</t>
        </is>
      </c>
      <c r="F1458" s="57" t="inlineStr">
        <is>
          <t>forced_from_sheet_name</t>
        </is>
      </c>
    </row>
    <row r="1459" ht="25" customHeight="1" s="55">
      <c r="A1459" s="57" t="inlineStr">
        <is>
          <t>Second_lex_Aug19_Nam</t>
        </is>
      </c>
      <c r="B1459" s="57" t="n">
        <v>39</v>
      </c>
      <c r="C1459" s="57" t="inlineStr">
        <is>
          <t>Date of harvest</t>
        </is>
      </c>
      <c r="D1459" s="57" t="inlineStr"/>
      <c r="E1459" s="57" t="inlineStr">
        <is>
          <t>2026-08-19</t>
        </is>
      </c>
      <c r="F1459" s="57" t="inlineStr">
        <is>
          <t>date_forced:South Farm fourth harvest; data entered by Nam</t>
        </is>
      </c>
    </row>
    <row r="1460" ht="25" customHeight="1" s="55">
      <c r="A1460" s="57" t="inlineStr">
        <is>
          <t>Second_lex_Aug19_Nam</t>
        </is>
      </c>
      <c r="B1460" s="57" t="n">
        <v>40</v>
      </c>
      <c r="C1460" s="57" t="inlineStr">
        <is>
          <t>Genotypes</t>
        </is>
      </c>
      <c r="D1460" s="57" t="inlineStr">
        <is>
          <t>UKY-26-016</t>
        </is>
      </c>
      <c r="E1460" s="57" t="inlineStr">
        <is>
          <t>UKYT-26-016</t>
        </is>
      </c>
      <c r="F1460" s="57" t="inlineStr"/>
    </row>
    <row r="1461" ht="25" customHeight="1" s="55">
      <c r="A1461" s="57" t="inlineStr">
        <is>
          <t>Second_lex_Aug19_Nam</t>
        </is>
      </c>
      <c r="B1461" s="57" t="n">
        <v>40</v>
      </c>
      <c r="C1461" s="57" t="inlineStr">
        <is>
          <t>Location</t>
        </is>
      </c>
      <c r="D1461" s="57" t="inlineStr"/>
      <c r="E1461" s="57" t="inlineStr">
        <is>
          <t>South Farm</t>
        </is>
      </c>
      <c r="F1461" s="57" t="inlineStr">
        <is>
          <t>forced_from_sheet_name</t>
        </is>
      </c>
    </row>
    <row r="1462" ht="25" customHeight="1" s="55">
      <c r="A1462" s="57" t="inlineStr">
        <is>
          <t>Second_lex_Aug19_Nam</t>
        </is>
      </c>
      <c r="B1462" s="57" t="n">
        <v>40</v>
      </c>
      <c r="C1462" s="57" t="inlineStr">
        <is>
          <t>Harvest</t>
        </is>
      </c>
      <c r="D1462" s="57" t="inlineStr"/>
      <c r="E1462" s="57" t="inlineStr">
        <is>
          <t>Fourth</t>
        </is>
      </c>
      <c r="F1462" s="57" t="inlineStr">
        <is>
          <t>forced_from_sheet_name</t>
        </is>
      </c>
    </row>
    <row r="1463" ht="25" customHeight="1" s="55">
      <c r="A1463" s="57" t="inlineStr">
        <is>
          <t>Second_lex_Aug19_Nam</t>
        </is>
      </c>
      <c r="B1463" s="57" t="n">
        <v>40</v>
      </c>
      <c r="C1463" s="57" t="inlineStr">
        <is>
          <t>Date of harvest</t>
        </is>
      </c>
      <c r="D1463" s="57" t="inlineStr"/>
      <c r="E1463" s="57" t="inlineStr">
        <is>
          <t>2026-08-19</t>
        </is>
      </c>
      <c r="F1463" s="57" t="inlineStr">
        <is>
          <t>date_forced:South Farm fourth harvest; data entered by Nam</t>
        </is>
      </c>
    </row>
    <row r="1464" ht="25" customHeight="1" s="55">
      <c r="A1464" s="57" t="inlineStr">
        <is>
          <t>Second_lex_Aug19_Nam</t>
        </is>
      </c>
      <c r="B1464" s="57" t="n">
        <v>41</v>
      </c>
      <c r="C1464" s="57" t="inlineStr">
        <is>
          <t>Genotypes</t>
        </is>
      </c>
      <c r="D1464" s="57" t="inlineStr">
        <is>
          <t>UKY-26-006</t>
        </is>
      </c>
      <c r="E1464" s="57" t="inlineStr">
        <is>
          <t>UKYT-26-006</t>
        </is>
      </c>
      <c r="F1464" s="57" t="inlineStr"/>
    </row>
    <row r="1465" ht="25" customHeight="1" s="55">
      <c r="A1465" s="57" t="inlineStr">
        <is>
          <t>Second_lex_Aug19_Nam</t>
        </is>
      </c>
      <c r="B1465" s="57" t="n">
        <v>41</v>
      </c>
      <c r="C1465" s="57" t="inlineStr">
        <is>
          <t>Location</t>
        </is>
      </c>
      <c r="D1465" s="57" t="inlineStr">
        <is>
          <t>Grape</t>
        </is>
      </c>
      <c r="E1465" s="57" t="inlineStr">
        <is>
          <t>South Farm</t>
        </is>
      </c>
      <c r="F1465" s="57" t="inlineStr">
        <is>
          <t>forced_from_sheet_name</t>
        </is>
      </c>
    </row>
    <row r="1466" ht="25" customHeight="1" s="55">
      <c r="A1466" s="57" t="inlineStr">
        <is>
          <t>Second_lex_Aug19_Nam</t>
        </is>
      </c>
      <c r="B1466" s="57" t="n">
        <v>41</v>
      </c>
      <c r="C1466" s="57" t="inlineStr">
        <is>
          <t>Harvest</t>
        </is>
      </c>
      <c r="D1466" s="57" t="inlineStr"/>
      <c r="E1466" s="57" t="inlineStr">
        <is>
          <t>Fourth</t>
        </is>
      </c>
      <c r="F1466" s="57" t="inlineStr">
        <is>
          <t>forced_from_sheet_name</t>
        </is>
      </c>
    </row>
    <row r="1467" ht="25" customHeight="1" s="55">
      <c r="A1467" s="57" t="inlineStr">
        <is>
          <t>Second_lex_Aug19_Nam</t>
        </is>
      </c>
      <c r="B1467" s="57" t="n">
        <v>41</v>
      </c>
      <c r="C1467" s="57" t="inlineStr">
        <is>
          <t>Date of harvest</t>
        </is>
      </c>
      <c r="D1467" s="57" t="inlineStr"/>
      <c r="E1467" s="57" t="inlineStr">
        <is>
          <t>2026-08-19</t>
        </is>
      </c>
      <c r="F1467" s="57" t="inlineStr">
        <is>
          <t>date_forced:South Farm fourth harvest; data entered by Nam</t>
        </is>
      </c>
    </row>
    <row r="1468" ht="25" customHeight="1" s="55">
      <c r="A1468" s="57" t="inlineStr">
        <is>
          <t>Second_lex_Aug19_Nam</t>
        </is>
      </c>
      <c r="B1468" s="57" t="n">
        <v>42</v>
      </c>
      <c r="C1468" s="57" t="inlineStr">
        <is>
          <t>Genotypes</t>
        </is>
      </c>
      <c r="D1468" s="57" t="inlineStr">
        <is>
          <t>UKY-26-005</t>
        </is>
      </c>
      <c r="E1468" s="57" t="inlineStr">
        <is>
          <t>UKYT-26-005</t>
        </is>
      </c>
      <c r="F1468" s="57" t="inlineStr"/>
    </row>
    <row r="1469" ht="25" customHeight="1" s="55">
      <c r="A1469" s="57" t="inlineStr">
        <is>
          <t>Second_lex_Aug19_Nam</t>
        </is>
      </c>
      <c r="B1469" s="57" t="n">
        <v>42</v>
      </c>
      <c r="C1469" s="57" t="inlineStr">
        <is>
          <t>Location</t>
        </is>
      </c>
      <c r="D1469" s="57" t="inlineStr"/>
      <c r="E1469" s="57" t="inlineStr">
        <is>
          <t>South Farm</t>
        </is>
      </c>
      <c r="F1469" s="57" t="inlineStr">
        <is>
          <t>forced_from_sheet_name</t>
        </is>
      </c>
    </row>
    <row r="1470" ht="25" customHeight="1" s="55">
      <c r="A1470" s="57" t="inlineStr">
        <is>
          <t>Second_lex_Aug19_Nam</t>
        </is>
      </c>
      <c r="B1470" s="57" t="n">
        <v>42</v>
      </c>
      <c r="C1470" s="57" t="inlineStr">
        <is>
          <t>Harvest</t>
        </is>
      </c>
      <c r="D1470" s="57" t="inlineStr"/>
      <c r="E1470" s="57" t="inlineStr">
        <is>
          <t>Fourth</t>
        </is>
      </c>
      <c r="F1470" s="57" t="inlineStr">
        <is>
          <t>forced_from_sheet_name</t>
        </is>
      </c>
    </row>
    <row r="1471" ht="25" customHeight="1" s="55">
      <c r="A1471" s="57" t="inlineStr">
        <is>
          <t>Second_lex_Aug19_Nam</t>
        </is>
      </c>
      <c r="B1471" s="57" t="n">
        <v>42</v>
      </c>
      <c r="C1471" s="57" t="inlineStr">
        <is>
          <t>Date of harvest</t>
        </is>
      </c>
      <c r="D1471" s="57" t="inlineStr"/>
      <c r="E1471" s="57" t="inlineStr">
        <is>
          <t>2026-08-19</t>
        </is>
      </c>
      <c r="F1471" s="57" t="inlineStr">
        <is>
          <t>date_forced:South Farm fourth harvest; data entered by Nam</t>
        </is>
      </c>
    </row>
    <row r="1472" ht="25" customHeight="1" s="55">
      <c r="A1472" s="57" t="inlineStr">
        <is>
          <t>Second_lex_Aug19_Nam</t>
        </is>
      </c>
      <c r="B1472" s="57" t="n">
        <v>43</v>
      </c>
      <c r="C1472" s="57" t="inlineStr">
        <is>
          <t>Genotypes</t>
        </is>
      </c>
      <c r="D1472" s="57" t="inlineStr">
        <is>
          <t>UKY-25-001</t>
        </is>
      </c>
      <c r="E1472" s="57" t="inlineStr">
        <is>
          <t>UKYT-25-001</t>
        </is>
      </c>
      <c r="F1472" s="57" t="inlineStr"/>
    </row>
    <row r="1473" ht="25" customHeight="1" s="55">
      <c r="A1473" s="57" t="inlineStr">
        <is>
          <t>Second_lex_Aug19_Nam</t>
        </is>
      </c>
      <c r="B1473" s="57" t="n">
        <v>43</v>
      </c>
      <c r="C1473" s="57" t="inlineStr">
        <is>
          <t>Location</t>
        </is>
      </c>
      <c r="D1473" s="57" t="inlineStr"/>
      <c r="E1473" s="57" t="inlineStr">
        <is>
          <t>South Farm</t>
        </is>
      </c>
      <c r="F1473" s="57" t="inlineStr">
        <is>
          <t>forced_from_sheet_name</t>
        </is>
      </c>
    </row>
    <row r="1474" ht="25" customHeight="1" s="55">
      <c r="A1474" s="57" t="inlineStr">
        <is>
          <t>Second_lex_Aug19_Nam</t>
        </is>
      </c>
      <c r="B1474" s="57" t="n">
        <v>43</v>
      </c>
      <c r="C1474" s="57" t="inlineStr">
        <is>
          <t>Harvest</t>
        </is>
      </c>
      <c r="D1474" s="57" t="inlineStr"/>
      <c r="E1474" s="57" t="inlineStr">
        <is>
          <t>Fourth</t>
        </is>
      </c>
      <c r="F1474" s="57" t="inlineStr">
        <is>
          <t>forced_from_sheet_name</t>
        </is>
      </c>
    </row>
    <row r="1475" ht="25" customHeight="1" s="55">
      <c r="A1475" s="57" t="inlineStr">
        <is>
          <t>Second_lex_Aug19_Nam</t>
        </is>
      </c>
      <c r="B1475" s="57" t="n">
        <v>43</v>
      </c>
      <c r="C1475" s="57" t="inlineStr">
        <is>
          <t>Date of harvest</t>
        </is>
      </c>
      <c r="D1475" s="57" t="inlineStr"/>
      <c r="E1475" s="57" t="inlineStr">
        <is>
          <t>2026-08-19</t>
        </is>
      </c>
      <c r="F1475" s="57" t="inlineStr">
        <is>
          <t>date_forced:South Farm fourth harvest; data entered by Nam</t>
        </is>
      </c>
    </row>
    <row r="1476" ht="25" customHeight="1" s="55">
      <c r="A1476" s="57" t="inlineStr">
        <is>
          <t>Second_lex_Aug19_Nam</t>
        </is>
      </c>
      <c r="B1476" s="57" t="n">
        <v>44</v>
      </c>
      <c r="C1476" s="57" t="inlineStr">
        <is>
          <t>Genotypes</t>
        </is>
      </c>
      <c r="D1476" s="57" t="inlineStr">
        <is>
          <t>UKY-26-004</t>
        </is>
      </c>
      <c r="E1476" s="57" t="inlineStr">
        <is>
          <t>UKYT-26-004</t>
        </is>
      </c>
      <c r="F1476" s="57" t="inlineStr"/>
    </row>
    <row r="1477" ht="25" customHeight="1" s="55">
      <c r="A1477" s="57" t="inlineStr">
        <is>
          <t>Second_lex_Aug19_Nam</t>
        </is>
      </c>
      <c r="B1477" s="57" t="n">
        <v>44</v>
      </c>
      <c r="C1477" s="57" t="inlineStr">
        <is>
          <t>Location</t>
        </is>
      </c>
      <c r="D1477" s="57" t="inlineStr"/>
      <c r="E1477" s="57" t="inlineStr">
        <is>
          <t>South Farm</t>
        </is>
      </c>
      <c r="F1477" s="57" t="inlineStr">
        <is>
          <t>forced_from_sheet_name</t>
        </is>
      </c>
    </row>
    <row r="1478" ht="25" customHeight="1" s="55">
      <c r="A1478" s="57" t="inlineStr">
        <is>
          <t>Second_lex_Aug19_Nam</t>
        </is>
      </c>
      <c r="B1478" s="57" t="n">
        <v>44</v>
      </c>
      <c r="C1478" s="57" t="inlineStr">
        <is>
          <t>Harvest</t>
        </is>
      </c>
      <c r="D1478" s="57" t="inlineStr"/>
      <c r="E1478" s="57" t="inlineStr">
        <is>
          <t>Fourth</t>
        </is>
      </c>
      <c r="F1478" s="57" t="inlineStr">
        <is>
          <t>forced_from_sheet_name</t>
        </is>
      </c>
    </row>
    <row r="1479" ht="25" customHeight="1" s="55">
      <c r="A1479" s="57" t="inlineStr">
        <is>
          <t>Second_lex_Aug19_Nam</t>
        </is>
      </c>
      <c r="B1479" s="57" t="n">
        <v>44</v>
      </c>
      <c r="C1479" s="57" t="inlineStr">
        <is>
          <t>Date of harvest</t>
        </is>
      </c>
      <c r="D1479" s="57" t="inlineStr"/>
      <c r="E1479" s="57" t="inlineStr">
        <is>
          <t>2026-08-19</t>
        </is>
      </c>
      <c r="F1479" s="57" t="inlineStr">
        <is>
          <t>date_forced:South Farm fourth harvest; data entered by Nam</t>
        </is>
      </c>
    </row>
    <row r="1480" ht="25" customHeight="1" s="55">
      <c r="A1480" s="57" t="inlineStr">
        <is>
          <t>Second_lex_Aug19_Nam</t>
        </is>
      </c>
      <c r="B1480" s="57" t="n">
        <v>45</v>
      </c>
      <c r="C1480" s="57" t="inlineStr">
        <is>
          <t>Genotypes</t>
        </is>
      </c>
      <c r="D1480" s="57" t="inlineStr">
        <is>
          <t>UKY-26-001</t>
        </is>
      </c>
      <c r="E1480" s="57" t="inlineStr">
        <is>
          <t>UKYT-26-001</t>
        </is>
      </c>
      <c r="F1480" s="57" t="inlineStr"/>
    </row>
    <row r="1481" ht="25" customHeight="1" s="55">
      <c r="A1481" s="57" t="inlineStr">
        <is>
          <t>Second_lex_Aug19_Nam</t>
        </is>
      </c>
      <c r="B1481" s="57" t="n">
        <v>45</v>
      </c>
      <c r="C1481" s="57" t="inlineStr">
        <is>
          <t>Location</t>
        </is>
      </c>
      <c r="D1481" s="57" t="inlineStr"/>
      <c r="E1481" s="57" t="inlineStr">
        <is>
          <t>South Farm</t>
        </is>
      </c>
      <c r="F1481" s="57" t="inlineStr">
        <is>
          <t>forced_from_sheet_name</t>
        </is>
      </c>
    </row>
    <row r="1482" ht="25" customHeight="1" s="55">
      <c r="A1482" s="57" t="inlineStr">
        <is>
          <t>Second_lex_Aug19_Nam</t>
        </is>
      </c>
      <c r="B1482" s="57" t="n">
        <v>45</v>
      </c>
      <c r="C1482" s="57" t="inlineStr">
        <is>
          <t>Harvest</t>
        </is>
      </c>
      <c r="D1482" s="57" t="inlineStr"/>
      <c r="E1482" s="57" t="inlineStr">
        <is>
          <t>Fourth</t>
        </is>
      </c>
      <c r="F1482" s="57" t="inlineStr">
        <is>
          <t>forced_from_sheet_name</t>
        </is>
      </c>
    </row>
    <row r="1483" ht="25" customHeight="1" s="55">
      <c r="A1483" s="57" t="inlineStr">
        <is>
          <t>Second_lex_Aug19_Nam</t>
        </is>
      </c>
      <c r="B1483" s="57" t="n">
        <v>45</v>
      </c>
      <c r="C1483" s="57" t="inlineStr">
        <is>
          <t>Date of harvest</t>
        </is>
      </c>
      <c r="D1483" s="57" t="inlineStr"/>
      <c r="E1483" s="57" t="inlineStr">
        <is>
          <t>2026-08-19</t>
        </is>
      </c>
      <c r="F1483" s="57" t="inlineStr">
        <is>
          <t>date_forced:South Farm fourth harvest; data entered by Nam</t>
        </is>
      </c>
    </row>
    <row r="1484" ht="25" customHeight="1" s="55">
      <c r="A1484" s="57" t="inlineStr">
        <is>
          <t>Second_lex_Aug19_Nam</t>
        </is>
      </c>
      <c r="B1484" s="57" t="n">
        <v>46</v>
      </c>
      <c r="C1484" s="57" t="inlineStr">
        <is>
          <t>Genotypes</t>
        </is>
      </c>
      <c r="D1484" s="57" t="inlineStr">
        <is>
          <t>UKY-25-002</t>
        </is>
      </c>
      <c r="E1484" s="57" t="inlineStr">
        <is>
          <t>UKYT-25-002</t>
        </is>
      </c>
      <c r="F1484" s="57" t="inlineStr"/>
    </row>
    <row r="1485" ht="25" customHeight="1" s="55">
      <c r="A1485" s="57" t="inlineStr">
        <is>
          <t>Second_lex_Aug19_Nam</t>
        </is>
      </c>
      <c r="B1485" s="57" t="n">
        <v>46</v>
      </c>
      <c r="C1485" s="57" t="inlineStr">
        <is>
          <t>Location</t>
        </is>
      </c>
      <c r="D1485" s="57" t="inlineStr"/>
      <c r="E1485" s="57" t="inlineStr">
        <is>
          <t>South Farm</t>
        </is>
      </c>
      <c r="F1485" s="57" t="inlineStr">
        <is>
          <t>forced_from_sheet_name</t>
        </is>
      </c>
    </row>
    <row r="1486" ht="25" customHeight="1" s="55">
      <c r="A1486" s="57" t="inlineStr">
        <is>
          <t>Second_lex_Aug19_Nam</t>
        </is>
      </c>
      <c r="B1486" s="57" t="n">
        <v>46</v>
      </c>
      <c r="C1486" s="57" t="inlineStr">
        <is>
          <t>Harvest</t>
        </is>
      </c>
      <c r="D1486" s="57" t="inlineStr"/>
      <c r="E1486" s="57" t="inlineStr">
        <is>
          <t>Fourth</t>
        </is>
      </c>
      <c r="F1486" s="57" t="inlineStr">
        <is>
          <t>forced_from_sheet_name</t>
        </is>
      </c>
    </row>
    <row r="1487" ht="25" customHeight="1" s="55">
      <c r="A1487" s="57" t="inlineStr">
        <is>
          <t>Second_lex_Aug19_Nam</t>
        </is>
      </c>
      <c r="B1487" s="57" t="n">
        <v>46</v>
      </c>
      <c r="C1487" s="57" t="inlineStr">
        <is>
          <t>Date of harvest</t>
        </is>
      </c>
      <c r="D1487" s="57" t="inlineStr"/>
      <c r="E1487" s="57" t="inlineStr">
        <is>
          <t>2026-08-19</t>
        </is>
      </c>
      <c r="F1487" s="57" t="inlineStr">
        <is>
          <t>date_forced:South Farm fourth harvest; data entered by Nam</t>
        </is>
      </c>
    </row>
    <row r="1488" ht="25" customHeight="1" s="55">
      <c r="A1488" s="57" t="inlineStr">
        <is>
          <t>Second_lex_Aug19_Nam</t>
        </is>
      </c>
      <c r="B1488" s="57" t="n">
        <v>47</v>
      </c>
      <c r="C1488" s="57" t="inlineStr">
        <is>
          <t>Genotypes</t>
        </is>
      </c>
      <c r="D1488" s="57" t="inlineStr">
        <is>
          <t>UKY-26-010</t>
        </is>
      </c>
      <c r="E1488" s="57" t="inlineStr">
        <is>
          <t>UKYT-26-010</t>
        </is>
      </c>
      <c r="F1488" s="57" t="inlineStr"/>
    </row>
    <row r="1489" ht="25" customHeight="1" s="55">
      <c r="A1489" s="57" t="inlineStr">
        <is>
          <t>Second_lex_Aug19_Nam</t>
        </is>
      </c>
      <c r="B1489" s="57" t="n">
        <v>47</v>
      </c>
      <c r="C1489" s="57" t="inlineStr">
        <is>
          <t>Location</t>
        </is>
      </c>
      <c r="D1489" s="57" t="inlineStr"/>
      <c r="E1489" s="57" t="inlineStr">
        <is>
          <t>South Farm</t>
        </is>
      </c>
      <c r="F1489" s="57" t="inlineStr">
        <is>
          <t>forced_from_sheet_name</t>
        </is>
      </c>
    </row>
    <row r="1490" ht="25" customHeight="1" s="55">
      <c r="A1490" s="57" t="inlineStr">
        <is>
          <t>Second_lex_Aug19_Nam</t>
        </is>
      </c>
      <c r="B1490" s="57" t="n">
        <v>47</v>
      </c>
      <c r="C1490" s="57" t="inlineStr">
        <is>
          <t>Harvest</t>
        </is>
      </c>
      <c r="D1490" s="57" t="inlineStr"/>
      <c r="E1490" s="57" t="inlineStr">
        <is>
          <t>Fourth</t>
        </is>
      </c>
      <c r="F1490" s="57" t="inlineStr">
        <is>
          <t>forced_from_sheet_name</t>
        </is>
      </c>
    </row>
    <row r="1491" ht="25" customHeight="1" s="55">
      <c r="A1491" s="57" t="inlineStr">
        <is>
          <t>Second_lex_Aug19_Nam</t>
        </is>
      </c>
      <c r="B1491" s="57" t="n">
        <v>47</v>
      </c>
      <c r="C1491" s="57" t="inlineStr">
        <is>
          <t>Date of harvest</t>
        </is>
      </c>
      <c r="D1491" s="57" t="inlineStr"/>
      <c r="E1491" s="57" t="inlineStr">
        <is>
          <t>2026-08-19</t>
        </is>
      </c>
      <c r="F1491" s="57" t="inlineStr">
        <is>
          <t>date_forced:South Farm fourth harvest; data entered by Nam</t>
        </is>
      </c>
    </row>
    <row r="1492" ht="25" customHeight="1" s="55">
      <c r="A1492" s="57" t="inlineStr">
        <is>
          <t>Second_lex_Aug19_Nam</t>
        </is>
      </c>
      <c r="B1492" s="57" t="n">
        <v>48</v>
      </c>
      <c r="C1492" s="57" t="inlineStr">
        <is>
          <t>Genotypes</t>
        </is>
      </c>
      <c r="D1492" s="57" t="inlineStr">
        <is>
          <t>UKY-26-007</t>
        </is>
      </c>
      <c r="E1492" s="57" t="inlineStr">
        <is>
          <t>UKYT-26-007</t>
        </is>
      </c>
      <c r="F1492" s="57" t="inlineStr"/>
    </row>
    <row r="1493" ht="25" customHeight="1" s="55">
      <c r="A1493" s="57" t="inlineStr">
        <is>
          <t>Second_lex_Aug19_Nam</t>
        </is>
      </c>
      <c r="B1493" s="57" t="n">
        <v>48</v>
      </c>
      <c r="C1493" s="57" t="inlineStr">
        <is>
          <t>Location</t>
        </is>
      </c>
      <c r="D1493" s="57" t="inlineStr"/>
      <c r="E1493" s="57" t="inlineStr">
        <is>
          <t>South Farm</t>
        </is>
      </c>
      <c r="F1493" s="57" t="inlineStr">
        <is>
          <t>forced_from_sheet_name</t>
        </is>
      </c>
    </row>
    <row r="1494" ht="25" customHeight="1" s="55">
      <c r="A1494" s="57" t="inlineStr">
        <is>
          <t>Second_lex_Aug19_Nam</t>
        </is>
      </c>
      <c r="B1494" s="57" t="n">
        <v>48</v>
      </c>
      <c r="C1494" s="57" t="inlineStr">
        <is>
          <t>Harvest</t>
        </is>
      </c>
      <c r="D1494" s="57" t="inlineStr"/>
      <c r="E1494" s="57" t="inlineStr">
        <is>
          <t>Fourth</t>
        </is>
      </c>
      <c r="F1494" s="57" t="inlineStr">
        <is>
          <t>forced_from_sheet_name</t>
        </is>
      </c>
    </row>
    <row r="1495" ht="25" customHeight="1" s="55">
      <c r="A1495" s="57" t="inlineStr">
        <is>
          <t>Second_lex_Aug19_Nam</t>
        </is>
      </c>
      <c r="B1495" s="57" t="n">
        <v>48</v>
      </c>
      <c r="C1495" s="57" t="inlineStr">
        <is>
          <t>Date of harvest</t>
        </is>
      </c>
      <c r="D1495" s="57" t="inlineStr"/>
      <c r="E1495" s="57" t="inlineStr">
        <is>
          <t>2026-08-19</t>
        </is>
      </c>
      <c r="F1495" s="57" t="inlineStr">
        <is>
          <t>date_forced:South Farm fourth harvest; data entered by Nam</t>
        </is>
      </c>
    </row>
    <row r="1496" ht="25" customHeight="1" s="55">
      <c r="A1496" s="57" t="inlineStr">
        <is>
          <t>Second_lex_Aug19_Nam</t>
        </is>
      </c>
      <c r="B1496" s="57" t="n">
        <v>49</v>
      </c>
      <c r="C1496" s="57" t="inlineStr">
        <is>
          <t>Genotypes</t>
        </is>
      </c>
      <c r="D1496" s="57" t="inlineStr">
        <is>
          <t>UKY-25-005</t>
        </is>
      </c>
      <c r="E1496" s="57" t="inlineStr">
        <is>
          <t>UKYT-25-005</t>
        </is>
      </c>
      <c r="F1496" s="57" t="inlineStr"/>
    </row>
    <row r="1497" ht="25" customHeight="1" s="55">
      <c r="A1497" s="57" t="inlineStr">
        <is>
          <t>Second_lex_Aug19_Nam</t>
        </is>
      </c>
      <c r="B1497" s="57" t="n">
        <v>49</v>
      </c>
      <c r="C1497" s="57" t="inlineStr">
        <is>
          <t>Location</t>
        </is>
      </c>
      <c r="D1497" s="57" t="inlineStr"/>
      <c r="E1497" s="57" t="inlineStr">
        <is>
          <t>South Farm</t>
        </is>
      </c>
      <c r="F1497" s="57" t="inlineStr">
        <is>
          <t>forced_from_sheet_name</t>
        </is>
      </c>
    </row>
    <row r="1498" ht="25" customHeight="1" s="55">
      <c r="A1498" s="57" t="inlineStr">
        <is>
          <t>Second_lex_Aug19_Nam</t>
        </is>
      </c>
      <c r="B1498" s="57" t="n">
        <v>49</v>
      </c>
      <c r="C1498" s="57" t="inlineStr">
        <is>
          <t>Harvest</t>
        </is>
      </c>
      <c r="D1498" s="57" t="inlineStr"/>
      <c r="E1498" s="57" t="inlineStr">
        <is>
          <t>Fourth</t>
        </is>
      </c>
      <c r="F1498" s="57" t="inlineStr">
        <is>
          <t>forced_from_sheet_name</t>
        </is>
      </c>
    </row>
    <row r="1499" ht="25" customHeight="1" s="55">
      <c r="A1499" s="57" t="inlineStr">
        <is>
          <t>Second_lex_Aug19_Nam</t>
        </is>
      </c>
      <c r="B1499" s="57" t="n">
        <v>49</v>
      </c>
      <c r="C1499" s="57" t="inlineStr">
        <is>
          <t>Date of harvest</t>
        </is>
      </c>
      <c r="D1499" s="57" t="inlineStr"/>
      <c r="E1499" s="57" t="inlineStr">
        <is>
          <t>2026-08-19</t>
        </is>
      </c>
      <c r="F1499" s="57" t="inlineStr">
        <is>
          <t>date_forced:South Farm fourth harvest; data entered by Nam</t>
        </is>
      </c>
    </row>
    <row r="1500" ht="25" customHeight="1" s="55">
      <c r="A1500" s="57" t="inlineStr">
        <is>
          <t>Second_lex_Aug19_Nam</t>
        </is>
      </c>
      <c r="B1500" s="57" t="n">
        <v>50</v>
      </c>
      <c r="C1500" s="57" t="inlineStr">
        <is>
          <t>Genotypes</t>
        </is>
      </c>
      <c r="D1500" s="57" t="inlineStr">
        <is>
          <t>UKY-25-004</t>
        </is>
      </c>
      <c r="E1500" s="57" t="inlineStr">
        <is>
          <t>UKYT-25-004</t>
        </is>
      </c>
      <c r="F1500" s="57" t="inlineStr"/>
    </row>
    <row r="1501" ht="25" customHeight="1" s="55">
      <c r="A1501" s="57" t="inlineStr">
        <is>
          <t>Second_lex_Aug19_Nam</t>
        </is>
      </c>
      <c r="B1501" s="57" t="n">
        <v>50</v>
      </c>
      <c r="C1501" s="57" t="inlineStr">
        <is>
          <t>Location</t>
        </is>
      </c>
      <c r="D1501" s="57" t="inlineStr"/>
      <c r="E1501" s="57" t="inlineStr">
        <is>
          <t>South Farm</t>
        </is>
      </c>
      <c r="F1501" s="57" t="inlineStr">
        <is>
          <t>forced_from_sheet_name</t>
        </is>
      </c>
    </row>
    <row r="1502" ht="25" customHeight="1" s="55">
      <c r="A1502" s="57" t="inlineStr">
        <is>
          <t>Second_lex_Aug19_Nam</t>
        </is>
      </c>
      <c r="B1502" s="57" t="n">
        <v>50</v>
      </c>
      <c r="C1502" s="57" t="inlineStr">
        <is>
          <t>Harvest</t>
        </is>
      </c>
      <c r="D1502" s="57" t="inlineStr"/>
      <c r="E1502" s="57" t="inlineStr">
        <is>
          <t>Fourth</t>
        </is>
      </c>
      <c r="F1502" s="57" t="inlineStr">
        <is>
          <t>forced_from_sheet_name</t>
        </is>
      </c>
    </row>
    <row r="1503" ht="25" customHeight="1" s="55">
      <c r="A1503" s="57" t="inlineStr">
        <is>
          <t>Second_lex_Aug19_Nam</t>
        </is>
      </c>
      <c r="B1503" s="57" t="n">
        <v>50</v>
      </c>
      <c r="C1503" s="57" t="inlineStr">
        <is>
          <t>Date of harvest</t>
        </is>
      </c>
      <c r="D1503" s="57" t="inlineStr"/>
      <c r="E1503" s="57" t="inlineStr">
        <is>
          <t>2026-08-19</t>
        </is>
      </c>
      <c r="F1503" s="57" t="inlineStr">
        <is>
          <t>date_forced:South Farm fourth harvest; data entered by Nam</t>
        </is>
      </c>
    </row>
    <row r="1504" ht="25" customHeight="1" s="55">
      <c r="A1504" s="57" t="inlineStr">
        <is>
          <t>Second_lex_Aug19_Nam</t>
        </is>
      </c>
      <c r="B1504" s="57" t="n">
        <v>51</v>
      </c>
      <c r="C1504" s="57" t="inlineStr">
        <is>
          <t>Genotypes</t>
        </is>
      </c>
      <c r="D1504" s="57" t="inlineStr">
        <is>
          <t>UKY-25-003</t>
        </is>
      </c>
      <c r="E1504" s="57" t="inlineStr">
        <is>
          <t>UKYT-25-003</t>
        </is>
      </c>
      <c r="F1504" s="57" t="inlineStr"/>
    </row>
    <row r="1505" ht="25" customHeight="1" s="55">
      <c r="A1505" s="57" t="inlineStr">
        <is>
          <t>Second_lex_Aug19_Nam</t>
        </is>
      </c>
      <c r="B1505" s="57" t="n">
        <v>51</v>
      </c>
      <c r="C1505" s="57" t="inlineStr">
        <is>
          <t>Location</t>
        </is>
      </c>
      <c r="D1505" s="57" t="inlineStr"/>
      <c r="E1505" s="57" t="inlineStr">
        <is>
          <t>South Farm</t>
        </is>
      </c>
      <c r="F1505" s="57" t="inlineStr">
        <is>
          <t>forced_from_sheet_name</t>
        </is>
      </c>
    </row>
    <row r="1506" ht="25" customHeight="1" s="55">
      <c r="A1506" s="57" t="inlineStr">
        <is>
          <t>Second_lex_Aug19_Nam</t>
        </is>
      </c>
      <c r="B1506" s="57" t="n">
        <v>51</v>
      </c>
      <c r="C1506" s="57" t="inlineStr">
        <is>
          <t>Harvest</t>
        </is>
      </c>
      <c r="D1506" s="57" t="inlineStr"/>
      <c r="E1506" s="57" t="inlineStr">
        <is>
          <t>Fourth</t>
        </is>
      </c>
      <c r="F1506" s="57" t="inlineStr">
        <is>
          <t>forced_from_sheet_name</t>
        </is>
      </c>
    </row>
    <row r="1507" ht="25" customHeight="1" s="55">
      <c r="A1507" s="57" t="inlineStr">
        <is>
          <t>Second_lex_Aug19_Nam</t>
        </is>
      </c>
      <c r="B1507" s="57" t="n">
        <v>51</v>
      </c>
      <c r="C1507" s="57" t="inlineStr">
        <is>
          <t>Date of harvest</t>
        </is>
      </c>
      <c r="D1507" s="57" t="inlineStr"/>
      <c r="E1507" s="57" t="inlineStr">
        <is>
          <t>2026-08-19</t>
        </is>
      </c>
      <c r="F1507" s="57" t="inlineStr">
        <is>
          <t>date_forced:South Farm fourth harvest; data entered by Nam</t>
        </is>
      </c>
    </row>
    <row r="1508" ht="25" customHeight="1" s="55">
      <c r="A1508" s="57" t="inlineStr">
        <is>
          <t>Second_lex_Aug19_Nam</t>
        </is>
      </c>
      <c r="B1508" s="57" t="n">
        <v>52</v>
      </c>
      <c r="C1508" s="57" t="inlineStr">
        <is>
          <t>Genotypes</t>
        </is>
      </c>
      <c r="D1508" s="57" t="inlineStr">
        <is>
          <t>UKY-26-011</t>
        </is>
      </c>
      <c r="E1508" s="57" t="inlineStr">
        <is>
          <t>UKYT-26-011</t>
        </is>
      </c>
      <c r="F1508" s="57" t="inlineStr"/>
    </row>
    <row r="1509" ht="25" customHeight="1" s="55">
      <c r="A1509" s="57" t="inlineStr">
        <is>
          <t>Second_lex_Aug19_Nam</t>
        </is>
      </c>
      <c r="B1509" s="57" t="n">
        <v>52</v>
      </c>
      <c r="C1509" s="57" t="inlineStr">
        <is>
          <t>Location</t>
        </is>
      </c>
      <c r="D1509" s="57" t="inlineStr"/>
      <c r="E1509" s="57" t="inlineStr">
        <is>
          <t>South Farm</t>
        </is>
      </c>
      <c r="F1509" s="57" t="inlineStr">
        <is>
          <t>forced_from_sheet_name</t>
        </is>
      </c>
    </row>
    <row r="1510" ht="25" customHeight="1" s="55">
      <c r="A1510" s="57" t="inlineStr">
        <is>
          <t>Second_lex_Aug19_Nam</t>
        </is>
      </c>
      <c r="B1510" s="57" t="n">
        <v>52</v>
      </c>
      <c r="C1510" s="57" t="inlineStr">
        <is>
          <t>Harvest</t>
        </is>
      </c>
      <c r="D1510" s="57" t="inlineStr"/>
      <c r="E1510" s="57" t="inlineStr">
        <is>
          <t>Fourth</t>
        </is>
      </c>
      <c r="F1510" s="57" t="inlineStr">
        <is>
          <t>forced_from_sheet_name</t>
        </is>
      </c>
    </row>
    <row r="1511" ht="25" customHeight="1" s="55">
      <c r="A1511" s="57" t="inlineStr">
        <is>
          <t>Second_lex_Aug19_Nam</t>
        </is>
      </c>
      <c r="B1511" s="57" t="n">
        <v>52</v>
      </c>
      <c r="C1511" s="57" t="inlineStr">
        <is>
          <t>Date of harvest</t>
        </is>
      </c>
      <c r="D1511" s="57" t="inlineStr"/>
      <c r="E1511" s="57" t="inlineStr">
        <is>
          <t>2026-08-19</t>
        </is>
      </c>
      <c r="F1511" s="57" t="inlineStr">
        <is>
          <t>date_forced:South Farm fourth harvest; data entered by Nam</t>
        </is>
      </c>
    </row>
    <row r="1512" ht="25" customHeight="1" s="55">
      <c r="A1512" s="57" t="inlineStr">
        <is>
          <t>Second_lex_Aug19_Nam</t>
        </is>
      </c>
      <c r="B1512" s="57" t="n">
        <v>53</v>
      </c>
      <c r="C1512" s="57" t="inlineStr">
        <is>
          <t>Genotypes</t>
        </is>
      </c>
      <c r="D1512" s="57" t="inlineStr">
        <is>
          <t>UKY-26-013</t>
        </is>
      </c>
      <c r="E1512" s="57" t="inlineStr">
        <is>
          <t>UKYT-26-013</t>
        </is>
      </c>
      <c r="F1512" s="57" t="inlineStr"/>
    </row>
    <row r="1513" ht="25" customHeight="1" s="55">
      <c r="A1513" s="57" t="inlineStr">
        <is>
          <t>Second_lex_Aug19_Nam</t>
        </is>
      </c>
      <c r="B1513" s="57" t="n">
        <v>53</v>
      </c>
      <c r="C1513" s="57" t="inlineStr">
        <is>
          <t>Location</t>
        </is>
      </c>
      <c r="D1513" s="57" t="inlineStr"/>
      <c r="E1513" s="57" t="inlineStr">
        <is>
          <t>South Farm</t>
        </is>
      </c>
      <c r="F1513" s="57" t="inlineStr">
        <is>
          <t>forced_from_sheet_name</t>
        </is>
      </c>
    </row>
    <row r="1514" ht="25" customHeight="1" s="55">
      <c r="A1514" s="57" t="inlineStr">
        <is>
          <t>Second_lex_Aug19_Nam</t>
        </is>
      </c>
      <c r="B1514" s="57" t="n">
        <v>53</v>
      </c>
      <c r="C1514" s="57" t="inlineStr">
        <is>
          <t>Harvest</t>
        </is>
      </c>
      <c r="D1514" s="57" t="inlineStr"/>
      <c r="E1514" s="57" t="inlineStr">
        <is>
          <t>Fourth</t>
        </is>
      </c>
      <c r="F1514" s="57" t="inlineStr">
        <is>
          <t>forced_from_sheet_name</t>
        </is>
      </c>
    </row>
    <row r="1515" ht="25" customHeight="1" s="55">
      <c r="A1515" s="57" t="inlineStr">
        <is>
          <t>Second_lex_Aug19_Nam</t>
        </is>
      </c>
      <c r="B1515" s="57" t="n">
        <v>53</v>
      </c>
      <c r="C1515" s="57" t="inlineStr">
        <is>
          <t>Date of harvest</t>
        </is>
      </c>
      <c r="D1515" s="57" t="inlineStr"/>
      <c r="E1515" s="57" t="inlineStr">
        <is>
          <t>2026-08-19</t>
        </is>
      </c>
      <c r="F1515" s="57" t="inlineStr">
        <is>
          <t>date_forced:South Farm fourth harvest; data entered by Nam</t>
        </is>
      </c>
    </row>
    <row r="1516" ht="25" customHeight="1" s="55">
      <c r="A1516" s="57" t="inlineStr">
        <is>
          <t>Second_lex_Aug19_Nam</t>
        </is>
      </c>
      <c r="B1516" s="57" t="n">
        <v>54</v>
      </c>
      <c r="C1516" s="57" t="inlineStr">
        <is>
          <t>Genotypes</t>
        </is>
      </c>
      <c r="D1516" s="57" t="inlineStr">
        <is>
          <t>UKY-26-012</t>
        </is>
      </c>
      <c r="E1516" s="57" t="inlineStr">
        <is>
          <t>UKYT-26-012</t>
        </is>
      </c>
      <c r="F1516" s="57" t="inlineStr"/>
    </row>
    <row r="1517" ht="25" customHeight="1" s="55">
      <c r="A1517" s="57" t="inlineStr">
        <is>
          <t>Second_lex_Aug19_Nam</t>
        </is>
      </c>
      <c r="B1517" s="57" t="n">
        <v>54</v>
      </c>
      <c r="C1517" s="57" t="inlineStr">
        <is>
          <t>Location</t>
        </is>
      </c>
      <c r="D1517" s="57" t="inlineStr"/>
      <c r="E1517" s="57" t="inlineStr">
        <is>
          <t>South Farm</t>
        </is>
      </c>
      <c r="F1517" s="57" t="inlineStr">
        <is>
          <t>forced_from_sheet_name</t>
        </is>
      </c>
    </row>
    <row r="1518" ht="25" customHeight="1" s="55">
      <c r="A1518" s="57" t="inlineStr">
        <is>
          <t>Second_lex_Aug19_Nam</t>
        </is>
      </c>
      <c r="B1518" s="57" t="n">
        <v>54</v>
      </c>
      <c r="C1518" s="57" t="inlineStr">
        <is>
          <t>Harvest</t>
        </is>
      </c>
      <c r="D1518" s="57" t="inlineStr"/>
      <c r="E1518" s="57" t="inlineStr">
        <is>
          <t>Fourth</t>
        </is>
      </c>
      <c r="F1518" s="57" t="inlineStr">
        <is>
          <t>forced_from_sheet_name</t>
        </is>
      </c>
    </row>
    <row r="1519" ht="25" customHeight="1" s="55">
      <c r="A1519" s="57" t="inlineStr">
        <is>
          <t>Second_lex_Aug19_Nam</t>
        </is>
      </c>
      <c r="B1519" s="57" t="n">
        <v>54</v>
      </c>
      <c r="C1519" s="57" t="inlineStr">
        <is>
          <t>Date of harvest</t>
        </is>
      </c>
      <c r="D1519" s="57" t="inlineStr"/>
      <c r="E1519" s="57" t="inlineStr">
        <is>
          <t>2026-08-19</t>
        </is>
      </c>
      <c r="F1519" s="57" t="inlineStr">
        <is>
          <t>date_forced:South Farm fourth harvest; data entered by Nam</t>
        </is>
      </c>
    </row>
    <row r="1520" ht="25" customHeight="1" s="55">
      <c r="A1520" s="57" t="inlineStr">
        <is>
          <t>Second_lex_Aug19_Nam</t>
        </is>
      </c>
      <c r="B1520" s="57" t="n">
        <v>55</v>
      </c>
      <c r="C1520" s="57" t="inlineStr">
        <is>
          <t>Genotypes</t>
        </is>
      </c>
      <c r="D1520" s="57" t="inlineStr">
        <is>
          <t>UKY-25-008</t>
        </is>
      </c>
      <c r="E1520" s="57" t="inlineStr">
        <is>
          <t>UKYT-25-008</t>
        </is>
      </c>
      <c r="F1520" s="57" t="inlineStr"/>
    </row>
    <row r="1521" ht="25" customHeight="1" s="55">
      <c r="A1521" s="57" t="inlineStr">
        <is>
          <t>Second_lex_Aug19_Nam</t>
        </is>
      </c>
      <c r="B1521" s="57" t="n">
        <v>55</v>
      </c>
      <c r="C1521" s="57" t="inlineStr">
        <is>
          <t>Location</t>
        </is>
      </c>
      <c r="D1521" s="57" t="inlineStr"/>
      <c r="E1521" s="57" t="inlineStr">
        <is>
          <t>South Farm</t>
        </is>
      </c>
      <c r="F1521" s="57" t="inlineStr">
        <is>
          <t>forced_from_sheet_name</t>
        </is>
      </c>
    </row>
    <row r="1522" ht="25" customHeight="1" s="55">
      <c r="A1522" s="57" t="inlineStr">
        <is>
          <t>Second_lex_Aug19_Nam</t>
        </is>
      </c>
      <c r="B1522" s="57" t="n">
        <v>55</v>
      </c>
      <c r="C1522" s="57" t="inlineStr">
        <is>
          <t>Harvest</t>
        </is>
      </c>
      <c r="D1522" s="57" t="inlineStr"/>
      <c r="E1522" s="57" t="inlineStr">
        <is>
          <t>Fourth</t>
        </is>
      </c>
      <c r="F1522" s="57" t="inlineStr">
        <is>
          <t>forced_from_sheet_name</t>
        </is>
      </c>
    </row>
    <row r="1523" ht="25" customHeight="1" s="55">
      <c r="A1523" s="57" t="inlineStr">
        <is>
          <t>Second_lex_Aug19_Nam</t>
        </is>
      </c>
      <c r="B1523" s="57" t="n">
        <v>55</v>
      </c>
      <c r="C1523" s="57" t="inlineStr">
        <is>
          <t>Date of harvest</t>
        </is>
      </c>
      <c r="D1523" s="57" t="inlineStr"/>
      <c r="E1523" s="57" t="inlineStr">
        <is>
          <t>2026-08-19</t>
        </is>
      </c>
      <c r="F1523" s="57" t="inlineStr">
        <is>
          <t>date_forced:South Farm fourth harvest; data entered by Nam</t>
        </is>
      </c>
    </row>
    <row r="1524" ht="25" customHeight="1" s="55">
      <c r="A1524" s="57" t="inlineStr">
        <is>
          <t>Second_lex_Aug19_Nam</t>
        </is>
      </c>
      <c r="B1524" s="57" t="n">
        <v>56</v>
      </c>
      <c r="C1524" s="57" t="inlineStr">
        <is>
          <t>Genotypes</t>
        </is>
      </c>
      <c r="D1524" s="57" t="inlineStr">
        <is>
          <t>UKY-25-007</t>
        </is>
      </c>
      <c r="E1524" s="57" t="inlineStr">
        <is>
          <t>UKYT-25-007</t>
        </is>
      </c>
      <c r="F1524" s="57" t="inlineStr"/>
    </row>
    <row r="1525" ht="25" customHeight="1" s="55">
      <c r="A1525" s="57" t="inlineStr">
        <is>
          <t>Second_lex_Aug19_Nam</t>
        </is>
      </c>
      <c r="B1525" s="57" t="n">
        <v>56</v>
      </c>
      <c r="C1525" s="57" t="inlineStr">
        <is>
          <t>Location</t>
        </is>
      </c>
      <c r="D1525" s="57" t="inlineStr"/>
      <c r="E1525" s="57" t="inlineStr">
        <is>
          <t>South Farm</t>
        </is>
      </c>
      <c r="F1525" s="57" t="inlineStr">
        <is>
          <t>forced_from_sheet_name</t>
        </is>
      </c>
    </row>
    <row r="1526" ht="25" customHeight="1" s="55">
      <c r="A1526" s="57" t="inlineStr">
        <is>
          <t>Second_lex_Aug19_Nam</t>
        </is>
      </c>
      <c r="B1526" s="57" t="n">
        <v>56</v>
      </c>
      <c r="C1526" s="57" t="inlineStr">
        <is>
          <t>Harvest</t>
        </is>
      </c>
      <c r="D1526" s="57" t="inlineStr"/>
      <c r="E1526" s="57" t="inlineStr">
        <is>
          <t>Fourth</t>
        </is>
      </c>
      <c r="F1526" s="57" t="inlineStr">
        <is>
          <t>forced_from_sheet_name</t>
        </is>
      </c>
    </row>
    <row r="1527" ht="25" customHeight="1" s="55">
      <c r="A1527" s="57" t="inlineStr">
        <is>
          <t>Second_lex_Aug19_Nam</t>
        </is>
      </c>
      <c r="B1527" s="57" t="n">
        <v>56</v>
      </c>
      <c r="C1527" s="57" t="inlineStr">
        <is>
          <t>Date of harvest</t>
        </is>
      </c>
      <c r="D1527" s="57" t="inlineStr"/>
      <c r="E1527" s="57" t="inlineStr">
        <is>
          <t>2026-08-19</t>
        </is>
      </c>
      <c r="F1527" s="57" t="inlineStr">
        <is>
          <t>date_forced:South Farm fourth harvest; data entered by Nam</t>
        </is>
      </c>
    </row>
    <row r="1528" ht="25" customHeight="1" s="55">
      <c r="A1528" s="57" t="inlineStr">
        <is>
          <t>Second_lex_Aug19_Nam</t>
        </is>
      </c>
      <c r="B1528" s="57" t="n">
        <v>57</v>
      </c>
      <c r="C1528" s="57" t="inlineStr">
        <is>
          <t>Genotypes</t>
        </is>
      </c>
      <c r="D1528" s="57" t="inlineStr">
        <is>
          <t>UKY-25-009</t>
        </is>
      </c>
      <c r="E1528" s="57" t="inlineStr">
        <is>
          <t>UKYT-25-009</t>
        </is>
      </c>
      <c r="F1528" s="57" t="inlineStr"/>
    </row>
    <row r="1529" ht="25" customHeight="1" s="55">
      <c r="A1529" s="57" t="inlineStr">
        <is>
          <t>Second_lex_Aug19_Nam</t>
        </is>
      </c>
      <c r="B1529" s="57" t="n">
        <v>57</v>
      </c>
      <c r="C1529" s="57" t="inlineStr">
        <is>
          <t>Location</t>
        </is>
      </c>
      <c r="D1529" s="57" t="inlineStr"/>
      <c r="E1529" s="57" t="inlineStr">
        <is>
          <t>South Farm</t>
        </is>
      </c>
      <c r="F1529" s="57" t="inlineStr">
        <is>
          <t>forced_from_sheet_name</t>
        </is>
      </c>
    </row>
    <row r="1530" ht="25" customHeight="1" s="55">
      <c r="A1530" s="57" t="inlineStr">
        <is>
          <t>Second_lex_Aug19_Nam</t>
        </is>
      </c>
      <c r="B1530" s="57" t="n">
        <v>57</v>
      </c>
      <c r="C1530" s="57" t="inlineStr">
        <is>
          <t>Harvest</t>
        </is>
      </c>
      <c r="D1530" s="57" t="inlineStr"/>
      <c r="E1530" s="57" t="inlineStr">
        <is>
          <t>Fourth</t>
        </is>
      </c>
      <c r="F1530" s="57" t="inlineStr">
        <is>
          <t>forced_from_sheet_name</t>
        </is>
      </c>
    </row>
    <row r="1531" ht="25" customHeight="1" s="55">
      <c r="A1531" s="57" t="inlineStr">
        <is>
          <t>Second_lex_Aug19_Nam</t>
        </is>
      </c>
      <c r="B1531" s="57" t="n">
        <v>57</v>
      </c>
      <c r="C1531" s="57" t="inlineStr">
        <is>
          <t>Date of harvest</t>
        </is>
      </c>
      <c r="D1531" s="57" t="inlineStr"/>
      <c r="E1531" s="57" t="inlineStr">
        <is>
          <t>2026-08-19</t>
        </is>
      </c>
      <c r="F1531" s="57" t="inlineStr">
        <is>
          <t>date_forced:South Farm fourth harvest; data entered by Nam</t>
        </is>
      </c>
    </row>
    <row r="1532" ht="25" customHeight="1" s="55">
      <c r="A1532" s="57" t="inlineStr">
        <is>
          <t>Second_lex_Aug19_Nam</t>
        </is>
      </c>
      <c r="B1532" s="57" t="n">
        <v>58</v>
      </c>
      <c r="C1532" s="57" t="inlineStr">
        <is>
          <t>Genotypes</t>
        </is>
      </c>
      <c r="D1532" s="57" t="inlineStr">
        <is>
          <t>UKY-25-006</t>
        </is>
      </c>
      <c r="E1532" s="57" t="inlineStr">
        <is>
          <t>UKYT-25-006</t>
        </is>
      </c>
      <c r="F1532" s="57" t="inlineStr"/>
    </row>
    <row r="1533" ht="25" customHeight="1" s="55">
      <c r="A1533" s="57" t="inlineStr">
        <is>
          <t>Second_lex_Aug19_Nam</t>
        </is>
      </c>
      <c r="B1533" s="57" t="n">
        <v>58</v>
      </c>
      <c r="C1533" s="57" t="inlineStr">
        <is>
          <t>Location</t>
        </is>
      </c>
      <c r="D1533" s="57" t="inlineStr"/>
      <c r="E1533" s="57" t="inlineStr">
        <is>
          <t>South Farm</t>
        </is>
      </c>
      <c r="F1533" s="57" t="inlineStr">
        <is>
          <t>forced_from_sheet_name</t>
        </is>
      </c>
    </row>
    <row r="1534" ht="25" customHeight="1" s="55">
      <c r="A1534" s="57" t="inlineStr">
        <is>
          <t>Second_lex_Aug19_Nam</t>
        </is>
      </c>
      <c r="B1534" s="57" t="n">
        <v>58</v>
      </c>
      <c r="C1534" s="57" t="inlineStr">
        <is>
          <t>Harvest</t>
        </is>
      </c>
      <c r="D1534" s="57" t="inlineStr"/>
      <c r="E1534" s="57" t="inlineStr">
        <is>
          <t>Fourth</t>
        </is>
      </c>
      <c r="F1534" s="57" t="inlineStr">
        <is>
          <t>forced_from_sheet_name</t>
        </is>
      </c>
    </row>
    <row r="1535" ht="25" customHeight="1" s="55">
      <c r="A1535" s="57" t="inlineStr">
        <is>
          <t>Second_lex_Aug19_Nam</t>
        </is>
      </c>
      <c r="B1535" s="57" t="n">
        <v>58</v>
      </c>
      <c r="C1535" s="57" t="inlineStr">
        <is>
          <t>Date of harvest</t>
        </is>
      </c>
      <c r="D1535" s="57" t="inlineStr"/>
      <c r="E1535" s="57" t="inlineStr">
        <is>
          <t>2026-08-19</t>
        </is>
      </c>
      <c r="F1535" s="57" t="inlineStr">
        <is>
          <t>date_forced:South Farm fourth harvest; data entered by Nam</t>
        </is>
      </c>
    </row>
    <row r="1536" ht="25" customHeight="1" s="55">
      <c r="A1536" s="57" t="inlineStr">
        <is>
          <t>Second_lex_Aug19_Nam</t>
        </is>
      </c>
      <c r="B1536" s="57" t="n">
        <v>59</v>
      </c>
      <c r="C1536" s="57" t="inlineStr">
        <is>
          <t>Genotypes</t>
        </is>
      </c>
      <c r="D1536" s="57" t="inlineStr">
        <is>
          <t>Orange fruits close to peace vine cherry and Cherokee purple</t>
        </is>
      </c>
      <c r="E1536" s="58" t="inlineStr">
        <is>
          <t>N/A</t>
        </is>
      </c>
      <c r="F1536" s="57" t="inlineStr">
        <is>
          <t>moved_descriptive_note_to_Note</t>
        </is>
      </c>
    </row>
    <row r="1537" ht="25" customHeight="1" s="55">
      <c r="A1537" s="57" t="inlineStr">
        <is>
          <t>Second_lex_Aug19_Nam</t>
        </is>
      </c>
      <c r="B1537" s="57" t="n">
        <v>59</v>
      </c>
      <c r="C1537" s="57" t="inlineStr">
        <is>
          <t>Location</t>
        </is>
      </c>
      <c r="D1537" s="57" t="inlineStr"/>
      <c r="E1537" s="57" t="inlineStr">
        <is>
          <t>South Farm</t>
        </is>
      </c>
      <c r="F1537" s="57" t="inlineStr">
        <is>
          <t>forced_from_sheet_name</t>
        </is>
      </c>
    </row>
    <row r="1538" ht="25" customHeight="1" s="55">
      <c r="A1538" s="57" t="inlineStr">
        <is>
          <t>Second_lex_Aug19_Nam</t>
        </is>
      </c>
      <c r="B1538" s="57" t="n">
        <v>59</v>
      </c>
      <c r="C1538" s="57" t="inlineStr">
        <is>
          <t>Harvest</t>
        </is>
      </c>
      <c r="D1538" s="57" t="inlineStr"/>
      <c r="E1538" s="57" t="inlineStr">
        <is>
          <t>Fourth</t>
        </is>
      </c>
      <c r="F1538" s="57" t="inlineStr">
        <is>
          <t>forced_from_sheet_name</t>
        </is>
      </c>
    </row>
    <row r="1539" ht="25" customHeight="1" s="55">
      <c r="A1539" s="57" t="inlineStr">
        <is>
          <t>Second_lex_Aug19_Nam</t>
        </is>
      </c>
      <c r="B1539" s="57" t="n">
        <v>59</v>
      </c>
      <c r="C1539" s="57" t="inlineStr">
        <is>
          <t>Date of harvest</t>
        </is>
      </c>
      <c r="D1539" s="57" t="inlineStr"/>
      <c r="E1539" s="57" t="inlineStr">
        <is>
          <t>2026-08-19</t>
        </is>
      </c>
      <c r="F1539" s="57" t="inlineStr">
        <is>
          <t>date_forced:South Farm fourth harvest; data entered by Nam</t>
        </is>
      </c>
    </row>
    <row r="1540" ht="25" customHeight="1" s="55">
      <c r="A1540" s="57" t="inlineStr">
        <is>
          <t>Second_lex_Aug19_Nam</t>
        </is>
      </c>
      <c r="B1540" s="57" t="n">
        <v>1</v>
      </c>
      <c r="C1540" s="57" t="inlineStr">
        <is>
          <t>column_removed</t>
        </is>
      </c>
      <c r="D1540" s="57" t="inlineStr">
        <is>
          <t>TOTAL WEIGHT (Gram)</t>
        </is>
      </c>
      <c r="E1540" s="57" t="inlineStr"/>
      <c r="F1540" s="57" t="inlineStr">
        <is>
          <t>empty_or_duplicate</t>
        </is>
      </c>
    </row>
    <row r="1541" ht="25" customHeight="1" s="55">
      <c r="A1541" s="57" t="inlineStr">
        <is>
          <t>Second_lex_Aug19_Nam</t>
        </is>
      </c>
      <c r="B1541" s="57" t="n">
        <v>1</v>
      </c>
      <c r="C1541" s="57" t="inlineStr">
        <is>
          <t>column_removed</t>
        </is>
      </c>
      <c r="D1541" s="57" t="inlineStr">
        <is>
          <t>WEIGHT(20 SAMPLES UM)</t>
        </is>
      </c>
      <c r="E1541" s="57" t="inlineStr"/>
      <c r="F1541" s="57" t="inlineStr">
        <is>
          <t>empty_or_duplicate</t>
        </is>
      </c>
    </row>
    <row r="1542" ht="25" customHeight="1" s="55">
      <c r="A1542" s="57" t="inlineStr">
        <is>
          <t>Second_lex_Aug19_Nam</t>
        </is>
      </c>
      <c r="B1542" s="57" t="n">
        <v>1</v>
      </c>
      <c r="C1542" s="57" t="inlineStr">
        <is>
          <t>column_removed</t>
        </is>
      </c>
      <c r="D1542" s="57" t="inlineStr">
        <is>
          <t xml:space="preserve">WEIGHT(20 SAMPLES M) </t>
        </is>
      </c>
      <c r="E1542" s="57" t="inlineStr"/>
      <c r="F1542" s="57" t="inlineStr">
        <is>
          <t>empty_or_duplicate</t>
        </is>
      </c>
    </row>
    <row r="1543" ht="25" customHeight="1" s="55">
      <c r="A1543" s="57" t="inlineStr">
        <is>
          <t>Second_lex_Aug19_Nam</t>
        </is>
      </c>
      <c r="B1543" s="57" t="n">
        <v>1</v>
      </c>
      <c r="C1543" s="57" t="inlineStr">
        <is>
          <t>column_removed</t>
        </is>
      </c>
      <c r="D1543" s="57" t="inlineStr">
        <is>
          <t>Unmarketables (count)</t>
        </is>
      </c>
      <c r="E1543" s="57" t="inlineStr"/>
      <c r="F1543" s="57" t="inlineStr">
        <is>
          <t>empty_or_duplicate</t>
        </is>
      </c>
    </row>
    <row r="1544" ht="25" customHeight="1" s="55">
      <c r="A1544" s="57" t="inlineStr">
        <is>
          <t>Second_lex_Aug19_Nam</t>
        </is>
      </c>
      <c r="B1544" s="57" t="n">
        <v>1</v>
      </c>
      <c r="C1544" s="57" t="inlineStr">
        <is>
          <t>column_removed</t>
        </is>
      </c>
      <c r="D1544" s="57" t="inlineStr">
        <is>
          <t>Unmarketables (weight)</t>
        </is>
      </c>
      <c r="E1544" s="57" t="inlineStr"/>
      <c r="F1544" s="57" t="inlineStr">
        <is>
          <t>empty_or_duplicate</t>
        </is>
      </c>
    </row>
    <row r="1545" ht="25" customHeight="1" s="55">
      <c r="A1545" s="57" t="inlineStr">
        <is>
          <t>Second_lex_Aug19_Nam</t>
        </is>
      </c>
      <c r="B1545" s="57" t="n">
        <v>1</v>
      </c>
      <c r="C1545" s="57" t="inlineStr">
        <is>
          <t>column_removed</t>
        </is>
      </c>
      <c r="D1545" s="57" t="inlineStr">
        <is>
          <t xml:space="preserve">Grade 1 Marketable (counts) </t>
        </is>
      </c>
      <c r="E1545" s="57" t="inlineStr"/>
      <c r="F1545" s="57" t="inlineStr">
        <is>
          <t>empty_or_duplicate</t>
        </is>
      </c>
    </row>
    <row r="1546" ht="25" customHeight="1" s="55">
      <c r="A1546" s="57" t="inlineStr">
        <is>
          <t>Second_lex_Aug19_Nam</t>
        </is>
      </c>
      <c r="B1546" s="57" t="n">
        <v>1</v>
      </c>
      <c r="C1546" s="57" t="inlineStr">
        <is>
          <t>column_removed</t>
        </is>
      </c>
      <c r="D1546" s="57" t="inlineStr">
        <is>
          <t>Grade 1 Marketable (weight)</t>
        </is>
      </c>
      <c r="E1546" s="57" t="inlineStr"/>
      <c r="F1546" s="57" t="inlineStr">
        <is>
          <t>empty_or_duplicate</t>
        </is>
      </c>
    </row>
    <row r="1547" ht="25" customHeight="1" s="55">
      <c r="A1547" s="57" t="inlineStr">
        <is>
          <t>Second_lex_Aug19_Nam</t>
        </is>
      </c>
      <c r="B1547" s="57" t="n">
        <v>1</v>
      </c>
      <c r="C1547" s="57" t="inlineStr">
        <is>
          <t>column_removed</t>
        </is>
      </c>
      <c r="D1547" s="57" t="inlineStr">
        <is>
          <t>SN</t>
        </is>
      </c>
      <c r="E1547" s="57" t="inlineStr"/>
      <c r="F1547" s="57" t="inlineStr">
        <is>
          <t>empty_or_duplicate</t>
        </is>
      </c>
    </row>
    <row r="1548" ht="25" customHeight="1" s="55">
      <c r="A1548" s="57" t="inlineStr">
        <is>
          <t>Second_lex_Aug19_Nam</t>
        </is>
      </c>
      <c r="B1548" s="57" t="n">
        <v>1</v>
      </c>
      <c r="C1548" s="57" t="inlineStr">
        <is>
          <t>header</t>
        </is>
      </c>
      <c r="D1548" s="57" t="inlineStr">
        <is>
          <t>Total Weight (gm)</t>
        </is>
      </c>
      <c r="E1548" s="57" t="inlineStr">
        <is>
          <t>Total Weight (g)</t>
        </is>
      </c>
      <c r="F1548" s="57" t="inlineStr">
        <is>
          <t>standardized</t>
        </is>
      </c>
    </row>
    <row r="1549" ht="25" customHeight="1" s="55">
      <c r="A1549" s="57" t="inlineStr">
        <is>
          <t>Second_lex_Aug19_Nam</t>
        </is>
      </c>
      <c r="B1549" s="57" t="n">
        <v>1</v>
      </c>
      <c r="C1549" s="57" t="inlineStr">
        <is>
          <t>header</t>
        </is>
      </c>
      <c r="D1549" s="57" t="inlineStr">
        <is>
          <t>Weight of 20 counts</t>
        </is>
      </c>
      <c r="E1549" s="57" t="inlineStr">
        <is>
          <t>Weight of 20 fruit (g)</t>
        </is>
      </c>
      <c r="F1549" s="57" t="inlineStr">
        <is>
          <t>standardized</t>
        </is>
      </c>
    </row>
    <row r="1550" ht="25" customHeight="1" s="55">
      <c r="A1550" s="57" t="inlineStr">
        <is>
          <t>hybrid_harvest_Lex_MS</t>
        </is>
      </c>
      <c r="B1550" s="57" t="n">
        <v>2</v>
      </c>
      <c r="C1550" s="57" t="inlineStr">
        <is>
          <t>Location</t>
        </is>
      </c>
      <c r="D1550" s="57" t="inlineStr"/>
      <c r="E1550" s="57" t="inlineStr">
        <is>
          <t>South Farm</t>
        </is>
      </c>
      <c r="F1550" s="57" t="inlineStr">
        <is>
          <t>filled_from_sheet_default</t>
        </is>
      </c>
    </row>
    <row r="1551" ht="25" customHeight="1" s="55">
      <c r="A1551" s="57" t="inlineStr">
        <is>
          <t>hybrid_harvest_Lex_MS</t>
        </is>
      </c>
      <c r="B1551" s="57" t="n">
        <v>3</v>
      </c>
      <c r="C1551" s="57" t="inlineStr">
        <is>
          <t>Genotypes</t>
        </is>
      </c>
      <c r="D1551" s="57" t="inlineStr">
        <is>
          <t>MT.HERITAGE</t>
        </is>
      </c>
      <c r="E1551" s="57" t="inlineStr">
        <is>
          <t>Mt. Heritage</t>
        </is>
      </c>
      <c r="F1551" s="57" t="inlineStr"/>
    </row>
    <row r="1552" ht="25" customHeight="1" s="55">
      <c r="A1552" s="57" t="inlineStr">
        <is>
          <t>hybrid_harvest_Lex_MS</t>
        </is>
      </c>
      <c r="B1552" s="57" t="n">
        <v>3</v>
      </c>
      <c r="C1552" s="57" t="inlineStr">
        <is>
          <t>Location</t>
        </is>
      </c>
      <c r="D1552" s="57" t="inlineStr"/>
      <c r="E1552" s="57" t="inlineStr">
        <is>
          <t>South Farm</t>
        </is>
      </c>
      <c r="F1552" s="57" t="inlineStr">
        <is>
          <t>filled_from_sheet_default</t>
        </is>
      </c>
    </row>
    <row r="1553" ht="25" customHeight="1" s="55">
      <c r="A1553" s="57" t="inlineStr">
        <is>
          <t>hybrid_harvest_Lex_MS</t>
        </is>
      </c>
      <c r="B1553" s="57" t="n">
        <v>4</v>
      </c>
      <c r="C1553" s="57" t="inlineStr">
        <is>
          <t>Genotypes</t>
        </is>
      </c>
      <c r="D1553" s="57" t="inlineStr">
        <is>
          <t>25304G</t>
        </is>
      </c>
      <c r="E1553" s="57" t="inlineStr">
        <is>
          <t>NC25304G</t>
        </is>
      </c>
      <c r="F1553" s="57" t="inlineStr"/>
    </row>
    <row r="1554" ht="25" customHeight="1" s="55">
      <c r="A1554" s="57" t="inlineStr">
        <is>
          <t>hybrid_harvest_Lex_MS</t>
        </is>
      </c>
      <c r="B1554" s="57" t="n">
        <v>4</v>
      </c>
      <c r="C1554" s="57" t="inlineStr">
        <is>
          <t>Location</t>
        </is>
      </c>
      <c r="D1554" s="57" t="inlineStr"/>
      <c r="E1554" s="57" t="inlineStr">
        <is>
          <t>South Farm</t>
        </is>
      </c>
      <c r="F1554" s="57" t="inlineStr">
        <is>
          <t>filled_from_sheet_default</t>
        </is>
      </c>
    </row>
    <row r="1555" ht="25" customHeight="1" s="55">
      <c r="A1555" s="57" t="inlineStr">
        <is>
          <t>hybrid_harvest_Lex_MS</t>
        </is>
      </c>
      <c r="B1555" s="57" t="n">
        <v>5</v>
      </c>
      <c r="C1555" s="57" t="inlineStr">
        <is>
          <t>Genotypes</t>
        </is>
      </c>
      <c r="D1555" s="57" t="inlineStr">
        <is>
          <t>MT.GEM</t>
        </is>
      </c>
      <c r="E1555" s="57" t="inlineStr">
        <is>
          <t>Mt. Gem</t>
        </is>
      </c>
      <c r="F1555" s="57" t="inlineStr"/>
    </row>
    <row r="1556" ht="25" customHeight="1" s="55">
      <c r="A1556" s="57" t="inlineStr">
        <is>
          <t>hybrid_harvest_Lex_MS</t>
        </is>
      </c>
      <c r="B1556" s="57" t="n">
        <v>5</v>
      </c>
      <c r="C1556" s="57" t="inlineStr">
        <is>
          <t>Location</t>
        </is>
      </c>
      <c r="D1556" s="57" t="inlineStr"/>
      <c r="E1556" s="57" t="inlineStr">
        <is>
          <t>South Farm</t>
        </is>
      </c>
      <c r="F1556" s="57" t="inlineStr">
        <is>
          <t>filled_from_sheet_default</t>
        </is>
      </c>
    </row>
    <row r="1557" ht="25" customHeight="1" s="55">
      <c r="A1557" s="57" t="inlineStr">
        <is>
          <t>hybrid_harvest_Lex_MS</t>
        </is>
      </c>
      <c r="B1557" s="57" t="n">
        <v>6</v>
      </c>
      <c r="C1557" s="57" t="inlineStr">
        <is>
          <t>Genotypes</t>
        </is>
      </c>
      <c r="D1557" s="57" t="inlineStr">
        <is>
          <t>25217G</t>
        </is>
      </c>
      <c r="E1557" s="57" t="inlineStr">
        <is>
          <t>NC25217G</t>
        </is>
      </c>
      <c r="F1557" s="57" t="inlineStr"/>
    </row>
    <row r="1558" ht="25" customHeight="1" s="55">
      <c r="A1558" s="57" t="inlineStr">
        <is>
          <t>hybrid_harvest_Lex_MS</t>
        </is>
      </c>
      <c r="B1558" s="57" t="n">
        <v>6</v>
      </c>
      <c r="C1558" s="57" t="inlineStr">
        <is>
          <t>Location</t>
        </is>
      </c>
      <c r="D1558" s="57" t="inlineStr"/>
      <c r="E1558" s="57" t="inlineStr">
        <is>
          <t>South Farm</t>
        </is>
      </c>
      <c r="F1558" s="57" t="inlineStr">
        <is>
          <t>filled_from_sheet_default</t>
        </is>
      </c>
    </row>
    <row r="1559" ht="25" customHeight="1" s="55">
      <c r="A1559" s="57" t="inlineStr">
        <is>
          <t>hybrid_harvest_Lex_MS</t>
        </is>
      </c>
      <c r="B1559" s="57" t="n">
        <v>7</v>
      </c>
      <c r="C1559" s="57" t="inlineStr">
        <is>
          <t>Genotypes</t>
        </is>
      </c>
      <c r="D1559" s="57" t="inlineStr">
        <is>
          <t>25231G</t>
        </is>
      </c>
      <c r="E1559" s="57" t="inlineStr">
        <is>
          <t>NC25231G</t>
        </is>
      </c>
      <c r="F1559" s="57" t="inlineStr"/>
    </row>
    <row r="1560" ht="25" customHeight="1" s="55">
      <c r="A1560" s="57" t="inlineStr">
        <is>
          <t>hybrid_harvest_Lex_MS</t>
        </is>
      </c>
      <c r="B1560" s="57" t="n">
        <v>7</v>
      </c>
      <c r="C1560" s="57" t="inlineStr">
        <is>
          <t>Location</t>
        </is>
      </c>
      <c r="D1560" s="57" t="inlineStr"/>
      <c r="E1560" s="57" t="inlineStr">
        <is>
          <t>South Farm</t>
        </is>
      </c>
      <c r="F1560" s="57" t="inlineStr">
        <is>
          <t>filled_from_sheet_default</t>
        </is>
      </c>
    </row>
    <row r="1561" ht="25" customHeight="1" s="55">
      <c r="A1561" s="57" t="inlineStr">
        <is>
          <t>hybrid_harvest_Lex_MS</t>
        </is>
      </c>
      <c r="B1561" s="57" t="n">
        <v>8</v>
      </c>
      <c r="C1561" s="57" t="inlineStr">
        <is>
          <t>Location</t>
        </is>
      </c>
      <c r="D1561" s="57" t="inlineStr"/>
      <c r="E1561" s="57" t="inlineStr">
        <is>
          <t>South Farm</t>
        </is>
      </c>
      <c r="F1561" s="57" t="inlineStr">
        <is>
          <t>filled_from_sheet_default</t>
        </is>
      </c>
    </row>
    <row r="1562" ht="25" customHeight="1" s="55">
      <c r="A1562" s="57" t="inlineStr">
        <is>
          <t>hybrid_harvest_Lex_MS</t>
        </is>
      </c>
      <c r="B1562" s="57" t="n">
        <v>9</v>
      </c>
      <c r="C1562" s="57" t="inlineStr">
        <is>
          <t>Genotypes</t>
        </is>
      </c>
      <c r="D1562" s="57" t="inlineStr">
        <is>
          <t>23706G</t>
        </is>
      </c>
      <c r="E1562" s="57" t="inlineStr">
        <is>
          <t>NC23706G</t>
        </is>
      </c>
      <c r="F1562" s="57" t="inlineStr"/>
    </row>
    <row r="1563" ht="25" customHeight="1" s="55">
      <c r="A1563" s="57" t="inlineStr">
        <is>
          <t>hybrid_harvest_Lex_MS</t>
        </is>
      </c>
      <c r="B1563" s="57" t="n">
        <v>9</v>
      </c>
      <c r="C1563" s="57" t="inlineStr">
        <is>
          <t>Location</t>
        </is>
      </c>
      <c r="D1563" s="57" t="inlineStr"/>
      <c r="E1563" s="57" t="inlineStr">
        <is>
          <t>South Farm</t>
        </is>
      </c>
      <c r="F1563" s="57" t="inlineStr">
        <is>
          <t>filled_from_sheet_default</t>
        </is>
      </c>
    </row>
    <row r="1564" ht="25" customHeight="1" s="55">
      <c r="A1564" s="57" t="inlineStr">
        <is>
          <t>hybrid_harvest_Lex_MS</t>
        </is>
      </c>
      <c r="B1564" s="57" t="n">
        <v>10</v>
      </c>
      <c r="C1564" s="57" t="inlineStr">
        <is>
          <t>Genotypes</t>
        </is>
      </c>
      <c r="D1564" s="57" t="inlineStr">
        <is>
          <t>NC 263G</t>
        </is>
      </c>
      <c r="E1564" s="57" t="inlineStr">
        <is>
          <t>NC263G</t>
        </is>
      </c>
      <c r="F1564" s="57" t="inlineStr"/>
    </row>
    <row r="1565" ht="25" customHeight="1" s="55">
      <c r="A1565" s="57" t="inlineStr">
        <is>
          <t>hybrid_harvest_Lex_MS</t>
        </is>
      </c>
      <c r="B1565" s="57" t="n">
        <v>10</v>
      </c>
      <c r="C1565" s="57" t="inlineStr">
        <is>
          <t>Location</t>
        </is>
      </c>
      <c r="D1565" s="57" t="inlineStr"/>
      <c r="E1565" s="57" t="inlineStr">
        <is>
          <t>South Farm</t>
        </is>
      </c>
      <c r="F1565" s="57" t="inlineStr">
        <is>
          <t>filled_from_sheet_default</t>
        </is>
      </c>
    </row>
    <row r="1566" ht="25" customHeight="1" s="55">
      <c r="A1566" s="57" t="inlineStr">
        <is>
          <t>hybrid_harvest_Lex_MS</t>
        </is>
      </c>
      <c r="B1566" s="57" t="n">
        <v>11</v>
      </c>
      <c r="C1566" s="57" t="inlineStr">
        <is>
          <t>Location</t>
        </is>
      </c>
      <c r="D1566" s="57" t="inlineStr"/>
      <c r="E1566" s="57" t="inlineStr">
        <is>
          <t>South Farm</t>
        </is>
      </c>
      <c r="F1566" s="57" t="inlineStr">
        <is>
          <t>filled_from_sheet_default</t>
        </is>
      </c>
    </row>
    <row r="1567" ht="25" customHeight="1" s="55">
      <c r="A1567" s="57" t="inlineStr">
        <is>
          <t>hybrid_harvest_Lex_MS</t>
        </is>
      </c>
      <c r="B1567" s="57" t="n">
        <v>12</v>
      </c>
      <c r="C1567" s="57" t="inlineStr">
        <is>
          <t>Genotypes</t>
        </is>
      </c>
      <c r="D1567" s="57" t="inlineStr">
        <is>
          <t>25218G</t>
        </is>
      </c>
      <c r="E1567" s="57" t="inlineStr">
        <is>
          <t>NC25218G</t>
        </is>
      </c>
      <c r="F1567" s="57" t="inlineStr"/>
    </row>
    <row r="1568" ht="25" customHeight="1" s="55">
      <c r="A1568" s="57" t="inlineStr">
        <is>
          <t>hybrid_harvest_Lex_MS</t>
        </is>
      </c>
      <c r="B1568" s="57" t="n">
        <v>12</v>
      </c>
      <c r="C1568" s="57" t="inlineStr">
        <is>
          <t>Location</t>
        </is>
      </c>
      <c r="D1568" s="57" t="inlineStr"/>
      <c r="E1568" s="57" t="inlineStr">
        <is>
          <t>South Farm</t>
        </is>
      </c>
      <c r="F1568" s="57" t="inlineStr">
        <is>
          <t>filled_from_sheet_default</t>
        </is>
      </c>
    </row>
    <row r="1569" ht="25" customHeight="1" s="55">
      <c r="A1569" s="57" t="inlineStr">
        <is>
          <t>hybrid_harvest_Lex_MS</t>
        </is>
      </c>
      <c r="B1569" s="57" t="n">
        <v>13</v>
      </c>
      <c r="C1569" s="57" t="inlineStr">
        <is>
          <t>Location</t>
        </is>
      </c>
      <c r="D1569" s="57" t="inlineStr"/>
      <c r="E1569" s="57" t="inlineStr">
        <is>
          <t>South Farm</t>
        </is>
      </c>
      <c r="F1569" s="57" t="inlineStr">
        <is>
          <t>filled_from_sheet_default</t>
        </is>
      </c>
    </row>
    <row r="1570" ht="25" customHeight="1" s="55">
      <c r="A1570" s="57" t="inlineStr">
        <is>
          <t>hybrid_harvest_Lex_MS</t>
        </is>
      </c>
      <c r="B1570" s="57" t="n">
        <v>14</v>
      </c>
      <c r="C1570" s="57" t="inlineStr">
        <is>
          <t>Genotypes</t>
        </is>
      </c>
      <c r="D1570" s="57" t="inlineStr">
        <is>
          <t>25311</t>
        </is>
      </c>
      <c r="E1570" s="57" t="inlineStr">
        <is>
          <t>UKYT-25-311</t>
        </is>
      </c>
      <c r="F1570" s="57" t="inlineStr"/>
    </row>
    <row r="1571" ht="25" customHeight="1" s="55">
      <c r="A1571" s="57" t="inlineStr">
        <is>
          <t>hybrid_harvest_Lex_MS</t>
        </is>
      </c>
      <c r="B1571" s="57" t="n">
        <v>14</v>
      </c>
      <c r="C1571" s="57" t="inlineStr">
        <is>
          <t>Location</t>
        </is>
      </c>
      <c r="D1571" s="57" t="inlineStr"/>
      <c r="E1571" s="57" t="inlineStr">
        <is>
          <t>South Farm</t>
        </is>
      </c>
      <c r="F1571" s="57" t="inlineStr">
        <is>
          <t>filled_from_sheet_default</t>
        </is>
      </c>
    </row>
    <row r="1572" ht="25" customHeight="1" s="55">
      <c r="A1572" s="57" t="inlineStr">
        <is>
          <t>hybrid_harvest_Lex_MS</t>
        </is>
      </c>
      <c r="B1572" s="57" t="n">
        <v>15</v>
      </c>
      <c r="C1572" s="57" t="inlineStr">
        <is>
          <t>Location</t>
        </is>
      </c>
      <c r="D1572" s="57" t="inlineStr"/>
      <c r="E1572" s="57" t="inlineStr">
        <is>
          <t>South Farm</t>
        </is>
      </c>
      <c r="F1572" s="57" t="inlineStr">
        <is>
          <t>filled_from_sheet_default</t>
        </is>
      </c>
    </row>
    <row r="1573" ht="25" customHeight="1" s="55">
      <c r="A1573" s="57" t="inlineStr">
        <is>
          <t>hybrid_harvest_Lex_MS</t>
        </is>
      </c>
      <c r="B1573" s="57" t="n">
        <v>16</v>
      </c>
      <c r="C1573" s="57" t="inlineStr">
        <is>
          <t>Genotypes</t>
        </is>
      </c>
      <c r="D1573" s="57" t="inlineStr">
        <is>
          <t>257G</t>
        </is>
      </c>
      <c r="E1573" s="57" t="inlineStr">
        <is>
          <t>NC257G</t>
        </is>
      </c>
      <c r="F1573" s="57" t="inlineStr"/>
    </row>
    <row r="1574" ht="25" customHeight="1" s="55">
      <c r="A1574" s="57" t="inlineStr">
        <is>
          <t>hybrid_harvest_Lex_MS</t>
        </is>
      </c>
      <c r="B1574" s="57" t="n">
        <v>16</v>
      </c>
      <c r="C1574" s="57" t="inlineStr">
        <is>
          <t>Location</t>
        </is>
      </c>
      <c r="D1574" s="57" t="inlineStr"/>
      <c r="E1574" s="57" t="inlineStr">
        <is>
          <t>South Farm</t>
        </is>
      </c>
      <c r="F1574" s="57" t="inlineStr">
        <is>
          <t>filled_from_sheet_default</t>
        </is>
      </c>
    </row>
    <row r="1575" ht="25" customHeight="1" s="55">
      <c r="A1575" s="57" t="inlineStr">
        <is>
          <t>hybrid_harvest_Lex_MS</t>
        </is>
      </c>
      <c r="B1575" s="57" t="n">
        <v>17</v>
      </c>
      <c r="C1575" s="57" t="inlineStr">
        <is>
          <t>Location</t>
        </is>
      </c>
      <c r="D1575" s="57" t="inlineStr"/>
      <c r="E1575" s="57" t="inlineStr">
        <is>
          <t>South Farm</t>
        </is>
      </c>
      <c r="F1575" s="57" t="inlineStr">
        <is>
          <t>filled_from_sheet_default</t>
        </is>
      </c>
    </row>
    <row r="1576" ht="25" customHeight="1" s="55">
      <c r="A1576" s="57" t="inlineStr">
        <is>
          <t>hybrid_harvest_Lex_MS</t>
        </is>
      </c>
      <c r="B1576" s="57" t="n">
        <v>18</v>
      </c>
      <c r="C1576" s="57" t="inlineStr">
        <is>
          <t>Location</t>
        </is>
      </c>
      <c r="D1576" s="57" t="inlineStr"/>
      <c r="E1576" s="57" t="inlineStr">
        <is>
          <t>South Farm</t>
        </is>
      </c>
      <c r="F1576" s="57" t="inlineStr">
        <is>
          <t>filled_from_sheet_default</t>
        </is>
      </c>
    </row>
    <row r="1577" ht="25" customHeight="1" s="55">
      <c r="A1577" s="57" t="inlineStr">
        <is>
          <t>hybrid_harvest_Lex_MS</t>
        </is>
      </c>
      <c r="B1577" s="57" t="n">
        <v>19</v>
      </c>
      <c r="C1577" s="57" t="inlineStr">
        <is>
          <t>Genotypes</t>
        </is>
      </c>
      <c r="D1577" s="57" t="inlineStr">
        <is>
          <t>25315G</t>
        </is>
      </c>
      <c r="E1577" s="57" t="inlineStr">
        <is>
          <t>NC25315G</t>
        </is>
      </c>
      <c r="F1577" s="57" t="inlineStr"/>
    </row>
    <row r="1578" ht="25" customHeight="1" s="55">
      <c r="A1578" s="57" t="inlineStr">
        <is>
          <t>hybrid_harvest_Lex_MS</t>
        </is>
      </c>
      <c r="B1578" s="57" t="n">
        <v>19</v>
      </c>
      <c r="C1578" s="57" t="inlineStr">
        <is>
          <t>Location</t>
        </is>
      </c>
      <c r="D1578" s="57" t="inlineStr"/>
      <c r="E1578" s="57" t="inlineStr">
        <is>
          <t>South Farm</t>
        </is>
      </c>
      <c r="F1578" s="57" t="inlineStr">
        <is>
          <t>filled_from_sheet_default</t>
        </is>
      </c>
    </row>
    <row r="1579" ht="25" customHeight="1" s="55">
      <c r="A1579" s="57" t="inlineStr">
        <is>
          <t>hybrid_harvest_Lex_MS</t>
        </is>
      </c>
      <c r="B1579" s="57" t="n">
        <v>20</v>
      </c>
      <c r="C1579" s="57" t="inlineStr">
        <is>
          <t>Genotypes</t>
        </is>
      </c>
      <c r="D1579" s="57" t="inlineStr">
        <is>
          <t>25210G</t>
        </is>
      </c>
      <c r="E1579" s="57" t="inlineStr">
        <is>
          <t>NC25210G</t>
        </is>
      </c>
      <c r="F1579" s="57" t="inlineStr"/>
    </row>
    <row r="1580" ht="25" customHeight="1" s="55">
      <c r="A1580" s="57" t="inlineStr">
        <is>
          <t>hybrid_harvest_Lex_MS</t>
        </is>
      </c>
      <c r="B1580" s="57" t="n">
        <v>20</v>
      </c>
      <c r="C1580" s="57" t="inlineStr">
        <is>
          <t>Location</t>
        </is>
      </c>
      <c r="D1580" s="57" t="inlineStr"/>
      <c r="E1580" s="57" t="inlineStr">
        <is>
          <t>South Farm</t>
        </is>
      </c>
      <c r="F1580" s="57" t="inlineStr">
        <is>
          <t>filled_from_sheet_default</t>
        </is>
      </c>
    </row>
    <row r="1581" ht="25" customHeight="1" s="55">
      <c r="A1581" s="57" t="inlineStr">
        <is>
          <t>hybrid_harvest_Lex_MS</t>
        </is>
      </c>
      <c r="B1581" s="57" t="n">
        <v>21</v>
      </c>
      <c r="C1581" s="57" t="inlineStr">
        <is>
          <t>Genotypes</t>
        </is>
      </c>
      <c r="D1581" s="57" t="inlineStr">
        <is>
          <t>25317G</t>
        </is>
      </c>
      <c r="E1581" s="57" t="inlineStr">
        <is>
          <t>NC25317G</t>
        </is>
      </c>
      <c r="F1581" s="57" t="inlineStr"/>
    </row>
    <row r="1582" ht="25" customHeight="1" s="55">
      <c r="A1582" s="57" t="inlineStr">
        <is>
          <t>hybrid_harvest_Lex_MS</t>
        </is>
      </c>
      <c r="B1582" s="57" t="n">
        <v>21</v>
      </c>
      <c r="C1582" s="57" t="inlineStr">
        <is>
          <t>Location</t>
        </is>
      </c>
      <c r="D1582" s="57" t="inlineStr"/>
      <c r="E1582" s="57" t="inlineStr">
        <is>
          <t>South Farm</t>
        </is>
      </c>
      <c r="F1582" s="57" t="inlineStr">
        <is>
          <t>filled_from_sheet_default</t>
        </is>
      </c>
    </row>
    <row r="1583" ht="25" customHeight="1" s="55">
      <c r="A1583" s="57" t="inlineStr">
        <is>
          <t>hybrid_harvest_Lex_MS</t>
        </is>
      </c>
      <c r="B1583" s="57" t="n">
        <v>22</v>
      </c>
      <c r="C1583" s="57" t="inlineStr">
        <is>
          <t>Genotypes</t>
        </is>
      </c>
      <c r="D1583" s="57" t="inlineStr">
        <is>
          <t>MT.GEM</t>
        </is>
      </c>
      <c r="E1583" s="57" t="inlineStr">
        <is>
          <t>Mt. Gem</t>
        </is>
      </c>
      <c r="F1583" s="57" t="inlineStr"/>
    </row>
    <row r="1584" ht="25" customHeight="1" s="55">
      <c r="A1584" s="57" t="inlineStr">
        <is>
          <t>hybrid_harvest_Lex_MS</t>
        </is>
      </c>
      <c r="B1584" s="57" t="n">
        <v>22</v>
      </c>
      <c r="C1584" s="57" t="inlineStr">
        <is>
          <t>Location</t>
        </is>
      </c>
      <c r="D1584" s="57" t="inlineStr"/>
      <c r="E1584" s="57" t="inlineStr">
        <is>
          <t>South Farm</t>
        </is>
      </c>
      <c r="F1584" s="57" t="inlineStr">
        <is>
          <t>filled_from_sheet_default</t>
        </is>
      </c>
    </row>
    <row r="1585" ht="25" customHeight="1" s="55">
      <c r="A1585" s="57" t="inlineStr">
        <is>
          <t>hybrid_harvest_Lex_MS</t>
        </is>
      </c>
      <c r="B1585" s="57" t="n">
        <v>23</v>
      </c>
      <c r="C1585" s="57" t="inlineStr">
        <is>
          <t>Genotypes</t>
        </is>
      </c>
      <c r="D1585" s="57" t="inlineStr">
        <is>
          <t>23926G</t>
        </is>
      </c>
      <c r="E1585" s="57" t="inlineStr">
        <is>
          <t>NC23926G</t>
        </is>
      </c>
      <c r="F1585" s="57" t="inlineStr"/>
    </row>
    <row r="1586" ht="25" customHeight="1" s="55">
      <c r="A1586" s="57" t="inlineStr">
        <is>
          <t>hybrid_harvest_Lex_MS</t>
        </is>
      </c>
      <c r="B1586" s="57" t="n">
        <v>23</v>
      </c>
      <c r="C1586" s="57" t="inlineStr">
        <is>
          <t>Location</t>
        </is>
      </c>
      <c r="D1586" s="57" t="inlineStr"/>
      <c r="E1586" s="57" t="inlineStr">
        <is>
          <t>South Farm</t>
        </is>
      </c>
      <c r="F1586" s="57" t="inlineStr">
        <is>
          <t>filled_from_sheet_default</t>
        </is>
      </c>
    </row>
    <row r="1587" ht="25" customHeight="1" s="55">
      <c r="A1587" s="57" t="inlineStr">
        <is>
          <t>hybrid_harvest_Lex_MS</t>
        </is>
      </c>
      <c r="B1587" s="57" t="n">
        <v>24</v>
      </c>
      <c r="C1587" s="57" t="inlineStr">
        <is>
          <t>Genotypes</t>
        </is>
      </c>
      <c r="D1587" s="57" t="inlineStr">
        <is>
          <t>252G</t>
        </is>
      </c>
      <c r="E1587" s="57" t="inlineStr">
        <is>
          <t>NC252G</t>
        </is>
      </c>
      <c r="F1587" s="57" t="inlineStr"/>
    </row>
    <row r="1588" ht="25" customHeight="1" s="55">
      <c r="A1588" s="57" t="inlineStr">
        <is>
          <t>hybrid_harvest_Lex_MS</t>
        </is>
      </c>
      <c r="B1588" s="57" t="n">
        <v>24</v>
      </c>
      <c r="C1588" s="57" t="inlineStr">
        <is>
          <t>Location</t>
        </is>
      </c>
      <c r="D1588" s="57" t="inlineStr"/>
      <c r="E1588" s="57" t="inlineStr">
        <is>
          <t>South Farm</t>
        </is>
      </c>
      <c r="F1588" s="57" t="inlineStr">
        <is>
          <t>filled_from_sheet_default</t>
        </is>
      </c>
    </row>
    <row r="1589" ht="25" customHeight="1" s="55">
      <c r="A1589" s="57" t="inlineStr">
        <is>
          <t>hybrid_harvest_Lex_MS</t>
        </is>
      </c>
      <c r="B1589" s="57" t="n">
        <v>25</v>
      </c>
      <c r="C1589" s="57" t="inlineStr">
        <is>
          <t>Genotypes</t>
        </is>
      </c>
      <c r="D1589" s="57" t="inlineStr">
        <is>
          <t>Cherokee purple</t>
        </is>
      </c>
      <c r="E1589" s="57" t="inlineStr">
        <is>
          <t>Cherokee Purple</t>
        </is>
      </c>
      <c r="F1589" s="57" t="inlineStr"/>
    </row>
    <row r="1590" ht="25" customHeight="1" s="55">
      <c r="A1590" s="57" t="inlineStr">
        <is>
          <t>hybrid_harvest_Lex_MS</t>
        </is>
      </c>
      <c r="B1590" s="57" t="n">
        <v>25</v>
      </c>
      <c r="C1590" s="57" t="inlineStr">
        <is>
          <t>Location</t>
        </is>
      </c>
      <c r="D1590" s="57" t="inlineStr"/>
      <c r="E1590" s="57" t="inlineStr">
        <is>
          <t>South Farm</t>
        </is>
      </c>
      <c r="F1590" s="57" t="inlineStr">
        <is>
          <t>filled_from_sheet_default</t>
        </is>
      </c>
    </row>
    <row r="1591" ht="25" customHeight="1" s="55">
      <c r="A1591" s="57" t="inlineStr">
        <is>
          <t>hybrid_harvest_Lex_MS</t>
        </is>
      </c>
      <c r="B1591" s="57" t="n">
        <v>26</v>
      </c>
      <c r="C1591" s="57" t="inlineStr">
        <is>
          <t>Genotypes</t>
        </is>
      </c>
      <c r="D1591" s="57" t="inlineStr">
        <is>
          <t>261G</t>
        </is>
      </c>
      <c r="E1591" s="57" t="inlineStr">
        <is>
          <t>NC261G</t>
        </is>
      </c>
      <c r="F1591" s="57" t="inlineStr"/>
    </row>
    <row r="1592" ht="25" customHeight="1" s="55">
      <c r="A1592" s="57" t="inlineStr">
        <is>
          <t>hybrid_harvest_Lex_MS</t>
        </is>
      </c>
      <c r="B1592" s="57" t="n">
        <v>26</v>
      </c>
      <c r="C1592" s="57" t="inlineStr">
        <is>
          <t>Location</t>
        </is>
      </c>
      <c r="D1592" s="57" t="inlineStr"/>
      <c r="E1592" s="57" t="inlineStr">
        <is>
          <t>South Farm</t>
        </is>
      </c>
      <c r="F1592" s="57" t="inlineStr">
        <is>
          <t>filled_from_sheet_default</t>
        </is>
      </c>
    </row>
    <row r="1593" ht="25" customHeight="1" s="55">
      <c r="A1593" s="57" t="inlineStr">
        <is>
          <t>hybrid_harvest_Lex_MS</t>
        </is>
      </c>
      <c r="B1593" s="57" t="n">
        <v>27</v>
      </c>
      <c r="C1593" s="57" t="inlineStr">
        <is>
          <t>Genotypes</t>
        </is>
      </c>
      <c r="D1593" s="57" t="inlineStr">
        <is>
          <t>263G</t>
        </is>
      </c>
      <c r="E1593" s="57" t="inlineStr">
        <is>
          <t>NC263G</t>
        </is>
      </c>
      <c r="F1593" s="57" t="inlineStr"/>
    </row>
    <row r="1594" ht="25" customHeight="1" s="55">
      <c r="A1594" s="57" t="inlineStr">
        <is>
          <t>hybrid_harvest_Lex_MS</t>
        </is>
      </c>
      <c r="B1594" s="57" t="n">
        <v>27</v>
      </c>
      <c r="C1594" s="57" t="inlineStr">
        <is>
          <t>Location</t>
        </is>
      </c>
      <c r="D1594" s="57" t="inlineStr"/>
      <c r="E1594" s="57" t="inlineStr">
        <is>
          <t>South Farm</t>
        </is>
      </c>
      <c r="F1594" s="57" t="inlineStr">
        <is>
          <t>filled_from_sheet_default</t>
        </is>
      </c>
    </row>
    <row r="1595" ht="25" customHeight="1" s="55">
      <c r="A1595" s="57" t="inlineStr">
        <is>
          <t>hybrid_harvest_Lex_MS</t>
        </is>
      </c>
      <c r="B1595" s="57" t="n">
        <v>28</v>
      </c>
      <c r="C1595" s="57" t="inlineStr">
        <is>
          <t>Genotypes</t>
        </is>
      </c>
      <c r="D1595" s="57" t="inlineStr">
        <is>
          <t>255G</t>
        </is>
      </c>
      <c r="E1595" s="57" t="inlineStr">
        <is>
          <t>NC255G</t>
        </is>
      </c>
      <c r="F1595" s="57" t="inlineStr"/>
    </row>
    <row r="1596" ht="25" customHeight="1" s="55">
      <c r="A1596" s="57" t="inlineStr">
        <is>
          <t>hybrid_harvest_Lex_MS</t>
        </is>
      </c>
      <c r="B1596" s="57" t="n">
        <v>28</v>
      </c>
      <c r="C1596" s="57" t="inlineStr">
        <is>
          <t>Location</t>
        </is>
      </c>
      <c r="D1596" s="57" t="inlineStr"/>
      <c r="E1596" s="57" t="inlineStr">
        <is>
          <t>South Farm</t>
        </is>
      </c>
      <c r="F1596" s="57" t="inlineStr">
        <is>
          <t>filled_from_sheet_default</t>
        </is>
      </c>
    </row>
    <row r="1597" ht="25" customHeight="1" s="55">
      <c r="A1597" s="57" t="inlineStr">
        <is>
          <t>hybrid_harvest_Lex_MS</t>
        </is>
      </c>
      <c r="B1597" s="57" t="n">
        <v>29</v>
      </c>
      <c r="C1597" s="57" t="inlineStr">
        <is>
          <t>Genotypes</t>
        </is>
      </c>
      <c r="D1597" s="57" t="inlineStr">
        <is>
          <t>23926G</t>
        </is>
      </c>
      <c r="E1597" s="57" t="inlineStr">
        <is>
          <t>NC23926G</t>
        </is>
      </c>
      <c r="F1597" s="57" t="inlineStr"/>
    </row>
    <row r="1598" ht="25" customHeight="1" s="55">
      <c r="A1598" s="57" t="inlineStr">
        <is>
          <t>hybrid_harvest_Lex_MS</t>
        </is>
      </c>
      <c r="B1598" s="57" t="n">
        <v>29</v>
      </c>
      <c r="C1598" s="57" t="inlineStr">
        <is>
          <t>Location</t>
        </is>
      </c>
      <c r="D1598" s="57" t="inlineStr"/>
      <c r="E1598" s="57" t="inlineStr">
        <is>
          <t>South Farm</t>
        </is>
      </c>
      <c r="F1598" s="57" t="inlineStr">
        <is>
          <t>filled_from_sheet_default</t>
        </is>
      </c>
    </row>
    <row r="1599" ht="25" customHeight="1" s="55">
      <c r="A1599" s="57" t="inlineStr">
        <is>
          <t>hybrid_harvest_Lex_MS</t>
        </is>
      </c>
      <c r="B1599" s="57" t="n">
        <v>30</v>
      </c>
      <c r="C1599" s="57" t="inlineStr">
        <is>
          <t>Location</t>
        </is>
      </c>
      <c r="D1599" s="57" t="inlineStr"/>
      <c r="E1599" s="57" t="inlineStr">
        <is>
          <t>South Farm</t>
        </is>
      </c>
      <c r="F1599" s="57" t="inlineStr">
        <is>
          <t>filled_from_sheet_default</t>
        </is>
      </c>
    </row>
    <row r="1600" ht="25" customHeight="1" s="55">
      <c r="A1600" s="57" t="inlineStr">
        <is>
          <t>hybrid_harvest_Lex_MS</t>
        </is>
      </c>
      <c r="B1600" s="57" t="n">
        <v>31</v>
      </c>
      <c r="C1600" s="57" t="inlineStr">
        <is>
          <t>Genotypes</t>
        </is>
      </c>
      <c r="D1600" s="57" t="inlineStr">
        <is>
          <t>23706G</t>
        </is>
      </c>
      <c r="E1600" s="57" t="inlineStr">
        <is>
          <t>NC23706G</t>
        </is>
      </c>
      <c r="F1600" s="57" t="inlineStr"/>
    </row>
    <row r="1601" ht="25" customHeight="1" s="55">
      <c r="A1601" s="57" t="inlineStr">
        <is>
          <t>hybrid_harvest_Lex_MS</t>
        </is>
      </c>
      <c r="B1601" s="57" t="n">
        <v>31</v>
      </c>
      <c r="C1601" s="57" t="inlineStr">
        <is>
          <t>Location</t>
        </is>
      </c>
      <c r="D1601" s="57" t="inlineStr"/>
      <c r="E1601" s="57" t="inlineStr">
        <is>
          <t>South Farm</t>
        </is>
      </c>
      <c r="F1601" s="57" t="inlineStr">
        <is>
          <t>filled_from_sheet_default</t>
        </is>
      </c>
    </row>
    <row r="1602" ht="25" customHeight="1" s="55">
      <c r="A1602" s="57" t="inlineStr">
        <is>
          <t>hybrid_harvest_Lex_MS</t>
        </is>
      </c>
      <c r="B1602" s="57" t="n">
        <v>32</v>
      </c>
      <c r="C1602" s="57" t="inlineStr">
        <is>
          <t>Genotypes</t>
        </is>
      </c>
      <c r="D1602" s="57" t="inlineStr">
        <is>
          <t>25240G</t>
        </is>
      </c>
      <c r="E1602" s="57" t="inlineStr">
        <is>
          <t>NC25240G</t>
        </is>
      </c>
      <c r="F1602" s="57" t="inlineStr"/>
    </row>
    <row r="1603" ht="25" customHeight="1" s="55">
      <c r="A1603" s="57" t="inlineStr">
        <is>
          <t>hybrid_harvest_Lex_MS</t>
        </is>
      </c>
      <c r="B1603" s="57" t="n">
        <v>32</v>
      </c>
      <c r="C1603" s="57" t="inlineStr">
        <is>
          <t>Location</t>
        </is>
      </c>
      <c r="D1603" s="57" t="inlineStr"/>
      <c r="E1603" s="57" t="inlineStr">
        <is>
          <t>South Farm</t>
        </is>
      </c>
      <c r="F1603" s="57" t="inlineStr">
        <is>
          <t>filled_from_sheet_default</t>
        </is>
      </c>
    </row>
    <row r="1604" ht="25" customHeight="1" s="55">
      <c r="A1604" s="57" t="inlineStr">
        <is>
          <t>hybrid_harvest_Lex_MS</t>
        </is>
      </c>
      <c r="B1604" s="57" t="n">
        <v>33</v>
      </c>
      <c r="C1604" s="57" t="inlineStr">
        <is>
          <t>Genotypes</t>
        </is>
      </c>
      <c r="D1604" s="57" t="inlineStr">
        <is>
          <t xml:space="preserve">25231 G </t>
        </is>
      </c>
      <c r="E1604" s="57" t="inlineStr">
        <is>
          <t>UKYT-25-231</t>
        </is>
      </c>
      <c r="F1604" s="57" t="inlineStr"/>
    </row>
    <row r="1605" ht="25" customHeight="1" s="55">
      <c r="A1605" s="57" t="inlineStr">
        <is>
          <t>hybrid_harvest_Lex_MS</t>
        </is>
      </c>
      <c r="B1605" s="57" t="n">
        <v>33</v>
      </c>
      <c r="C1605" s="57" t="inlineStr">
        <is>
          <t>Location</t>
        </is>
      </c>
      <c r="D1605" s="57" t="inlineStr"/>
      <c r="E1605" s="57" t="inlineStr">
        <is>
          <t>South Farm</t>
        </is>
      </c>
      <c r="F1605" s="57" t="inlineStr">
        <is>
          <t>filled_from_sheet_default</t>
        </is>
      </c>
    </row>
    <row r="1606" ht="25" customHeight="1" s="55">
      <c r="A1606" s="57" t="inlineStr">
        <is>
          <t>hybrid_harvest_Lex_MS</t>
        </is>
      </c>
      <c r="B1606" s="57" t="n">
        <v>34</v>
      </c>
      <c r="C1606" s="57" t="inlineStr">
        <is>
          <t>Location</t>
        </is>
      </c>
      <c r="D1606" s="57" t="inlineStr"/>
      <c r="E1606" s="57" t="inlineStr">
        <is>
          <t>South Farm</t>
        </is>
      </c>
      <c r="F1606" s="57" t="inlineStr">
        <is>
          <t>filled_from_sheet_default</t>
        </is>
      </c>
    </row>
    <row r="1607" ht="25" customHeight="1" s="55">
      <c r="A1607" s="57" t="inlineStr">
        <is>
          <t>hybrid_harvest_Lex_MS</t>
        </is>
      </c>
      <c r="B1607" s="57" t="n">
        <v>35</v>
      </c>
      <c r="C1607" s="57" t="inlineStr">
        <is>
          <t>Genotypes</t>
        </is>
      </c>
      <c r="D1607" s="57" t="inlineStr">
        <is>
          <t>25311G</t>
        </is>
      </c>
      <c r="E1607" s="57" t="inlineStr">
        <is>
          <t>NC25311G</t>
        </is>
      </c>
      <c r="F1607" s="57" t="inlineStr"/>
    </row>
    <row r="1608" ht="25" customHeight="1" s="55">
      <c r="A1608" s="57" t="inlineStr">
        <is>
          <t>hybrid_harvest_Lex_MS</t>
        </is>
      </c>
      <c r="B1608" s="57" t="n">
        <v>35</v>
      </c>
      <c r="C1608" s="57" t="inlineStr">
        <is>
          <t>Location</t>
        </is>
      </c>
      <c r="D1608" s="57" t="inlineStr"/>
      <c r="E1608" s="57" t="inlineStr">
        <is>
          <t>South Farm</t>
        </is>
      </c>
      <c r="F1608" s="57" t="inlineStr">
        <is>
          <t>filled_from_sheet_default</t>
        </is>
      </c>
    </row>
    <row r="1609" ht="25" customHeight="1" s="55">
      <c r="A1609" s="57" t="inlineStr">
        <is>
          <t>hybrid_harvest_Lex_MS</t>
        </is>
      </c>
      <c r="B1609" s="57" t="n">
        <v>36</v>
      </c>
      <c r="C1609" s="57" t="inlineStr">
        <is>
          <t>Genotypes</t>
        </is>
      </c>
      <c r="D1609" s="57" t="inlineStr">
        <is>
          <t>25218G</t>
        </is>
      </c>
      <c r="E1609" s="57" t="inlineStr">
        <is>
          <t>NC25218G</t>
        </is>
      </c>
      <c r="F1609" s="57" t="inlineStr"/>
    </row>
    <row r="1610" ht="25" customHeight="1" s="55">
      <c r="A1610" s="57" t="inlineStr">
        <is>
          <t>hybrid_harvest_Lex_MS</t>
        </is>
      </c>
      <c r="B1610" s="57" t="n">
        <v>36</v>
      </c>
      <c r="C1610" s="57" t="inlineStr">
        <is>
          <t>Location</t>
        </is>
      </c>
      <c r="D1610" s="57" t="inlineStr"/>
      <c r="E1610" s="57" t="inlineStr">
        <is>
          <t>South Farm</t>
        </is>
      </c>
      <c r="F1610" s="57" t="inlineStr">
        <is>
          <t>filled_from_sheet_default</t>
        </is>
      </c>
    </row>
    <row r="1611" ht="25" customHeight="1" s="55">
      <c r="A1611" s="57" t="inlineStr">
        <is>
          <t>hybrid_harvest_Lex_MS</t>
        </is>
      </c>
      <c r="B1611" s="57" t="n">
        <v>37</v>
      </c>
      <c r="C1611" s="57" t="inlineStr">
        <is>
          <t>Genotypes</t>
        </is>
      </c>
      <c r="D1611" s="57" t="inlineStr">
        <is>
          <t>25209G</t>
        </is>
      </c>
      <c r="E1611" s="57" t="inlineStr">
        <is>
          <t>NC25209G</t>
        </is>
      </c>
      <c r="F1611" s="57" t="inlineStr"/>
    </row>
    <row r="1612" ht="25" customHeight="1" s="55">
      <c r="A1612" s="57" t="inlineStr">
        <is>
          <t>hybrid_harvest_Lex_MS</t>
        </is>
      </c>
      <c r="B1612" s="57" t="n">
        <v>37</v>
      </c>
      <c r="C1612" s="57" t="inlineStr">
        <is>
          <t>Location</t>
        </is>
      </c>
      <c r="D1612" s="57" t="inlineStr"/>
      <c r="E1612" s="57" t="inlineStr">
        <is>
          <t>South Farm</t>
        </is>
      </c>
      <c r="F1612" s="57" t="inlineStr">
        <is>
          <t>filled_from_sheet_default</t>
        </is>
      </c>
    </row>
    <row r="1613" ht="25" customHeight="1" s="55">
      <c r="A1613" s="57" t="inlineStr">
        <is>
          <t>hybrid_harvest_Lex_MS</t>
        </is>
      </c>
      <c r="B1613" s="57" t="n">
        <v>38</v>
      </c>
      <c r="C1613" s="57" t="inlineStr">
        <is>
          <t>Genotypes</t>
        </is>
      </c>
      <c r="D1613" s="57" t="inlineStr">
        <is>
          <t>25207G</t>
        </is>
      </c>
      <c r="E1613" s="57" t="inlineStr">
        <is>
          <t>NC25207G</t>
        </is>
      </c>
      <c r="F1613" s="57" t="inlineStr"/>
    </row>
    <row r="1614" ht="25" customHeight="1" s="55">
      <c r="A1614" s="57" t="inlineStr">
        <is>
          <t>hybrid_harvest_Lex_MS</t>
        </is>
      </c>
      <c r="B1614" s="57" t="n">
        <v>38</v>
      </c>
      <c r="C1614" s="57" t="inlineStr">
        <is>
          <t>Location</t>
        </is>
      </c>
      <c r="D1614" s="57" t="inlineStr"/>
      <c r="E1614" s="57" t="inlineStr">
        <is>
          <t>South Farm</t>
        </is>
      </c>
      <c r="F1614" s="57" t="inlineStr">
        <is>
          <t>filled_from_sheet_default</t>
        </is>
      </c>
    </row>
    <row r="1615" ht="25" customHeight="1" s="55">
      <c r="A1615" s="57" t="inlineStr">
        <is>
          <t>hybrid_harvest_Lex_MS</t>
        </is>
      </c>
      <c r="B1615" s="57" t="n">
        <v>39</v>
      </c>
      <c r="C1615" s="57" t="inlineStr">
        <is>
          <t>Genotypes</t>
        </is>
      </c>
      <c r="D1615" s="57" t="inlineStr">
        <is>
          <t>25208G</t>
        </is>
      </c>
      <c r="E1615" s="57" t="inlineStr">
        <is>
          <t>NC25208G</t>
        </is>
      </c>
      <c r="F1615" s="57" t="inlineStr"/>
    </row>
    <row r="1616" ht="25" customHeight="1" s="55">
      <c r="A1616" s="57" t="inlineStr">
        <is>
          <t>hybrid_harvest_Lex_MS</t>
        </is>
      </c>
      <c r="B1616" s="57" t="n">
        <v>39</v>
      </c>
      <c r="C1616" s="57" t="inlineStr">
        <is>
          <t>Location</t>
        </is>
      </c>
      <c r="D1616" s="57" t="inlineStr"/>
      <c r="E1616" s="57" t="inlineStr">
        <is>
          <t>South Farm</t>
        </is>
      </c>
      <c r="F1616" s="57" t="inlineStr">
        <is>
          <t>filled_from_sheet_default</t>
        </is>
      </c>
    </row>
    <row r="1617" ht="25" customHeight="1" s="55">
      <c r="A1617" s="57" t="inlineStr">
        <is>
          <t>hybrid_harvest_Lex_MS</t>
        </is>
      </c>
      <c r="B1617" s="57" t="n">
        <v>1</v>
      </c>
      <c r="C1617" s="57" t="inlineStr">
        <is>
          <t>column_removed</t>
        </is>
      </c>
      <c r="D1617" s="57" t="inlineStr">
        <is>
          <t>TOTAL WEIGHT</t>
        </is>
      </c>
      <c r="E1617" s="57" t="inlineStr"/>
      <c r="F1617" s="57" t="inlineStr">
        <is>
          <t>empty_or_duplicate</t>
        </is>
      </c>
    </row>
    <row r="1618" ht="25" customHeight="1" s="55">
      <c r="A1618" s="57" t="inlineStr">
        <is>
          <t>hybrid_harvest_Lex_MS</t>
        </is>
      </c>
      <c r="B1618" s="57" t="n">
        <v>1</v>
      </c>
      <c r="C1618" s="57" t="inlineStr">
        <is>
          <t>column_removed</t>
        </is>
      </c>
      <c r="D1618" s="57" t="inlineStr">
        <is>
          <t>WEIGHT(20 SAMPLES UM)</t>
        </is>
      </c>
      <c r="E1618" s="57" t="inlineStr"/>
      <c r="F1618" s="57" t="inlineStr">
        <is>
          <t>empty_or_duplicate</t>
        </is>
      </c>
    </row>
    <row r="1619" ht="25" customHeight="1" s="55">
      <c r="A1619" s="57" t="inlineStr">
        <is>
          <t>hybrid_harvest_Lex_MS</t>
        </is>
      </c>
      <c r="B1619" s="57" t="n">
        <v>1</v>
      </c>
      <c r="C1619" s="57" t="inlineStr">
        <is>
          <t>header</t>
        </is>
      </c>
      <c r="D1619" s="57" t="inlineStr">
        <is>
          <t>UNMARKETABLE(COUNT)</t>
        </is>
      </c>
      <c r="E1619" s="57" t="inlineStr">
        <is>
          <t>Unmarketables (counts)</t>
        </is>
      </c>
      <c r="F1619" s="57" t="inlineStr">
        <is>
          <t>standardized</t>
        </is>
      </c>
    </row>
    <row r="1620" ht="25" customHeight="1" s="55">
      <c r="A1620" s="57" t="inlineStr">
        <is>
          <t>hybrid_harvest_Lex_MS</t>
        </is>
      </c>
      <c r="B1620" s="57" t="n">
        <v>1</v>
      </c>
      <c r="C1620" s="57" t="inlineStr">
        <is>
          <t>header</t>
        </is>
      </c>
      <c r="D1620" s="57" t="inlineStr">
        <is>
          <t>TOTAL WEIGHT (Gram)</t>
        </is>
      </c>
      <c r="E1620" s="57" t="inlineStr">
        <is>
          <t>Total Weight (g)</t>
        </is>
      </c>
      <c r="F1620" s="57" t="inlineStr">
        <is>
          <t>standardized</t>
        </is>
      </c>
    </row>
    <row r="1621" ht="25" customHeight="1" s="55">
      <c r="A1621" s="57" t="inlineStr">
        <is>
          <t>hybrid_harvest_Lex_MS</t>
        </is>
      </c>
      <c r="B1621" s="57" t="n">
        <v>1</v>
      </c>
      <c r="C1621" s="57" t="inlineStr">
        <is>
          <t>header</t>
        </is>
      </c>
      <c r="D1621" s="57" t="inlineStr">
        <is>
          <t>Total Weight (KG)</t>
        </is>
      </c>
      <c r="E1621" s="57" t="inlineStr">
        <is>
          <t>Total Weight (kg)</t>
        </is>
      </c>
      <c r="F1621" s="57" t="inlineStr">
        <is>
          <t>standardized</t>
        </is>
      </c>
    </row>
    <row r="1622" ht="25" customHeight="1" s="55">
      <c r="A1622" s="57" t="inlineStr">
        <is>
          <t>RobinsonCenter</t>
        </is>
      </c>
      <c r="B1622" s="57" t="n">
        <v>2</v>
      </c>
      <c r="C1622" s="57" t="inlineStr">
        <is>
          <t>Genotypes</t>
        </is>
      </c>
      <c r="D1622" s="57" t="inlineStr"/>
      <c r="E1622" s="57" t="inlineStr">
        <is>
          <t>25-3</t>
        </is>
      </c>
      <c r="F1622" s="57" t="inlineStr">
        <is>
          <t>moved_from_SN</t>
        </is>
      </c>
    </row>
    <row r="1623" ht="25" customHeight="1" s="55">
      <c r="A1623" s="57" t="inlineStr">
        <is>
          <t>RobinsonCenter</t>
        </is>
      </c>
      <c r="B1623" s="57" t="n">
        <v>2</v>
      </c>
      <c r="C1623" s="57" t="inlineStr">
        <is>
          <t>Genotypes</t>
        </is>
      </c>
      <c r="D1623" s="57" t="inlineStr">
        <is>
          <t>25-3</t>
        </is>
      </c>
      <c r="E1623" s="57" t="inlineStr">
        <is>
          <t>UKYT-25-003</t>
        </is>
      </c>
      <c r="F1623" s="57" t="inlineStr"/>
    </row>
    <row r="1624" ht="25" customHeight="1" s="55">
      <c r="A1624" s="57" t="inlineStr">
        <is>
          <t>RobinsonCenter</t>
        </is>
      </c>
      <c r="B1624" s="57" t="n">
        <v>2</v>
      </c>
      <c r="C1624" s="57" t="inlineStr">
        <is>
          <t>Location</t>
        </is>
      </c>
      <c r="D1624" s="57" t="inlineStr"/>
      <c r="E1624" s="57" t="inlineStr">
        <is>
          <t>Robinson</t>
        </is>
      </c>
      <c r="F1624" s="57" t="inlineStr">
        <is>
          <t>forced_from_sheet_name</t>
        </is>
      </c>
    </row>
    <row r="1625" ht="25" customHeight="1" s="55">
      <c r="A1625" s="57" t="inlineStr">
        <is>
          <t>RobinsonCenter</t>
        </is>
      </c>
      <c r="B1625" s="57" t="n">
        <v>2</v>
      </c>
      <c r="C1625" s="57" t="inlineStr">
        <is>
          <t>Harvest</t>
        </is>
      </c>
      <c r="D1625" s="57" t="inlineStr"/>
      <c r="E1625" s="57" t="inlineStr">
        <is>
          <t>First</t>
        </is>
      </c>
      <c r="F1625" s="57" t="inlineStr">
        <is>
          <t>forced_from_sheet_name</t>
        </is>
      </c>
    </row>
    <row r="1626" ht="25" customHeight="1" s="55">
      <c r="A1626" s="57" t="inlineStr">
        <is>
          <t>RobinsonCenter</t>
        </is>
      </c>
      <c r="B1626" s="57" t="n">
        <v>2</v>
      </c>
      <c r="C1626" s="57" t="inlineStr">
        <is>
          <t>Date of harvest</t>
        </is>
      </c>
      <c r="D1626" s="57" t="inlineStr"/>
      <c r="E1626" s="57" t="inlineStr">
        <is>
          <t>2026-08-12</t>
        </is>
      </c>
      <c r="F1626" s="57" t="inlineStr">
        <is>
          <t>date_forced:SG Robinson first-harvest assays all dated 2026-08-12</t>
        </is>
      </c>
    </row>
    <row r="1627" ht="25" customHeight="1" s="55">
      <c r="A1627" s="57" t="inlineStr">
        <is>
          <t>RobinsonCenter</t>
        </is>
      </c>
      <c r="B1627" s="57" t="n">
        <v>3</v>
      </c>
      <c r="C1627" s="57" t="inlineStr">
        <is>
          <t>Genotypes</t>
        </is>
      </c>
      <c r="D1627" s="57" t="inlineStr"/>
      <c r="E1627" s="57" t="inlineStr">
        <is>
          <t>25-5</t>
        </is>
      </c>
      <c r="F1627" s="57" t="inlineStr">
        <is>
          <t>moved_from_SN</t>
        </is>
      </c>
    </row>
    <row r="1628" ht="25" customHeight="1" s="55">
      <c r="A1628" s="57" t="inlineStr">
        <is>
          <t>RobinsonCenter</t>
        </is>
      </c>
      <c r="B1628" s="57" t="n">
        <v>3</v>
      </c>
      <c r="C1628" s="57" t="inlineStr">
        <is>
          <t>Genotypes</t>
        </is>
      </c>
      <c r="D1628" s="57" t="inlineStr">
        <is>
          <t>25-5</t>
        </is>
      </c>
      <c r="E1628" s="57" t="inlineStr">
        <is>
          <t>UKYT-25-005</t>
        </is>
      </c>
      <c r="F1628" s="57" t="inlineStr"/>
    </row>
    <row r="1629" ht="25" customHeight="1" s="55">
      <c r="A1629" s="57" t="inlineStr">
        <is>
          <t>RobinsonCenter</t>
        </is>
      </c>
      <c r="B1629" s="57" t="n">
        <v>3</v>
      </c>
      <c r="C1629" s="57" t="inlineStr">
        <is>
          <t>Location</t>
        </is>
      </c>
      <c r="D1629" s="57" t="inlineStr"/>
      <c r="E1629" s="57" t="inlineStr">
        <is>
          <t>Robinson</t>
        </is>
      </c>
      <c r="F1629" s="57" t="inlineStr">
        <is>
          <t>forced_from_sheet_name</t>
        </is>
      </c>
    </row>
    <row r="1630" ht="25" customHeight="1" s="55">
      <c r="A1630" s="57" t="inlineStr">
        <is>
          <t>RobinsonCenter</t>
        </is>
      </c>
      <c r="B1630" s="57" t="n">
        <v>3</v>
      </c>
      <c r="C1630" s="57" t="inlineStr">
        <is>
          <t>Harvest</t>
        </is>
      </c>
      <c r="D1630" s="57" t="inlineStr"/>
      <c r="E1630" s="57" t="inlineStr">
        <is>
          <t>First</t>
        </is>
      </c>
      <c r="F1630" s="57" t="inlineStr">
        <is>
          <t>forced_from_sheet_name</t>
        </is>
      </c>
    </row>
    <row r="1631" ht="25" customHeight="1" s="55">
      <c r="A1631" s="57" t="inlineStr">
        <is>
          <t>RobinsonCenter</t>
        </is>
      </c>
      <c r="B1631" s="57" t="n">
        <v>3</v>
      </c>
      <c r="C1631" s="57" t="inlineStr">
        <is>
          <t>Date of harvest</t>
        </is>
      </c>
      <c r="D1631" s="57" t="inlineStr"/>
      <c r="E1631" s="57" t="inlineStr">
        <is>
          <t>2026-08-12</t>
        </is>
      </c>
      <c r="F1631" s="57" t="inlineStr">
        <is>
          <t>date_forced:SG Robinson first-harvest assays all dated 2026-08-12</t>
        </is>
      </c>
    </row>
    <row r="1632" ht="25" customHeight="1" s="55">
      <c r="A1632" s="57" t="inlineStr">
        <is>
          <t>RobinsonCenter</t>
        </is>
      </c>
      <c r="B1632" s="57" t="n">
        <v>4</v>
      </c>
      <c r="C1632" s="57" t="inlineStr">
        <is>
          <t>Genotypes</t>
        </is>
      </c>
      <c r="D1632" s="57" t="inlineStr"/>
      <c r="E1632" s="57" t="inlineStr">
        <is>
          <t>25-1</t>
        </is>
      </c>
      <c r="F1632" s="57" t="inlineStr">
        <is>
          <t>moved_from_SN</t>
        </is>
      </c>
    </row>
    <row r="1633" ht="25" customHeight="1" s="55">
      <c r="A1633" s="57" t="inlineStr">
        <is>
          <t>RobinsonCenter</t>
        </is>
      </c>
      <c r="B1633" s="57" t="n">
        <v>4</v>
      </c>
      <c r="C1633" s="57" t="inlineStr">
        <is>
          <t>Genotypes</t>
        </is>
      </c>
      <c r="D1633" s="57" t="inlineStr">
        <is>
          <t>25-1</t>
        </is>
      </c>
      <c r="E1633" s="57" t="inlineStr">
        <is>
          <t>UKYT-25-001</t>
        </is>
      </c>
      <c r="F1633" s="57" t="inlineStr"/>
    </row>
    <row r="1634" ht="25" customHeight="1" s="55">
      <c r="A1634" s="57" t="inlineStr">
        <is>
          <t>RobinsonCenter</t>
        </is>
      </c>
      <c r="B1634" s="57" t="n">
        <v>4</v>
      </c>
      <c r="C1634" s="57" t="inlineStr">
        <is>
          <t>Location</t>
        </is>
      </c>
      <c r="D1634" s="57" t="inlineStr"/>
      <c r="E1634" s="57" t="inlineStr">
        <is>
          <t>Robinson</t>
        </is>
      </c>
      <c r="F1634" s="57" t="inlineStr">
        <is>
          <t>forced_from_sheet_name</t>
        </is>
      </c>
    </row>
    <row r="1635" ht="25" customHeight="1" s="55">
      <c r="A1635" s="57" t="inlineStr">
        <is>
          <t>RobinsonCenter</t>
        </is>
      </c>
      <c r="B1635" s="57" t="n">
        <v>4</v>
      </c>
      <c r="C1635" s="57" t="inlineStr">
        <is>
          <t>Harvest</t>
        </is>
      </c>
      <c r="D1635" s="57" t="inlineStr"/>
      <c r="E1635" s="57" t="inlineStr">
        <is>
          <t>First</t>
        </is>
      </c>
      <c r="F1635" s="57" t="inlineStr">
        <is>
          <t>forced_from_sheet_name</t>
        </is>
      </c>
    </row>
    <row r="1636" ht="25" customHeight="1" s="55">
      <c r="A1636" s="57" t="inlineStr">
        <is>
          <t>RobinsonCenter</t>
        </is>
      </c>
      <c r="B1636" s="57" t="n">
        <v>4</v>
      </c>
      <c r="C1636" s="57" t="inlineStr">
        <is>
          <t>Date of harvest</t>
        </is>
      </c>
      <c r="D1636" s="57" t="inlineStr"/>
      <c r="E1636" s="57" t="inlineStr">
        <is>
          <t>2026-08-12</t>
        </is>
      </c>
      <c r="F1636" s="57" t="inlineStr">
        <is>
          <t>date_forced:SG Robinson first-harvest assays all dated 2026-08-12</t>
        </is>
      </c>
    </row>
    <row r="1637" ht="25" customHeight="1" s="55">
      <c r="A1637" s="57" t="inlineStr">
        <is>
          <t>RobinsonCenter</t>
        </is>
      </c>
      <c r="B1637" s="57" t="n">
        <v>5</v>
      </c>
      <c r="C1637" s="57" t="inlineStr">
        <is>
          <t>Genotypes</t>
        </is>
      </c>
      <c r="D1637" s="57" t="inlineStr"/>
      <c r="E1637" s="57" t="inlineStr">
        <is>
          <t>25-16</t>
        </is>
      </c>
      <c r="F1637" s="57" t="inlineStr">
        <is>
          <t>moved_from_SN</t>
        </is>
      </c>
    </row>
    <row r="1638" ht="25" customHeight="1" s="55">
      <c r="A1638" s="57" t="inlineStr">
        <is>
          <t>RobinsonCenter</t>
        </is>
      </c>
      <c r="B1638" s="57" t="n">
        <v>5</v>
      </c>
      <c r="C1638" s="57" t="inlineStr">
        <is>
          <t>Genotypes</t>
        </is>
      </c>
      <c r="D1638" s="57" t="inlineStr">
        <is>
          <t>25-16</t>
        </is>
      </c>
      <c r="E1638" s="57" t="inlineStr">
        <is>
          <t>UKYT-25-016</t>
        </is>
      </c>
      <c r="F1638" s="57" t="inlineStr"/>
    </row>
    <row r="1639" ht="25" customHeight="1" s="55">
      <c r="A1639" s="57" t="inlineStr">
        <is>
          <t>RobinsonCenter</t>
        </is>
      </c>
      <c r="B1639" s="57" t="n">
        <v>5</v>
      </c>
      <c r="C1639" s="57" t="inlineStr">
        <is>
          <t>Location</t>
        </is>
      </c>
      <c r="D1639" s="57" t="inlineStr"/>
      <c r="E1639" s="57" t="inlineStr">
        <is>
          <t>Robinson</t>
        </is>
      </c>
      <c r="F1639" s="57" t="inlineStr">
        <is>
          <t>forced_from_sheet_name</t>
        </is>
      </c>
    </row>
    <row r="1640" ht="25" customHeight="1" s="55">
      <c r="A1640" s="57" t="inlineStr">
        <is>
          <t>RobinsonCenter</t>
        </is>
      </c>
      <c r="B1640" s="57" t="n">
        <v>5</v>
      </c>
      <c r="C1640" s="57" t="inlineStr">
        <is>
          <t>Harvest</t>
        </is>
      </c>
      <c r="D1640" s="57" t="inlineStr"/>
      <c r="E1640" s="57" t="inlineStr">
        <is>
          <t>First</t>
        </is>
      </c>
      <c r="F1640" s="57" t="inlineStr">
        <is>
          <t>forced_from_sheet_name</t>
        </is>
      </c>
    </row>
    <row r="1641" ht="25" customHeight="1" s="55">
      <c r="A1641" s="57" t="inlineStr">
        <is>
          <t>RobinsonCenter</t>
        </is>
      </c>
      <c r="B1641" s="57" t="n">
        <v>5</v>
      </c>
      <c r="C1641" s="57" t="inlineStr">
        <is>
          <t>Date of harvest</t>
        </is>
      </c>
      <c r="D1641" s="57" t="inlineStr"/>
      <c r="E1641" s="57" t="inlineStr">
        <is>
          <t>2026-08-12</t>
        </is>
      </c>
      <c r="F1641" s="57" t="inlineStr">
        <is>
          <t>date_forced:SG Robinson first-harvest assays all dated 2026-08-12</t>
        </is>
      </c>
    </row>
    <row r="1642" ht="25" customHeight="1" s="55">
      <c r="A1642" s="57" t="inlineStr">
        <is>
          <t>RobinsonCenter</t>
        </is>
      </c>
      <c r="B1642" s="57" t="n">
        <v>6</v>
      </c>
      <c r="C1642" s="57" t="inlineStr">
        <is>
          <t>Genotypes</t>
        </is>
      </c>
      <c r="D1642" s="57" t="inlineStr"/>
      <c r="E1642" s="57" t="inlineStr">
        <is>
          <t>25-15</t>
        </is>
      </c>
      <c r="F1642" s="57" t="inlineStr">
        <is>
          <t>moved_from_SN</t>
        </is>
      </c>
    </row>
    <row r="1643" ht="25" customHeight="1" s="55">
      <c r="A1643" s="57" t="inlineStr">
        <is>
          <t>RobinsonCenter</t>
        </is>
      </c>
      <c r="B1643" s="57" t="n">
        <v>6</v>
      </c>
      <c r="C1643" s="57" t="inlineStr">
        <is>
          <t>Genotypes</t>
        </is>
      </c>
      <c r="D1643" s="57" t="inlineStr">
        <is>
          <t>25-15</t>
        </is>
      </c>
      <c r="E1643" s="57" t="inlineStr">
        <is>
          <t>UKYT-25-015</t>
        </is>
      </c>
      <c r="F1643" s="57" t="inlineStr"/>
    </row>
    <row r="1644" ht="25" customHeight="1" s="55">
      <c r="A1644" s="57" t="inlineStr">
        <is>
          <t>RobinsonCenter</t>
        </is>
      </c>
      <c r="B1644" s="57" t="n">
        <v>6</v>
      </c>
      <c r="C1644" s="57" t="inlineStr">
        <is>
          <t>Location</t>
        </is>
      </c>
      <c r="D1644" s="57" t="inlineStr"/>
      <c r="E1644" s="57" t="inlineStr">
        <is>
          <t>Robinson</t>
        </is>
      </c>
      <c r="F1644" s="57" t="inlineStr">
        <is>
          <t>forced_from_sheet_name</t>
        </is>
      </c>
    </row>
    <row r="1645" ht="25" customHeight="1" s="55">
      <c r="A1645" s="57" t="inlineStr">
        <is>
          <t>RobinsonCenter</t>
        </is>
      </c>
      <c r="B1645" s="57" t="n">
        <v>6</v>
      </c>
      <c r="C1645" s="57" t="inlineStr">
        <is>
          <t>Harvest</t>
        </is>
      </c>
      <c r="D1645" s="57" t="inlineStr"/>
      <c r="E1645" s="57" t="inlineStr">
        <is>
          <t>First</t>
        </is>
      </c>
      <c r="F1645" s="57" t="inlineStr">
        <is>
          <t>forced_from_sheet_name</t>
        </is>
      </c>
    </row>
    <row r="1646" ht="25" customHeight="1" s="55">
      <c r="A1646" s="57" t="inlineStr">
        <is>
          <t>RobinsonCenter</t>
        </is>
      </c>
      <c r="B1646" s="57" t="n">
        <v>6</v>
      </c>
      <c r="C1646" s="57" t="inlineStr">
        <is>
          <t>Date of harvest</t>
        </is>
      </c>
      <c r="D1646" s="57" t="inlineStr"/>
      <c r="E1646" s="57" t="inlineStr">
        <is>
          <t>2026-08-12</t>
        </is>
      </c>
      <c r="F1646" s="57" t="inlineStr">
        <is>
          <t>date_forced:SG Robinson first-harvest assays all dated 2026-08-12</t>
        </is>
      </c>
    </row>
    <row r="1647" ht="25" customHeight="1" s="55">
      <c r="A1647" s="57" t="inlineStr">
        <is>
          <t>RobinsonCenter</t>
        </is>
      </c>
      <c r="B1647" s="57" t="n">
        <v>7</v>
      </c>
      <c r="C1647" s="57" t="inlineStr">
        <is>
          <t>Genotypes</t>
        </is>
      </c>
      <c r="D1647" s="57" t="inlineStr"/>
      <c r="E1647" s="57" t="inlineStr">
        <is>
          <t>25-10</t>
        </is>
      </c>
      <c r="F1647" s="57" t="inlineStr">
        <is>
          <t>moved_from_SN</t>
        </is>
      </c>
    </row>
    <row r="1648" ht="25" customHeight="1" s="55">
      <c r="A1648" s="57" t="inlineStr">
        <is>
          <t>RobinsonCenter</t>
        </is>
      </c>
      <c r="B1648" s="57" t="n">
        <v>7</v>
      </c>
      <c r="C1648" s="57" t="inlineStr">
        <is>
          <t>Genotypes</t>
        </is>
      </c>
      <c r="D1648" s="57" t="inlineStr">
        <is>
          <t>25-10</t>
        </is>
      </c>
      <c r="E1648" s="57" t="inlineStr">
        <is>
          <t>UKYT-25-010</t>
        </is>
      </c>
      <c r="F1648" s="57" t="inlineStr"/>
    </row>
    <row r="1649" ht="25" customHeight="1" s="55">
      <c r="A1649" s="57" t="inlineStr">
        <is>
          <t>RobinsonCenter</t>
        </is>
      </c>
      <c r="B1649" s="57" t="n">
        <v>7</v>
      </c>
      <c r="C1649" s="57" t="inlineStr">
        <is>
          <t>Location</t>
        </is>
      </c>
      <c r="D1649" s="57" t="inlineStr"/>
      <c r="E1649" s="57" t="inlineStr">
        <is>
          <t>Robinson</t>
        </is>
      </c>
      <c r="F1649" s="57" t="inlineStr">
        <is>
          <t>forced_from_sheet_name</t>
        </is>
      </c>
    </row>
    <row r="1650" ht="25" customHeight="1" s="55">
      <c r="A1650" s="57" t="inlineStr">
        <is>
          <t>RobinsonCenter</t>
        </is>
      </c>
      <c r="B1650" s="57" t="n">
        <v>7</v>
      </c>
      <c r="C1650" s="57" t="inlineStr">
        <is>
          <t>Harvest</t>
        </is>
      </c>
      <c r="D1650" s="57" t="inlineStr"/>
      <c r="E1650" s="57" t="inlineStr">
        <is>
          <t>First</t>
        </is>
      </c>
      <c r="F1650" s="57" t="inlineStr">
        <is>
          <t>forced_from_sheet_name</t>
        </is>
      </c>
    </row>
    <row r="1651" ht="25" customHeight="1" s="55">
      <c r="A1651" s="57" t="inlineStr">
        <is>
          <t>RobinsonCenter</t>
        </is>
      </c>
      <c r="B1651" s="57" t="n">
        <v>7</v>
      </c>
      <c r="C1651" s="57" t="inlineStr">
        <is>
          <t>Date of harvest</t>
        </is>
      </c>
      <c r="D1651" s="57" t="inlineStr"/>
      <c r="E1651" s="57" t="inlineStr">
        <is>
          <t>2026-08-12</t>
        </is>
      </c>
      <c r="F1651" s="57" t="inlineStr">
        <is>
          <t>date_forced:SG Robinson first-harvest assays all dated 2026-08-12</t>
        </is>
      </c>
    </row>
    <row r="1652" ht="25" customHeight="1" s="55">
      <c r="A1652" s="57" t="inlineStr">
        <is>
          <t>RobinsonCenter</t>
        </is>
      </c>
      <c r="B1652" s="57" t="n">
        <v>8</v>
      </c>
      <c r="C1652" s="57" t="inlineStr">
        <is>
          <t>Genotypes</t>
        </is>
      </c>
      <c r="D1652" s="57" t="inlineStr"/>
      <c r="E1652" s="57" t="inlineStr">
        <is>
          <t>25-13</t>
        </is>
      </c>
      <c r="F1652" s="57" t="inlineStr">
        <is>
          <t>moved_from_SN</t>
        </is>
      </c>
    </row>
    <row r="1653" ht="25" customHeight="1" s="55">
      <c r="A1653" s="57" t="inlineStr">
        <is>
          <t>RobinsonCenter</t>
        </is>
      </c>
      <c r="B1653" s="57" t="n">
        <v>8</v>
      </c>
      <c r="C1653" s="57" t="inlineStr">
        <is>
          <t>Genotypes</t>
        </is>
      </c>
      <c r="D1653" s="57" t="inlineStr">
        <is>
          <t>25-13</t>
        </is>
      </c>
      <c r="E1653" s="57" t="inlineStr">
        <is>
          <t>UKYT-25-013</t>
        </is>
      </c>
      <c r="F1653" s="57" t="inlineStr"/>
    </row>
    <row r="1654" ht="25" customHeight="1" s="55">
      <c r="A1654" s="57" t="inlineStr">
        <is>
          <t>RobinsonCenter</t>
        </is>
      </c>
      <c r="B1654" s="57" t="n">
        <v>8</v>
      </c>
      <c r="C1654" s="57" t="inlineStr">
        <is>
          <t>Location</t>
        </is>
      </c>
      <c r="D1654" s="57" t="inlineStr"/>
      <c r="E1654" s="57" t="inlineStr">
        <is>
          <t>Robinson</t>
        </is>
      </c>
      <c r="F1654" s="57" t="inlineStr">
        <is>
          <t>forced_from_sheet_name</t>
        </is>
      </c>
    </row>
    <row r="1655" ht="25" customHeight="1" s="55">
      <c r="A1655" s="57" t="inlineStr">
        <is>
          <t>RobinsonCenter</t>
        </is>
      </c>
      <c r="B1655" s="57" t="n">
        <v>8</v>
      </c>
      <c r="C1655" s="57" t="inlineStr">
        <is>
          <t>Harvest</t>
        </is>
      </c>
      <c r="D1655" s="57" t="inlineStr"/>
      <c r="E1655" s="57" t="inlineStr">
        <is>
          <t>First</t>
        </is>
      </c>
      <c r="F1655" s="57" t="inlineStr">
        <is>
          <t>forced_from_sheet_name</t>
        </is>
      </c>
    </row>
    <row r="1656" ht="25" customHeight="1" s="55">
      <c r="A1656" s="57" t="inlineStr">
        <is>
          <t>RobinsonCenter</t>
        </is>
      </c>
      <c r="B1656" s="57" t="n">
        <v>8</v>
      </c>
      <c r="C1656" s="57" t="inlineStr">
        <is>
          <t>Date of harvest</t>
        </is>
      </c>
      <c r="D1656" s="57" t="inlineStr"/>
      <c r="E1656" s="57" t="inlineStr">
        <is>
          <t>2026-08-12</t>
        </is>
      </c>
      <c r="F1656" s="57" t="inlineStr">
        <is>
          <t>date_forced:SG Robinson first-harvest assays all dated 2026-08-12</t>
        </is>
      </c>
    </row>
    <row r="1657" ht="25" customHeight="1" s="55">
      <c r="A1657" s="57" t="inlineStr">
        <is>
          <t>RobinsonCenter</t>
        </is>
      </c>
      <c r="B1657" s="57" t="n">
        <v>9</v>
      </c>
      <c r="C1657" s="57" t="inlineStr">
        <is>
          <t>Genotypes</t>
        </is>
      </c>
      <c r="D1657" s="57" t="inlineStr"/>
      <c r="E1657" s="57" t="inlineStr">
        <is>
          <t>25-17</t>
        </is>
      </c>
      <c r="F1657" s="57" t="inlineStr">
        <is>
          <t>moved_from_SN</t>
        </is>
      </c>
    </row>
    <row r="1658" ht="25" customHeight="1" s="55">
      <c r="A1658" s="57" t="inlineStr">
        <is>
          <t>RobinsonCenter</t>
        </is>
      </c>
      <c r="B1658" s="57" t="n">
        <v>9</v>
      </c>
      <c r="C1658" s="57" t="inlineStr">
        <is>
          <t>Genotypes</t>
        </is>
      </c>
      <c r="D1658" s="57" t="inlineStr">
        <is>
          <t>25-17</t>
        </is>
      </c>
      <c r="E1658" s="57" t="inlineStr">
        <is>
          <t>UKYT-25-017</t>
        </is>
      </c>
      <c r="F1658" s="57" t="inlineStr"/>
    </row>
    <row r="1659" ht="25" customHeight="1" s="55">
      <c r="A1659" s="57" t="inlineStr">
        <is>
          <t>RobinsonCenter</t>
        </is>
      </c>
      <c r="B1659" s="57" t="n">
        <v>9</v>
      </c>
      <c r="C1659" s="57" t="inlineStr">
        <is>
          <t>Location</t>
        </is>
      </c>
      <c r="D1659" s="57" t="inlineStr"/>
      <c r="E1659" s="57" t="inlineStr">
        <is>
          <t>Robinson</t>
        </is>
      </c>
      <c r="F1659" s="57" t="inlineStr">
        <is>
          <t>forced_from_sheet_name</t>
        </is>
      </c>
    </row>
    <row r="1660" ht="25" customHeight="1" s="55">
      <c r="A1660" s="57" t="inlineStr">
        <is>
          <t>RobinsonCenter</t>
        </is>
      </c>
      <c r="B1660" s="57" t="n">
        <v>9</v>
      </c>
      <c r="C1660" s="57" t="inlineStr">
        <is>
          <t>Harvest</t>
        </is>
      </c>
      <c r="D1660" s="57" t="inlineStr"/>
      <c r="E1660" s="57" t="inlineStr">
        <is>
          <t>First</t>
        </is>
      </c>
      <c r="F1660" s="57" t="inlineStr">
        <is>
          <t>forced_from_sheet_name</t>
        </is>
      </c>
    </row>
    <row r="1661" ht="25" customHeight="1" s="55">
      <c r="A1661" s="57" t="inlineStr">
        <is>
          <t>RobinsonCenter</t>
        </is>
      </c>
      <c r="B1661" s="57" t="n">
        <v>9</v>
      </c>
      <c r="C1661" s="57" t="inlineStr">
        <is>
          <t>Date of harvest</t>
        </is>
      </c>
      <c r="D1661" s="57" t="inlineStr"/>
      <c r="E1661" s="57" t="inlineStr">
        <is>
          <t>2026-08-12</t>
        </is>
      </c>
      <c r="F1661" s="57" t="inlineStr">
        <is>
          <t>date_forced:SG Robinson first-harvest assays all dated 2026-08-12</t>
        </is>
      </c>
    </row>
    <row r="1662" ht="25" customHeight="1" s="55">
      <c r="A1662" s="57" t="inlineStr">
        <is>
          <t>RobinsonCenter</t>
        </is>
      </c>
      <c r="B1662" s="57" t="n">
        <v>10</v>
      </c>
      <c r="C1662" s="57" t="inlineStr">
        <is>
          <t>Genotypes</t>
        </is>
      </c>
      <c r="D1662" s="57" t="inlineStr"/>
      <c r="E1662" s="57" t="inlineStr">
        <is>
          <t>25-14</t>
        </is>
      </c>
      <c r="F1662" s="57" t="inlineStr">
        <is>
          <t>moved_from_SN</t>
        </is>
      </c>
    </row>
    <row r="1663" ht="25" customHeight="1" s="55">
      <c r="A1663" s="57" t="inlineStr">
        <is>
          <t>RobinsonCenter</t>
        </is>
      </c>
      <c r="B1663" s="57" t="n">
        <v>10</v>
      </c>
      <c r="C1663" s="57" t="inlineStr">
        <is>
          <t>Genotypes</t>
        </is>
      </c>
      <c r="D1663" s="57" t="inlineStr">
        <is>
          <t>25-14</t>
        </is>
      </c>
      <c r="E1663" s="57" t="inlineStr">
        <is>
          <t>UKYT-25-014</t>
        </is>
      </c>
      <c r="F1663" s="57" t="inlineStr"/>
    </row>
    <row r="1664" ht="25" customHeight="1" s="55">
      <c r="A1664" s="57" t="inlineStr">
        <is>
          <t>RobinsonCenter</t>
        </is>
      </c>
      <c r="B1664" s="57" t="n">
        <v>10</v>
      </c>
      <c r="C1664" s="57" t="inlineStr">
        <is>
          <t>Location</t>
        </is>
      </c>
      <c r="D1664" s="57" t="inlineStr"/>
      <c r="E1664" s="57" t="inlineStr">
        <is>
          <t>Robinson</t>
        </is>
      </c>
      <c r="F1664" s="57" t="inlineStr">
        <is>
          <t>forced_from_sheet_name</t>
        </is>
      </c>
    </row>
    <row r="1665" ht="25" customHeight="1" s="55">
      <c r="A1665" s="57" t="inlineStr">
        <is>
          <t>RobinsonCenter</t>
        </is>
      </c>
      <c r="B1665" s="57" t="n">
        <v>10</v>
      </c>
      <c r="C1665" s="57" t="inlineStr">
        <is>
          <t>Harvest</t>
        </is>
      </c>
      <c r="D1665" s="57" t="inlineStr"/>
      <c r="E1665" s="57" t="inlineStr">
        <is>
          <t>First</t>
        </is>
      </c>
      <c r="F1665" s="57" t="inlineStr">
        <is>
          <t>forced_from_sheet_name</t>
        </is>
      </c>
    </row>
    <row r="1666" ht="25" customHeight="1" s="55">
      <c r="A1666" s="57" t="inlineStr">
        <is>
          <t>RobinsonCenter</t>
        </is>
      </c>
      <c r="B1666" s="57" t="n">
        <v>10</v>
      </c>
      <c r="C1666" s="57" t="inlineStr">
        <is>
          <t>Date of harvest</t>
        </is>
      </c>
      <c r="D1666" s="57" t="inlineStr"/>
      <c r="E1666" s="57" t="inlineStr">
        <is>
          <t>2026-08-12</t>
        </is>
      </c>
      <c r="F1666" s="57" t="inlineStr">
        <is>
          <t>date_forced:SG Robinson first-harvest assays all dated 2026-08-12</t>
        </is>
      </c>
    </row>
    <row r="1667" ht="25" customHeight="1" s="55">
      <c r="A1667" s="57" t="inlineStr">
        <is>
          <t>RobinsonCenter</t>
        </is>
      </c>
      <c r="B1667" s="57" t="n">
        <v>11</v>
      </c>
      <c r="C1667" s="57" t="inlineStr">
        <is>
          <t>Genotypes</t>
        </is>
      </c>
      <c r="D1667" s="57" t="inlineStr"/>
      <c r="E1667" s="57" t="inlineStr">
        <is>
          <t>25-8</t>
        </is>
      </c>
      <c r="F1667" s="57" t="inlineStr">
        <is>
          <t>moved_from_SN</t>
        </is>
      </c>
    </row>
    <row r="1668" ht="25" customHeight="1" s="55">
      <c r="A1668" s="57" t="inlineStr">
        <is>
          <t>RobinsonCenter</t>
        </is>
      </c>
      <c r="B1668" s="57" t="n">
        <v>11</v>
      </c>
      <c r="C1668" s="57" t="inlineStr">
        <is>
          <t>Genotypes</t>
        </is>
      </c>
      <c r="D1668" s="57" t="inlineStr">
        <is>
          <t>25-8</t>
        </is>
      </c>
      <c r="E1668" s="57" t="inlineStr">
        <is>
          <t>UKYT-25-008</t>
        </is>
      </c>
      <c r="F1668" s="57" t="inlineStr"/>
    </row>
    <row r="1669" ht="25" customHeight="1" s="55">
      <c r="A1669" s="57" t="inlineStr">
        <is>
          <t>RobinsonCenter</t>
        </is>
      </c>
      <c r="B1669" s="57" t="n">
        <v>11</v>
      </c>
      <c r="C1669" s="57" t="inlineStr">
        <is>
          <t>Location</t>
        </is>
      </c>
      <c r="D1669" s="57" t="inlineStr"/>
      <c r="E1669" s="57" t="inlineStr">
        <is>
          <t>Robinson</t>
        </is>
      </c>
      <c r="F1669" s="57" t="inlineStr">
        <is>
          <t>forced_from_sheet_name</t>
        </is>
      </c>
    </row>
    <row r="1670" ht="25" customHeight="1" s="55">
      <c r="A1670" s="57" t="inlineStr">
        <is>
          <t>RobinsonCenter</t>
        </is>
      </c>
      <c r="B1670" s="57" t="n">
        <v>11</v>
      </c>
      <c r="C1670" s="57" t="inlineStr">
        <is>
          <t>Harvest</t>
        </is>
      </c>
      <c r="D1670" s="57" t="inlineStr"/>
      <c r="E1670" s="57" t="inlineStr">
        <is>
          <t>First</t>
        </is>
      </c>
      <c r="F1670" s="57" t="inlineStr">
        <is>
          <t>forced_from_sheet_name</t>
        </is>
      </c>
    </row>
    <row r="1671" ht="25" customHeight="1" s="55">
      <c r="A1671" s="57" t="inlineStr">
        <is>
          <t>RobinsonCenter</t>
        </is>
      </c>
      <c r="B1671" s="57" t="n">
        <v>11</v>
      </c>
      <c r="C1671" s="57" t="inlineStr">
        <is>
          <t>Date of harvest</t>
        </is>
      </c>
      <c r="D1671" s="57" t="inlineStr"/>
      <c r="E1671" s="57" t="inlineStr">
        <is>
          <t>2026-08-12</t>
        </is>
      </c>
      <c r="F1671" s="57" t="inlineStr">
        <is>
          <t>date_forced:SG Robinson first-harvest assays all dated 2026-08-12</t>
        </is>
      </c>
    </row>
    <row r="1672" ht="25" customHeight="1" s="55">
      <c r="A1672" s="57" t="inlineStr">
        <is>
          <t>RobinsonCenter</t>
        </is>
      </c>
      <c r="B1672" s="57" t="n">
        <v>12</v>
      </c>
      <c r="C1672" s="57" t="inlineStr">
        <is>
          <t>Genotypes</t>
        </is>
      </c>
      <c r="D1672" s="57" t="inlineStr"/>
      <c r="E1672" s="57" t="inlineStr">
        <is>
          <t>25-2</t>
        </is>
      </c>
      <c r="F1672" s="57" t="inlineStr">
        <is>
          <t>moved_from_SN</t>
        </is>
      </c>
    </row>
    <row r="1673" ht="25" customHeight="1" s="55">
      <c r="A1673" s="57" t="inlineStr">
        <is>
          <t>RobinsonCenter</t>
        </is>
      </c>
      <c r="B1673" s="57" t="n">
        <v>12</v>
      </c>
      <c r="C1673" s="57" t="inlineStr">
        <is>
          <t>Genotypes</t>
        </is>
      </c>
      <c r="D1673" s="57" t="inlineStr">
        <is>
          <t>25-2</t>
        </is>
      </c>
      <c r="E1673" s="57" t="inlineStr">
        <is>
          <t>UKYT-25-002</t>
        </is>
      </c>
      <c r="F1673" s="57" t="inlineStr"/>
    </row>
    <row r="1674" ht="25" customHeight="1" s="55">
      <c r="A1674" s="57" t="inlineStr">
        <is>
          <t>RobinsonCenter</t>
        </is>
      </c>
      <c r="B1674" s="57" t="n">
        <v>12</v>
      </c>
      <c r="C1674" s="57" t="inlineStr">
        <is>
          <t>Location</t>
        </is>
      </c>
      <c r="D1674" s="57" t="inlineStr"/>
      <c r="E1674" s="57" t="inlineStr">
        <is>
          <t>Robinson</t>
        </is>
      </c>
      <c r="F1674" s="57" t="inlineStr">
        <is>
          <t>forced_from_sheet_name</t>
        </is>
      </c>
    </row>
    <row r="1675" ht="25" customHeight="1" s="55">
      <c r="A1675" s="57" t="inlineStr">
        <is>
          <t>RobinsonCenter</t>
        </is>
      </c>
      <c r="B1675" s="57" t="n">
        <v>12</v>
      </c>
      <c r="C1675" s="57" t="inlineStr">
        <is>
          <t>Harvest</t>
        </is>
      </c>
      <c r="D1675" s="57" t="inlineStr"/>
      <c r="E1675" s="57" t="inlineStr">
        <is>
          <t>First</t>
        </is>
      </c>
      <c r="F1675" s="57" t="inlineStr">
        <is>
          <t>forced_from_sheet_name</t>
        </is>
      </c>
    </row>
    <row r="1676" ht="25" customHeight="1" s="55">
      <c r="A1676" s="57" t="inlineStr">
        <is>
          <t>RobinsonCenter</t>
        </is>
      </c>
      <c r="B1676" s="57" t="n">
        <v>12</v>
      </c>
      <c r="C1676" s="57" t="inlineStr">
        <is>
          <t>Date of harvest</t>
        </is>
      </c>
      <c r="D1676" s="57" t="inlineStr"/>
      <c r="E1676" s="57" t="inlineStr">
        <is>
          <t>2026-08-12</t>
        </is>
      </c>
      <c r="F1676" s="57" t="inlineStr">
        <is>
          <t>date_forced:SG Robinson first-harvest assays all dated 2026-08-12</t>
        </is>
      </c>
    </row>
    <row r="1677" ht="25" customHeight="1" s="55">
      <c r="A1677" s="57" t="inlineStr">
        <is>
          <t>RobinsonCenter</t>
        </is>
      </c>
      <c r="B1677" s="57" t="n">
        <v>13</v>
      </c>
      <c r="C1677" s="57" t="inlineStr">
        <is>
          <t>Genotypes</t>
        </is>
      </c>
      <c r="D1677" s="57" t="inlineStr"/>
      <c r="E1677" s="57" t="inlineStr">
        <is>
          <t>25-11</t>
        </is>
      </c>
      <c r="F1677" s="57" t="inlineStr">
        <is>
          <t>moved_from_SN</t>
        </is>
      </c>
    </row>
    <row r="1678" ht="25" customHeight="1" s="55">
      <c r="A1678" s="57" t="inlineStr">
        <is>
          <t>RobinsonCenter</t>
        </is>
      </c>
      <c r="B1678" s="57" t="n">
        <v>13</v>
      </c>
      <c r="C1678" s="57" t="inlineStr">
        <is>
          <t>Genotypes</t>
        </is>
      </c>
      <c r="D1678" s="57" t="inlineStr">
        <is>
          <t>25-11</t>
        </is>
      </c>
      <c r="E1678" s="57" t="inlineStr">
        <is>
          <t>UKYT-25-011</t>
        </is>
      </c>
      <c r="F1678" s="57" t="inlineStr"/>
    </row>
    <row r="1679" ht="25" customHeight="1" s="55">
      <c r="A1679" s="57" t="inlineStr">
        <is>
          <t>RobinsonCenter</t>
        </is>
      </c>
      <c r="B1679" s="57" t="n">
        <v>13</v>
      </c>
      <c r="C1679" s="57" t="inlineStr">
        <is>
          <t>Location</t>
        </is>
      </c>
      <c r="D1679" s="57" t="inlineStr"/>
      <c r="E1679" s="57" t="inlineStr">
        <is>
          <t>Robinson</t>
        </is>
      </c>
      <c r="F1679" s="57" t="inlineStr">
        <is>
          <t>forced_from_sheet_name</t>
        </is>
      </c>
    </row>
    <row r="1680" ht="25" customHeight="1" s="55">
      <c r="A1680" s="57" t="inlineStr">
        <is>
          <t>RobinsonCenter</t>
        </is>
      </c>
      <c r="B1680" s="57" t="n">
        <v>13</v>
      </c>
      <c r="C1680" s="57" t="inlineStr">
        <is>
          <t>Harvest</t>
        </is>
      </c>
      <c r="D1680" s="57" t="inlineStr"/>
      <c r="E1680" s="57" t="inlineStr">
        <is>
          <t>First</t>
        </is>
      </c>
      <c r="F1680" s="57" t="inlineStr">
        <is>
          <t>forced_from_sheet_name</t>
        </is>
      </c>
    </row>
    <row r="1681" ht="25" customHeight="1" s="55">
      <c r="A1681" s="57" t="inlineStr">
        <is>
          <t>RobinsonCenter</t>
        </is>
      </c>
      <c r="B1681" s="57" t="n">
        <v>13</v>
      </c>
      <c r="C1681" s="57" t="inlineStr">
        <is>
          <t>Date of harvest</t>
        </is>
      </c>
      <c r="D1681" s="57" t="inlineStr"/>
      <c r="E1681" s="57" t="inlineStr">
        <is>
          <t>2026-08-12</t>
        </is>
      </c>
      <c r="F1681" s="57" t="inlineStr">
        <is>
          <t>date_forced:SG Robinson first-harvest assays all dated 2026-08-12</t>
        </is>
      </c>
    </row>
    <row r="1682" ht="25" customHeight="1" s="55">
      <c r="A1682" s="57" t="inlineStr">
        <is>
          <t>RobinsonCenter</t>
        </is>
      </c>
      <c r="B1682" s="57" t="n">
        <v>14</v>
      </c>
      <c r="C1682" s="57" t="inlineStr">
        <is>
          <t>Genotypes</t>
        </is>
      </c>
      <c r="D1682" s="57" t="inlineStr"/>
      <c r="E1682" s="57" t="inlineStr">
        <is>
          <t>25-12</t>
        </is>
      </c>
      <c r="F1682" s="57" t="inlineStr">
        <is>
          <t>moved_from_SN</t>
        </is>
      </c>
    </row>
    <row r="1683" ht="25" customHeight="1" s="55">
      <c r="A1683" s="57" t="inlineStr">
        <is>
          <t>RobinsonCenter</t>
        </is>
      </c>
      <c r="B1683" s="57" t="n">
        <v>14</v>
      </c>
      <c r="C1683" s="57" t="inlineStr">
        <is>
          <t>Genotypes</t>
        </is>
      </c>
      <c r="D1683" s="57" t="inlineStr">
        <is>
          <t>25-12</t>
        </is>
      </c>
      <c r="E1683" s="57" t="inlineStr">
        <is>
          <t>UKYT-25-012</t>
        </is>
      </c>
      <c r="F1683" s="57" t="inlineStr"/>
    </row>
    <row r="1684" ht="25" customHeight="1" s="55">
      <c r="A1684" s="57" t="inlineStr">
        <is>
          <t>RobinsonCenter</t>
        </is>
      </c>
      <c r="B1684" s="57" t="n">
        <v>14</v>
      </c>
      <c r="C1684" s="57" t="inlineStr">
        <is>
          <t>Location</t>
        </is>
      </c>
      <c r="D1684" s="57" t="inlineStr"/>
      <c r="E1684" s="57" t="inlineStr">
        <is>
          <t>Robinson</t>
        </is>
      </c>
      <c r="F1684" s="57" t="inlineStr">
        <is>
          <t>forced_from_sheet_name</t>
        </is>
      </c>
    </row>
    <row r="1685" ht="25" customHeight="1" s="55">
      <c r="A1685" s="57" t="inlineStr">
        <is>
          <t>RobinsonCenter</t>
        </is>
      </c>
      <c r="B1685" s="57" t="n">
        <v>14</v>
      </c>
      <c r="C1685" s="57" t="inlineStr">
        <is>
          <t>Harvest</t>
        </is>
      </c>
      <c r="D1685" s="57" t="inlineStr"/>
      <c r="E1685" s="57" t="inlineStr">
        <is>
          <t>First</t>
        </is>
      </c>
      <c r="F1685" s="57" t="inlineStr">
        <is>
          <t>forced_from_sheet_name</t>
        </is>
      </c>
    </row>
    <row r="1686" ht="25" customHeight="1" s="55">
      <c r="A1686" s="57" t="inlineStr">
        <is>
          <t>RobinsonCenter</t>
        </is>
      </c>
      <c r="B1686" s="57" t="n">
        <v>14</v>
      </c>
      <c r="C1686" s="57" t="inlineStr">
        <is>
          <t>Date of harvest</t>
        </is>
      </c>
      <c r="D1686" s="57" t="inlineStr"/>
      <c r="E1686" s="57" t="inlineStr">
        <is>
          <t>2026-08-12</t>
        </is>
      </c>
      <c r="F1686" s="57" t="inlineStr">
        <is>
          <t>date_forced:SG Robinson first-harvest assays all dated 2026-08-12</t>
        </is>
      </c>
    </row>
    <row r="1687" ht="25" customHeight="1" s="55">
      <c r="A1687" s="57" t="inlineStr">
        <is>
          <t>RobinsonCenter</t>
        </is>
      </c>
      <c r="B1687" s="57" t="n">
        <v>15</v>
      </c>
      <c r="C1687" s="57" t="inlineStr">
        <is>
          <t>Genotypes</t>
        </is>
      </c>
      <c r="D1687" s="57" t="inlineStr"/>
      <c r="E1687" s="57" t="inlineStr">
        <is>
          <t>25-7</t>
        </is>
      </c>
      <c r="F1687" s="57" t="inlineStr">
        <is>
          <t>moved_from_SN</t>
        </is>
      </c>
    </row>
    <row r="1688" ht="25" customHeight="1" s="55">
      <c r="A1688" s="57" t="inlineStr">
        <is>
          <t>RobinsonCenter</t>
        </is>
      </c>
      <c r="B1688" s="57" t="n">
        <v>15</v>
      </c>
      <c r="C1688" s="57" t="inlineStr">
        <is>
          <t>Genotypes</t>
        </is>
      </c>
      <c r="D1688" s="57" t="inlineStr">
        <is>
          <t>25-7</t>
        </is>
      </c>
      <c r="E1688" s="57" t="inlineStr">
        <is>
          <t>UKYT-25-007</t>
        </is>
      </c>
      <c r="F1688" s="57" t="inlineStr"/>
    </row>
    <row r="1689" ht="25" customHeight="1" s="55">
      <c r="A1689" s="57" t="inlineStr">
        <is>
          <t>RobinsonCenter</t>
        </is>
      </c>
      <c r="B1689" s="57" t="n">
        <v>15</v>
      </c>
      <c r="C1689" s="57" t="inlineStr">
        <is>
          <t>Location</t>
        </is>
      </c>
      <c r="D1689" s="57" t="inlineStr"/>
      <c r="E1689" s="57" t="inlineStr">
        <is>
          <t>Robinson</t>
        </is>
      </c>
      <c r="F1689" s="57" t="inlineStr">
        <is>
          <t>forced_from_sheet_name</t>
        </is>
      </c>
    </row>
    <row r="1690" ht="25" customHeight="1" s="55">
      <c r="A1690" s="57" t="inlineStr">
        <is>
          <t>RobinsonCenter</t>
        </is>
      </c>
      <c r="B1690" s="57" t="n">
        <v>15</v>
      </c>
      <c r="C1690" s="57" t="inlineStr">
        <is>
          <t>Harvest</t>
        </is>
      </c>
      <c r="D1690" s="57" t="inlineStr"/>
      <c r="E1690" s="57" t="inlineStr">
        <is>
          <t>First</t>
        </is>
      </c>
      <c r="F1690" s="57" t="inlineStr">
        <is>
          <t>forced_from_sheet_name</t>
        </is>
      </c>
    </row>
    <row r="1691" ht="25" customHeight="1" s="55">
      <c r="A1691" s="57" t="inlineStr">
        <is>
          <t>RobinsonCenter</t>
        </is>
      </c>
      <c r="B1691" s="57" t="n">
        <v>15</v>
      </c>
      <c r="C1691" s="57" t="inlineStr">
        <is>
          <t>Date of harvest</t>
        </is>
      </c>
      <c r="D1691" s="57" t="inlineStr"/>
      <c r="E1691" s="57" t="inlineStr">
        <is>
          <t>2026-08-12</t>
        </is>
      </c>
      <c r="F1691" s="57" t="inlineStr">
        <is>
          <t>date_forced:SG Robinson first-harvest assays all dated 2026-08-12</t>
        </is>
      </c>
    </row>
    <row r="1692" ht="25" customHeight="1" s="55">
      <c r="A1692" s="57" t="inlineStr">
        <is>
          <t>RobinsonCenter</t>
        </is>
      </c>
      <c r="B1692" s="57" t="n">
        <v>16</v>
      </c>
      <c r="C1692" s="57" t="inlineStr">
        <is>
          <t>Genotypes</t>
        </is>
      </c>
      <c r="D1692" s="57" t="inlineStr"/>
      <c r="E1692" s="57" t="inlineStr">
        <is>
          <t>25-6</t>
        </is>
      </c>
      <c r="F1692" s="57" t="inlineStr">
        <is>
          <t>moved_from_SN</t>
        </is>
      </c>
    </row>
    <row r="1693" ht="25" customHeight="1" s="55">
      <c r="A1693" s="57" t="inlineStr">
        <is>
          <t>RobinsonCenter</t>
        </is>
      </c>
      <c r="B1693" s="57" t="n">
        <v>16</v>
      </c>
      <c r="C1693" s="57" t="inlineStr">
        <is>
          <t>Genotypes</t>
        </is>
      </c>
      <c r="D1693" s="57" t="inlineStr">
        <is>
          <t>25-6</t>
        </is>
      </c>
      <c r="E1693" s="57" t="inlineStr">
        <is>
          <t>UKYT-25-006</t>
        </is>
      </c>
      <c r="F1693" s="57" t="inlineStr"/>
    </row>
    <row r="1694" ht="25" customHeight="1" s="55">
      <c r="A1694" s="57" t="inlineStr">
        <is>
          <t>RobinsonCenter</t>
        </is>
      </c>
      <c r="B1694" s="57" t="n">
        <v>16</v>
      </c>
      <c r="C1694" s="57" t="inlineStr">
        <is>
          <t>Location</t>
        </is>
      </c>
      <c r="D1694" s="57" t="inlineStr"/>
      <c r="E1694" s="57" t="inlineStr">
        <is>
          <t>Robinson</t>
        </is>
      </c>
      <c r="F1694" s="57" t="inlineStr">
        <is>
          <t>forced_from_sheet_name</t>
        </is>
      </c>
    </row>
    <row r="1695" ht="25" customHeight="1" s="55">
      <c r="A1695" s="57" t="inlineStr">
        <is>
          <t>RobinsonCenter</t>
        </is>
      </c>
      <c r="B1695" s="57" t="n">
        <v>16</v>
      </c>
      <c r="C1695" s="57" t="inlineStr">
        <is>
          <t>Harvest</t>
        </is>
      </c>
      <c r="D1695" s="57" t="inlineStr"/>
      <c r="E1695" s="57" t="inlineStr">
        <is>
          <t>First</t>
        </is>
      </c>
      <c r="F1695" s="57" t="inlineStr">
        <is>
          <t>forced_from_sheet_name</t>
        </is>
      </c>
    </row>
    <row r="1696" ht="25" customHeight="1" s="55">
      <c r="A1696" s="57" t="inlineStr">
        <is>
          <t>RobinsonCenter</t>
        </is>
      </c>
      <c r="B1696" s="57" t="n">
        <v>16</v>
      </c>
      <c r="C1696" s="57" t="inlineStr">
        <is>
          <t>Date of harvest</t>
        </is>
      </c>
      <c r="D1696" s="57" t="inlineStr"/>
      <c r="E1696" s="57" t="inlineStr">
        <is>
          <t>2026-08-12</t>
        </is>
      </c>
      <c r="F1696" s="57" t="inlineStr">
        <is>
          <t>date_forced:SG Robinson first-harvest assays all dated 2026-08-12</t>
        </is>
      </c>
    </row>
    <row r="1697" ht="25" customHeight="1" s="55">
      <c r="A1697" s="57" t="inlineStr">
        <is>
          <t>RobinsonCenter</t>
        </is>
      </c>
      <c r="B1697" s="57" t="n">
        <v>17</v>
      </c>
      <c r="C1697" s="57" t="inlineStr">
        <is>
          <t>Genotypes</t>
        </is>
      </c>
      <c r="D1697" s="57" t="inlineStr"/>
      <c r="E1697" s="57" t="inlineStr">
        <is>
          <t>25-4</t>
        </is>
      </c>
      <c r="F1697" s="57" t="inlineStr">
        <is>
          <t>moved_from_SN</t>
        </is>
      </c>
    </row>
    <row r="1698" ht="25" customHeight="1" s="55">
      <c r="A1698" s="57" t="inlineStr">
        <is>
          <t>RobinsonCenter</t>
        </is>
      </c>
      <c r="B1698" s="57" t="n">
        <v>17</v>
      </c>
      <c r="C1698" s="57" t="inlineStr">
        <is>
          <t>Genotypes</t>
        </is>
      </c>
      <c r="D1698" s="57" t="inlineStr">
        <is>
          <t>25-4</t>
        </is>
      </c>
      <c r="E1698" s="57" t="inlineStr">
        <is>
          <t>UKYT-25-004</t>
        </is>
      </c>
      <c r="F1698" s="57" t="inlineStr"/>
    </row>
    <row r="1699" ht="25" customHeight="1" s="55">
      <c r="A1699" s="57" t="inlineStr">
        <is>
          <t>RobinsonCenter</t>
        </is>
      </c>
      <c r="B1699" s="57" t="n">
        <v>17</v>
      </c>
      <c r="C1699" s="57" t="inlineStr">
        <is>
          <t>Location</t>
        </is>
      </c>
      <c r="D1699" s="57" t="inlineStr"/>
      <c r="E1699" s="57" t="inlineStr">
        <is>
          <t>Robinson</t>
        </is>
      </c>
      <c r="F1699" s="57" t="inlineStr">
        <is>
          <t>forced_from_sheet_name</t>
        </is>
      </c>
    </row>
    <row r="1700" ht="25" customHeight="1" s="55">
      <c r="A1700" s="57" t="inlineStr">
        <is>
          <t>RobinsonCenter</t>
        </is>
      </c>
      <c r="B1700" s="57" t="n">
        <v>17</v>
      </c>
      <c r="C1700" s="57" t="inlineStr">
        <is>
          <t>Harvest</t>
        </is>
      </c>
      <c r="D1700" s="57" t="inlineStr"/>
      <c r="E1700" s="57" t="inlineStr">
        <is>
          <t>First</t>
        </is>
      </c>
      <c r="F1700" s="57" t="inlineStr">
        <is>
          <t>forced_from_sheet_name</t>
        </is>
      </c>
    </row>
    <row r="1701" ht="25" customHeight="1" s="55">
      <c r="A1701" s="57" t="inlineStr">
        <is>
          <t>RobinsonCenter</t>
        </is>
      </c>
      <c r="B1701" s="57" t="n">
        <v>17</v>
      </c>
      <c r="C1701" s="57" t="inlineStr">
        <is>
          <t>Date of harvest</t>
        </is>
      </c>
      <c r="D1701" s="57" t="inlineStr"/>
      <c r="E1701" s="57" t="inlineStr">
        <is>
          <t>2026-08-12</t>
        </is>
      </c>
      <c r="F1701" s="57" t="inlineStr">
        <is>
          <t>date_forced:SG Robinson first-harvest assays all dated 2026-08-12</t>
        </is>
      </c>
    </row>
    <row r="1702" ht="25" customHeight="1" s="55">
      <c r="A1702" s="57" t="inlineStr">
        <is>
          <t>RobinsonCenter</t>
        </is>
      </c>
      <c r="B1702" s="57" t="n">
        <v>18</v>
      </c>
      <c r="C1702" s="57" t="inlineStr">
        <is>
          <t>Genotypes</t>
        </is>
      </c>
      <c r="D1702" s="57" t="inlineStr"/>
      <c r="E1702" s="57" t="inlineStr">
        <is>
          <t>25-9</t>
        </is>
      </c>
      <c r="F1702" s="57" t="inlineStr">
        <is>
          <t>moved_from_SN</t>
        </is>
      </c>
    </row>
    <row r="1703" ht="25" customHeight="1" s="55">
      <c r="A1703" s="57" t="inlineStr">
        <is>
          <t>RobinsonCenter</t>
        </is>
      </c>
      <c r="B1703" s="57" t="n">
        <v>18</v>
      </c>
      <c r="C1703" s="57" t="inlineStr">
        <is>
          <t>Genotypes</t>
        </is>
      </c>
      <c r="D1703" s="57" t="inlineStr">
        <is>
          <t>25-9</t>
        </is>
      </c>
      <c r="E1703" s="57" t="inlineStr">
        <is>
          <t>UKYT-25-009</t>
        </is>
      </c>
      <c r="F1703" s="57" t="inlineStr"/>
    </row>
    <row r="1704" ht="25" customHeight="1" s="55">
      <c r="A1704" s="57" t="inlineStr">
        <is>
          <t>RobinsonCenter</t>
        </is>
      </c>
      <c r="B1704" s="57" t="n">
        <v>18</v>
      </c>
      <c r="C1704" s="57" t="inlineStr">
        <is>
          <t>Location</t>
        </is>
      </c>
      <c r="D1704" s="57" t="inlineStr"/>
      <c r="E1704" s="57" t="inlineStr">
        <is>
          <t>Robinson</t>
        </is>
      </c>
      <c r="F1704" s="57" t="inlineStr">
        <is>
          <t>forced_from_sheet_name</t>
        </is>
      </c>
    </row>
    <row r="1705" ht="25" customHeight="1" s="55">
      <c r="A1705" s="57" t="inlineStr">
        <is>
          <t>RobinsonCenter</t>
        </is>
      </c>
      <c r="B1705" s="57" t="n">
        <v>18</v>
      </c>
      <c r="C1705" s="57" t="inlineStr">
        <is>
          <t>Harvest</t>
        </is>
      </c>
      <c r="D1705" s="57" t="inlineStr"/>
      <c r="E1705" s="57" t="inlineStr">
        <is>
          <t>First</t>
        </is>
      </c>
      <c r="F1705" s="57" t="inlineStr">
        <is>
          <t>forced_from_sheet_name</t>
        </is>
      </c>
    </row>
    <row r="1706" ht="25" customHeight="1" s="55">
      <c r="A1706" s="57" t="inlineStr">
        <is>
          <t>RobinsonCenter</t>
        </is>
      </c>
      <c r="B1706" s="57" t="n">
        <v>18</v>
      </c>
      <c r="C1706" s="57" t="inlineStr">
        <is>
          <t>Date of harvest</t>
        </is>
      </c>
      <c r="D1706" s="57" t="inlineStr"/>
      <c r="E1706" s="57" t="inlineStr">
        <is>
          <t>2026-08-12</t>
        </is>
      </c>
      <c r="F1706" s="57" t="inlineStr">
        <is>
          <t>date_forced:SG Robinson first-harvest assays all dated 2026-08-12</t>
        </is>
      </c>
    </row>
    <row r="1707" ht="25" customHeight="1" s="55">
      <c r="A1707" s="57" t="inlineStr">
        <is>
          <t>RobinsonCenter</t>
        </is>
      </c>
      <c r="B1707" s="57" t="n">
        <v>19</v>
      </c>
      <c r="C1707" s="57" t="inlineStr">
        <is>
          <t>Genotypes</t>
        </is>
      </c>
      <c r="D1707" s="57" t="inlineStr"/>
      <c r="E1707" s="57" t="inlineStr">
        <is>
          <t>26-18</t>
        </is>
      </c>
      <c r="F1707" s="57" t="inlineStr">
        <is>
          <t>moved_from_SN</t>
        </is>
      </c>
    </row>
    <row r="1708" ht="25" customHeight="1" s="55">
      <c r="A1708" s="57" t="inlineStr">
        <is>
          <t>RobinsonCenter</t>
        </is>
      </c>
      <c r="B1708" s="57" t="n">
        <v>19</v>
      </c>
      <c r="C1708" s="57" t="inlineStr">
        <is>
          <t>Genotypes</t>
        </is>
      </c>
      <c r="D1708" s="57" t="inlineStr">
        <is>
          <t>26-18</t>
        </is>
      </c>
      <c r="E1708" s="57" t="inlineStr">
        <is>
          <t>UKYT-26-018</t>
        </is>
      </c>
      <c r="F1708" s="57" t="inlineStr"/>
    </row>
    <row r="1709" ht="25" customHeight="1" s="55">
      <c r="A1709" s="57" t="inlineStr">
        <is>
          <t>RobinsonCenter</t>
        </is>
      </c>
      <c r="B1709" s="57" t="n">
        <v>19</v>
      </c>
      <c r="C1709" s="57" t="inlineStr">
        <is>
          <t>Location</t>
        </is>
      </c>
      <c r="D1709" s="57" t="inlineStr"/>
      <c r="E1709" s="57" t="inlineStr">
        <is>
          <t>Robinson</t>
        </is>
      </c>
      <c r="F1709" s="57" t="inlineStr">
        <is>
          <t>forced_from_sheet_name</t>
        </is>
      </c>
    </row>
    <row r="1710" ht="25" customHeight="1" s="55">
      <c r="A1710" s="57" t="inlineStr">
        <is>
          <t>RobinsonCenter</t>
        </is>
      </c>
      <c r="B1710" s="57" t="n">
        <v>19</v>
      </c>
      <c r="C1710" s="57" t="inlineStr">
        <is>
          <t>Harvest</t>
        </is>
      </c>
      <c r="D1710" s="57" t="inlineStr"/>
      <c r="E1710" s="57" t="inlineStr">
        <is>
          <t>First</t>
        </is>
      </c>
      <c r="F1710" s="57" t="inlineStr">
        <is>
          <t>forced_from_sheet_name</t>
        </is>
      </c>
    </row>
    <row r="1711" ht="25" customHeight="1" s="55">
      <c r="A1711" s="57" t="inlineStr">
        <is>
          <t>RobinsonCenter</t>
        </is>
      </c>
      <c r="B1711" s="57" t="n">
        <v>19</v>
      </c>
      <c r="C1711" s="57" t="inlineStr">
        <is>
          <t>Date of harvest</t>
        </is>
      </c>
      <c r="D1711" s="57" t="inlineStr"/>
      <c r="E1711" s="57" t="inlineStr">
        <is>
          <t>2026-08-12</t>
        </is>
      </c>
      <c r="F1711" s="57" t="inlineStr">
        <is>
          <t>date_forced:SG Robinson first-harvest assays all dated 2026-08-12</t>
        </is>
      </c>
    </row>
    <row r="1712" ht="25" customHeight="1" s="55">
      <c r="A1712" s="57" t="inlineStr">
        <is>
          <t>RobinsonCenter</t>
        </is>
      </c>
      <c r="B1712" s="57" t="n">
        <v>20</v>
      </c>
      <c r="C1712" s="57" t="inlineStr">
        <is>
          <t>Genotypes</t>
        </is>
      </c>
      <c r="D1712" s="57" t="inlineStr"/>
      <c r="E1712" s="57" t="inlineStr">
        <is>
          <t>Mountain fresh plus</t>
        </is>
      </c>
      <c r="F1712" s="57" t="inlineStr">
        <is>
          <t>moved_from_SN</t>
        </is>
      </c>
    </row>
    <row r="1713" ht="25" customHeight="1" s="55">
      <c r="A1713" s="57" t="inlineStr">
        <is>
          <t>RobinsonCenter</t>
        </is>
      </c>
      <c r="B1713" s="57" t="n">
        <v>20</v>
      </c>
      <c r="C1713" s="57" t="inlineStr">
        <is>
          <t>Genotypes</t>
        </is>
      </c>
      <c r="D1713" s="57" t="inlineStr">
        <is>
          <t>Mountain fresh plus</t>
        </is>
      </c>
      <c r="E1713" s="57" t="inlineStr">
        <is>
          <t>Mountain Fresh Plus</t>
        </is>
      </c>
      <c r="F1713" s="57" t="inlineStr"/>
    </row>
    <row r="1714" ht="25" customHeight="1" s="55">
      <c r="A1714" s="57" t="inlineStr">
        <is>
          <t>RobinsonCenter</t>
        </is>
      </c>
      <c r="B1714" s="57" t="n">
        <v>20</v>
      </c>
      <c r="C1714" s="57" t="inlineStr">
        <is>
          <t>Location</t>
        </is>
      </c>
      <c r="D1714" s="57" t="inlineStr"/>
      <c r="E1714" s="57" t="inlineStr">
        <is>
          <t>Robinson</t>
        </is>
      </c>
      <c r="F1714" s="57" t="inlineStr">
        <is>
          <t>forced_from_sheet_name</t>
        </is>
      </c>
    </row>
    <row r="1715" ht="25" customHeight="1" s="55">
      <c r="A1715" s="57" t="inlineStr">
        <is>
          <t>RobinsonCenter</t>
        </is>
      </c>
      <c r="B1715" s="57" t="n">
        <v>20</v>
      </c>
      <c r="C1715" s="57" t="inlineStr">
        <is>
          <t>Harvest</t>
        </is>
      </c>
      <c r="D1715" s="57" t="inlineStr"/>
      <c r="E1715" s="57" t="inlineStr">
        <is>
          <t>First</t>
        </is>
      </c>
      <c r="F1715" s="57" t="inlineStr">
        <is>
          <t>forced_from_sheet_name</t>
        </is>
      </c>
    </row>
    <row r="1716" ht="25" customHeight="1" s="55">
      <c r="A1716" s="57" t="inlineStr">
        <is>
          <t>RobinsonCenter</t>
        </is>
      </c>
      <c r="B1716" s="57" t="n">
        <v>20</v>
      </c>
      <c r="C1716" s="57" t="inlineStr">
        <is>
          <t>Date of harvest</t>
        </is>
      </c>
      <c r="D1716" s="57" t="inlineStr"/>
      <c r="E1716" s="57" t="inlineStr">
        <is>
          <t>2026-08-12</t>
        </is>
      </c>
      <c r="F1716" s="57" t="inlineStr">
        <is>
          <t>date_forced:SG Robinson first-harvest assays all dated 2026-08-12</t>
        </is>
      </c>
    </row>
    <row r="1717" ht="25" customHeight="1" s="55">
      <c r="A1717" s="57" t="inlineStr">
        <is>
          <t>RobinsonCenter</t>
        </is>
      </c>
      <c r="B1717" s="57" t="n">
        <v>21</v>
      </c>
      <c r="C1717" s="57" t="inlineStr">
        <is>
          <t>Genotypes</t>
        </is>
      </c>
      <c r="D1717" s="57" t="inlineStr"/>
      <c r="E1717" s="57" t="inlineStr">
        <is>
          <t>26-35</t>
        </is>
      </c>
      <c r="F1717" s="57" t="inlineStr">
        <is>
          <t>moved_from_SN</t>
        </is>
      </c>
    </row>
    <row r="1718" ht="25" customHeight="1" s="55">
      <c r="A1718" s="57" t="inlineStr">
        <is>
          <t>RobinsonCenter</t>
        </is>
      </c>
      <c r="B1718" s="57" t="n">
        <v>21</v>
      </c>
      <c r="C1718" s="57" t="inlineStr">
        <is>
          <t>Genotypes</t>
        </is>
      </c>
      <c r="D1718" s="57" t="inlineStr">
        <is>
          <t>26-35</t>
        </is>
      </c>
      <c r="E1718" s="57" t="inlineStr">
        <is>
          <t>UKYT-26-035</t>
        </is>
      </c>
      <c r="F1718" s="57" t="inlineStr"/>
    </row>
    <row r="1719" ht="25" customHeight="1" s="55">
      <c r="A1719" s="57" t="inlineStr">
        <is>
          <t>RobinsonCenter</t>
        </is>
      </c>
      <c r="B1719" s="57" t="n">
        <v>21</v>
      </c>
      <c r="C1719" s="57" t="inlineStr">
        <is>
          <t>Location</t>
        </is>
      </c>
      <c r="D1719" s="57" t="inlineStr"/>
      <c r="E1719" s="57" t="inlineStr">
        <is>
          <t>Robinson</t>
        </is>
      </c>
      <c r="F1719" s="57" t="inlineStr">
        <is>
          <t>forced_from_sheet_name</t>
        </is>
      </c>
    </row>
    <row r="1720" ht="25" customHeight="1" s="55">
      <c r="A1720" s="57" t="inlineStr">
        <is>
          <t>RobinsonCenter</t>
        </is>
      </c>
      <c r="B1720" s="57" t="n">
        <v>21</v>
      </c>
      <c r="C1720" s="57" t="inlineStr">
        <is>
          <t>Harvest</t>
        </is>
      </c>
      <c r="D1720" s="57" t="inlineStr"/>
      <c r="E1720" s="57" t="inlineStr">
        <is>
          <t>First</t>
        </is>
      </c>
      <c r="F1720" s="57" t="inlineStr">
        <is>
          <t>forced_from_sheet_name</t>
        </is>
      </c>
    </row>
    <row r="1721" ht="25" customHeight="1" s="55">
      <c r="A1721" s="57" t="inlineStr">
        <is>
          <t>RobinsonCenter</t>
        </is>
      </c>
      <c r="B1721" s="57" t="n">
        <v>21</v>
      </c>
      <c r="C1721" s="57" t="inlineStr">
        <is>
          <t>Date of harvest</t>
        </is>
      </c>
      <c r="D1721" s="57" t="inlineStr"/>
      <c r="E1721" s="57" t="inlineStr">
        <is>
          <t>2026-08-12</t>
        </is>
      </c>
      <c r="F1721" s="57" t="inlineStr">
        <is>
          <t>date_forced:SG Robinson first-harvest assays all dated 2026-08-12</t>
        </is>
      </c>
    </row>
    <row r="1722" ht="25" customHeight="1" s="55">
      <c r="A1722" s="57" t="inlineStr">
        <is>
          <t>RobinsonCenter</t>
        </is>
      </c>
      <c r="B1722" s="57" t="n">
        <v>22</v>
      </c>
      <c r="C1722" s="57" t="inlineStr">
        <is>
          <t>Genotypes</t>
        </is>
      </c>
      <c r="D1722" s="57" t="inlineStr"/>
      <c r="E1722" s="57" t="inlineStr">
        <is>
          <t>26-38</t>
        </is>
      </c>
      <c r="F1722" s="57" t="inlineStr">
        <is>
          <t>moved_from_SN</t>
        </is>
      </c>
    </row>
    <row r="1723" ht="25" customHeight="1" s="55">
      <c r="A1723" s="57" t="inlineStr">
        <is>
          <t>RobinsonCenter</t>
        </is>
      </c>
      <c r="B1723" s="57" t="n">
        <v>22</v>
      </c>
      <c r="C1723" s="57" t="inlineStr">
        <is>
          <t>Genotypes</t>
        </is>
      </c>
      <c r="D1723" s="57" t="inlineStr">
        <is>
          <t>26-38</t>
        </is>
      </c>
      <c r="E1723" s="57" t="inlineStr">
        <is>
          <t>UKYT-26-038</t>
        </is>
      </c>
      <c r="F1723" s="57" t="inlineStr"/>
    </row>
    <row r="1724" ht="25" customHeight="1" s="55">
      <c r="A1724" s="57" t="inlineStr">
        <is>
          <t>RobinsonCenter</t>
        </is>
      </c>
      <c r="B1724" s="57" t="n">
        <v>22</v>
      </c>
      <c r="C1724" s="57" t="inlineStr">
        <is>
          <t>Location</t>
        </is>
      </c>
      <c r="D1724" s="57" t="inlineStr"/>
      <c r="E1724" s="57" t="inlineStr">
        <is>
          <t>Robinson</t>
        </is>
      </c>
      <c r="F1724" s="57" t="inlineStr">
        <is>
          <t>forced_from_sheet_name</t>
        </is>
      </c>
    </row>
    <row r="1725" ht="25" customHeight="1" s="55">
      <c r="A1725" s="57" t="inlineStr">
        <is>
          <t>RobinsonCenter</t>
        </is>
      </c>
      <c r="B1725" s="57" t="n">
        <v>22</v>
      </c>
      <c r="C1725" s="57" t="inlineStr">
        <is>
          <t>Harvest</t>
        </is>
      </c>
      <c r="D1725" s="57" t="inlineStr"/>
      <c r="E1725" s="57" t="inlineStr">
        <is>
          <t>First</t>
        </is>
      </c>
      <c r="F1725" s="57" t="inlineStr">
        <is>
          <t>forced_from_sheet_name</t>
        </is>
      </c>
    </row>
    <row r="1726" ht="25" customHeight="1" s="55">
      <c r="A1726" s="57" t="inlineStr">
        <is>
          <t>RobinsonCenter</t>
        </is>
      </c>
      <c r="B1726" s="57" t="n">
        <v>22</v>
      </c>
      <c r="C1726" s="57" t="inlineStr">
        <is>
          <t>Date of harvest</t>
        </is>
      </c>
      <c r="D1726" s="57" t="inlineStr"/>
      <c r="E1726" s="57" t="inlineStr">
        <is>
          <t>2026-08-12</t>
        </is>
      </c>
      <c r="F1726" s="57" t="inlineStr">
        <is>
          <t>date_forced:SG Robinson first-harvest assays all dated 2026-08-12</t>
        </is>
      </c>
    </row>
    <row r="1727" ht="25" customHeight="1" s="55">
      <c r="A1727" s="57" t="inlineStr">
        <is>
          <t>RobinsonCenter</t>
        </is>
      </c>
      <c r="B1727" s="57" t="n">
        <v>23</v>
      </c>
      <c r="C1727" s="57" t="inlineStr">
        <is>
          <t>Genotypes</t>
        </is>
      </c>
      <c r="D1727" s="57" t="inlineStr"/>
      <c r="E1727" s="57" t="inlineStr">
        <is>
          <t>26-14</t>
        </is>
      </c>
      <c r="F1727" s="57" t="inlineStr">
        <is>
          <t>moved_from_SN</t>
        </is>
      </c>
    </row>
    <row r="1728" ht="25" customHeight="1" s="55">
      <c r="A1728" s="57" t="inlineStr">
        <is>
          <t>RobinsonCenter</t>
        </is>
      </c>
      <c r="B1728" s="57" t="n">
        <v>23</v>
      </c>
      <c r="C1728" s="57" t="inlineStr">
        <is>
          <t>Genotypes</t>
        </is>
      </c>
      <c r="D1728" s="57" t="inlineStr">
        <is>
          <t>26-14</t>
        </is>
      </c>
      <c r="E1728" s="57" t="inlineStr">
        <is>
          <t>UKYT-26-014</t>
        </is>
      </c>
      <c r="F1728" s="57" t="inlineStr"/>
    </row>
    <row r="1729" ht="25" customHeight="1" s="55">
      <c r="A1729" s="57" t="inlineStr">
        <is>
          <t>RobinsonCenter</t>
        </is>
      </c>
      <c r="B1729" s="57" t="n">
        <v>23</v>
      </c>
      <c r="C1729" s="57" t="inlineStr">
        <is>
          <t>Location</t>
        </is>
      </c>
      <c r="D1729" s="57" t="inlineStr"/>
      <c r="E1729" s="57" t="inlineStr">
        <is>
          <t>Robinson</t>
        </is>
      </c>
      <c r="F1729" s="57" t="inlineStr">
        <is>
          <t>forced_from_sheet_name</t>
        </is>
      </c>
    </row>
    <row r="1730" ht="25" customHeight="1" s="55">
      <c r="A1730" s="57" t="inlineStr">
        <is>
          <t>RobinsonCenter</t>
        </is>
      </c>
      <c r="B1730" s="57" t="n">
        <v>23</v>
      </c>
      <c r="C1730" s="57" t="inlineStr">
        <is>
          <t>Harvest</t>
        </is>
      </c>
      <c r="D1730" s="57" t="inlineStr"/>
      <c r="E1730" s="57" t="inlineStr">
        <is>
          <t>First</t>
        </is>
      </c>
      <c r="F1730" s="57" t="inlineStr">
        <is>
          <t>forced_from_sheet_name</t>
        </is>
      </c>
    </row>
    <row r="1731" ht="25" customHeight="1" s="55">
      <c r="A1731" s="57" t="inlineStr">
        <is>
          <t>RobinsonCenter</t>
        </is>
      </c>
      <c r="B1731" s="57" t="n">
        <v>23</v>
      </c>
      <c r="C1731" s="57" t="inlineStr">
        <is>
          <t>Date of harvest</t>
        </is>
      </c>
      <c r="D1731" s="57" t="inlineStr"/>
      <c r="E1731" s="57" t="inlineStr">
        <is>
          <t>2026-08-12</t>
        </is>
      </c>
      <c r="F1731" s="57" t="inlineStr">
        <is>
          <t>date_forced:SG Robinson first-harvest assays all dated 2026-08-12</t>
        </is>
      </c>
    </row>
    <row r="1732" ht="25" customHeight="1" s="55">
      <c r="A1732" s="57" t="inlineStr">
        <is>
          <t>RobinsonCenter</t>
        </is>
      </c>
      <c r="B1732" s="57" t="n">
        <v>24</v>
      </c>
      <c r="C1732" s="57" t="inlineStr">
        <is>
          <t>Genotypes</t>
        </is>
      </c>
      <c r="D1732" s="57" t="inlineStr"/>
      <c r="E1732" s="57" t="inlineStr">
        <is>
          <t>26-39</t>
        </is>
      </c>
      <c r="F1732" s="57" t="inlineStr">
        <is>
          <t>moved_from_SN</t>
        </is>
      </c>
    </row>
    <row r="1733" ht="25" customHeight="1" s="55">
      <c r="A1733" s="57" t="inlineStr">
        <is>
          <t>RobinsonCenter</t>
        </is>
      </c>
      <c r="B1733" s="57" t="n">
        <v>24</v>
      </c>
      <c r="C1733" s="57" t="inlineStr">
        <is>
          <t>Genotypes</t>
        </is>
      </c>
      <c r="D1733" s="57" t="inlineStr">
        <is>
          <t>26-39</t>
        </is>
      </c>
      <c r="E1733" s="57" t="inlineStr">
        <is>
          <t>UKYT-26-039</t>
        </is>
      </c>
      <c r="F1733" s="57" t="inlineStr"/>
    </row>
    <row r="1734" ht="25" customHeight="1" s="55">
      <c r="A1734" s="57" t="inlineStr">
        <is>
          <t>RobinsonCenter</t>
        </is>
      </c>
      <c r="B1734" s="57" t="n">
        <v>24</v>
      </c>
      <c r="C1734" s="57" t="inlineStr">
        <is>
          <t>Location</t>
        </is>
      </c>
      <c r="D1734" s="57" t="inlineStr"/>
      <c r="E1734" s="57" t="inlineStr">
        <is>
          <t>Robinson</t>
        </is>
      </c>
      <c r="F1734" s="57" t="inlineStr">
        <is>
          <t>forced_from_sheet_name</t>
        </is>
      </c>
    </row>
    <row r="1735" ht="25" customHeight="1" s="55">
      <c r="A1735" s="57" t="inlineStr">
        <is>
          <t>RobinsonCenter</t>
        </is>
      </c>
      <c r="B1735" s="57" t="n">
        <v>24</v>
      </c>
      <c r="C1735" s="57" t="inlineStr">
        <is>
          <t>Harvest</t>
        </is>
      </c>
      <c r="D1735" s="57" t="inlineStr"/>
      <c r="E1735" s="57" t="inlineStr">
        <is>
          <t>First</t>
        </is>
      </c>
      <c r="F1735" s="57" t="inlineStr">
        <is>
          <t>forced_from_sheet_name</t>
        </is>
      </c>
    </row>
    <row r="1736" ht="25" customHeight="1" s="55">
      <c r="A1736" s="57" t="inlineStr">
        <is>
          <t>RobinsonCenter</t>
        </is>
      </c>
      <c r="B1736" s="57" t="n">
        <v>24</v>
      </c>
      <c r="C1736" s="57" t="inlineStr">
        <is>
          <t>Date of harvest</t>
        </is>
      </c>
      <c r="D1736" s="57" t="inlineStr"/>
      <c r="E1736" s="57" t="inlineStr">
        <is>
          <t>2026-08-12</t>
        </is>
      </c>
      <c r="F1736" s="57" t="inlineStr">
        <is>
          <t>date_forced:SG Robinson first-harvest assays all dated 2026-08-12</t>
        </is>
      </c>
    </row>
    <row r="1737" ht="25" customHeight="1" s="55">
      <c r="A1737" s="57" t="inlineStr">
        <is>
          <t>RobinsonCenter</t>
        </is>
      </c>
      <c r="B1737" s="57" t="n">
        <v>25</v>
      </c>
      <c r="C1737" s="57" t="inlineStr">
        <is>
          <t>Genotypes</t>
        </is>
      </c>
      <c r="D1737" s="57" t="inlineStr"/>
      <c r="E1737" s="57" t="inlineStr">
        <is>
          <t>26-31</t>
        </is>
      </c>
      <c r="F1737" s="57" t="inlineStr">
        <is>
          <t>moved_from_SN</t>
        </is>
      </c>
    </row>
    <row r="1738" ht="25" customHeight="1" s="55">
      <c r="A1738" s="57" t="inlineStr">
        <is>
          <t>RobinsonCenter</t>
        </is>
      </c>
      <c r="B1738" s="57" t="n">
        <v>25</v>
      </c>
      <c r="C1738" s="57" t="inlineStr">
        <is>
          <t>Genotypes</t>
        </is>
      </c>
      <c r="D1738" s="57" t="inlineStr">
        <is>
          <t>26-31</t>
        </is>
      </c>
      <c r="E1738" s="57" t="inlineStr">
        <is>
          <t>UKYT-26-031</t>
        </is>
      </c>
      <c r="F1738" s="57" t="inlineStr"/>
    </row>
    <row r="1739" ht="25" customHeight="1" s="55">
      <c r="A1739" s="57" t="inlineStr">
        <is>
          <t>RobinsonCenter</t>
        </is>
      </c>
      <c r="B1739" s="57" t="n">
        <v>25</v>
      </c>
      <c r="C1739" s="57" t="inlineStr">
        <is>
          <t>Location</t>
        </is>
      </c>
      <c r="D1739" s="57" t="inlineStr"/>
      <c r="E1739" s="57" t="inlineStr">
        <is>
          <t>Robinson</t>
        </is>
      </c>
      <c r="F1739" s="57" t="inlineStr">
        <is>
          <t>forced_from_sheet_name</t>
        </is>
      </c>
    </row>
    <row r="1740" ht="25" customHeight="1" s="55">
      <c r="A1740" s="57" t="inlineStr">
        <is>
          <t>RobinsonCenter</t>
        </is>
      </c>
      <c r="B1740" s="57" t="n">
        <v>25</v>
      </c>
      <c r="C1740" s="57" t="inlineStr">
        <is>
          <t>Harvest</t>
        </is>
      </c>
      <c r="D1740" s="57" t="inlineStr"/>
      <c r="E1740" s="57" t="inlineStr">
        <is>
          <t>First</t>
        </is>
      </c>
      <c r="F1740" s="57" t="inlineStr">
        <is>
          <t>forced_from_sheet_name</t>
        </is>
      </c>
    </row>
    <row r="1741" ht="25" customHeight="1" s="55">
      <c r="A1741" s="57" t="inlineStr">
        <is>
          <t>RobinsonCenter</t>
        </is>
      </c>
      <c r="B1741" s="57" t="n">
        <v>25</v>
      </c>
      <c r="C1741" s="57" t="inlineStr">
        <is>
          <t>Date of harvest</t>
        </is>
      </c>
      <c r="D1741" s="57" t="inlineStr"/>
      <c r="E1741" s="57" t="inlineStr">
        <is>
          <t>2026-08-12</t>
        </is>
      </c>
      <c r="F1741" s="57" t="inlineStr">
        <is>
          <t>date_forced:SG Robinson first-harvest assays all dated 2026-08-12</t>
        </is>
      </c>
    </row>
    <row r="1742" ht="25" customHeight="1" s="55">
      <c r="A1742" s="57" t="inlineStr">
        <is>
          <t>RobinsonCenter</t>
        </is>
      </c>
      <c r="B1742" s="57" t="n">
        <v>26</v>
      </c>
      <c r="C1742" s="57" t="inlineStr">
        <is>
          <t>Genotypes</t>
        </is>
      </c>
      <c r="D1742" s="57" t="inlineStr"/>
      <c r="E1742" s="57" t="inlineStr">
        <is>
          <t xml:space="preserve">cherokee purple </t>
        </is>
      </c>
      <c r="F1742" s="57" t="inlineStr">
        <is>
          <t>moved_from_SN</t>
        </is>
      </c>
    </row>
    <row r="1743" ht="25" customHeight="1" s="55">
      <c r="A1743" s="57" t="inlineStr">
        <is>
          <t>RobinsonCenter</t>
        </is>
      </c>
      <c r="B1743" s="57" t="n">
        <v>26</v>
      </c>
      <c r="C1743" s="57" t="inlineStr">
        <is>
          <t>Genotypes</t>
        </is>
      </c>
      <c r="D1743" s="57" t="inlineStr">
        <is>
          <t xml:space="preserve">cherokee purple </t>
        </is>
      </c>
      <c r="E1743" s="57" t="inlineStr">
        <is>
          <t>Cherokee Purple</t>
        </is>
      </c>
      <c r="F1743" s="57" t="inlineStr"/>
    </row>
    <row r="1744" ht="25" customHeight="1" s="55">
      <c r="A1744" s="57" t="inlineStr">
        <is>
          <t>RobinsonCenter</t>
        </is>
      </c>
      <c r="B1744" s="57" t="n">
        <v>26</v>
      </c>
      <c r="C1744" s="57" t="inlineStr">
        <is>
          <t>Location</t>
        </is>
      </c>
      <c r="D1744" s="57" t="inlineStr"/>
      <c r="E1744" s="57" t="inlineStr">
        <is>
          <t>Robinson</t>
        </is>
      </c>
      <c r="F1744" s="57" t="inlineStr">
        <is>
          <t>forced_from_sheet_name</t>
        </is>
      </c>
    </row>
    <row r="1745" ht="25" customHeight="1" s="55">
      <c r="A1745" s="57" t="inlineStr">
        <is>
          <t>RobinsonCenter</t>
        </is>
      </c>
      <c r="B1745" s="57" t="n">
        <v>26</v>
      </c>
      <c r="C1745" s="57" t="inlineStr">
        <is>
          <t>Harvest</t>
        </is>
      </c>
      <c r="D1745" s="57" t="inlineStr"/>
      <c r="E1745" s="57" t="inlineStr">
        <is>
          <t>First</t>
        </is>
      </c>
      <c r="F1745" s="57" t="inlineStr">
        <is>
          <t>forced_from_sheet_name</t>
        </is>
      </c>
    </row>
    <row r="1746" ht="25" customHeight="1" s="55">
      <c r="A1746" s="57" t="inlineStr">
        <is>
          <t>RobinsonCenter</t>
        </is>
      </c>
      <c r="B1746" s="57" t="n">
        <v>26</v>
      </c>
      <c r="C1746" s="57" t="inlineStr">
        <is>
          <t>Date of harvest</t>
        </is>
      </c>
      <c r="D1746" s="57" t="inlineStr"/>
      <c r="E1746" s="57" t="inlineStr">
        <is>
          <t>2026-08-12</t>
        </is>
      </c>
      <c r="F1746" s="57" t="inlineStr">
        <is>
          <t>date_forced:SG Robinson first-harvest assays all dated 2026-08-12</t>
        </is>
      </c>
    </row>
    <row r="1747" ht="25" customHeight="1" s="55">
      <c r="A1747" s="57" t="inlineStr">
        <is>
          <t>RobinsonCenter</t>
        </is>
      </c>
      <c r="B1747" s="57" t="n">
        <v>27</v>
      </c>
      <c r="C1747" s="57" t="inlineStr">
        <is>
          <t>Genotypes</t>
        </is>
      </c>
      <c r="D1747" s="57" t="inlineStr"/>
      <c r="E1747" s="57" t="inlineStr">
        <is>
          <t>26-36</t>
        </is>
      </c>
      <c r="F1747" s="57" t="inlineStr">
        <is>
          <t>moved_from_SN</t>
        </is>
      </c>
    </row>
    <row r="1748" ht="25" customHeight="1" s="55">
      <c r="A1748" s="57" t="inlineStr">
        <is>
          <t>RobinsonCenter</t>
        </is>
      </c>
      <c r="B1748" s="57" t="n">
        <v>27</v>
      </c>
      <c r="C1748" s="57" t="inlineStr">
        <is>
          <t>Genotypes</t>
        </is>
      </c>
      <c r="D1748" s="57" t="inlineStr">
        <is>
          <t>26-36</t>
        </is>
      </c>
      <c r="E1748" s="57" t="inlineStr">
        <is>
          <t>UKYT-26-036</t>
        </is>
      </c>
      <c r="F1748" s="57" t="inlineStr"/>
    </row>
    <row r="1749" ht="25" customHeight="1" s="55">
      <c r="A1749" s="57" t="inlineStr">
        <is>
          <t>RobinsonCenter</t>
        </is>
      </c>
      <c r="B1749" s="57" t="n">
        <v>27</v>
      </c>
      <c r="C1749" s="57" t="inlineStr">
        <is>
          <t>Location</t>
        </is>
      </c>
      <c r="D1749" s="57" t="inlineStr"/>
      <c r="E1749" s="57" t="inlineStr">
        <is>
          <t>Robinson</t>
        </is>
      </c>
      <c r="F1749" s="57" t="inlineStr">
        <is>
          <t>forced_from_sheet_name</t>
        </is>
      </c>
    </row>
    <row r="1750" ht="25" customHeight="1" s="55">
      <c r="A1750" s="57" t="inlineStr">
        <is>
          <t>RobinsonCenter</t>
        </is>
      </c>
      <c r="B1750" s="57" t="n">
        <v>27</v>
      </c>
      <c r="C1750" s="57" t="inlineStr">
        <is>
          <t>Harvest</t>
        </is>
      </c>
      <c r="D1750" s="57" t="inlineStr"/>
      <c r="E1750" s="57" t="inlineStr">
        <is>
          <t>First</t>
        </is>
      </c>
      <c r="F1750" s="57" t="inlineStr">
        <is>
          <t>forced_from_sheet_name</t>
        </is>
      </c>
    </row>
    <row r="1751" ht="25" customHeight="1" s="55">
      <c r="A1751" s="57" t="inlineStr">
        <is>
          <t>RobinsonCenter</t>
        </is>
      </c>
      <c r="B1751" s="57" t="n">
        <v>27</v>
      </c>
      <c r="C1751" s="57" t="inlineStr">
        <is>
          <t>Date of harvest</t>
        </is>
      </c>
      <c r="D1751" s="57" t="inlineStr"/>
      <c r="E1751" s="57" t="inlineStr">
        <is>
          <t>2026-08-12</t>
        </is>
      </c>
      <c r="F1751" s="57" t="inlineStr">
        <is>
          <t>date_forced:SG Robinson first-harvest assays all dated 2026-08-12</t>
        </is>
      </c>
    </row>
    <row r="1752" ht="25" customHeight="1" s="55">
      <c r="A1752" s="57" t="inlineStr">
        <is>
          <t>RobinsonCenter</t>
        </is>
      </c>
      <c r="B1752" s="57" t="n">
        <v>28</v>
      </c>
      <c r="C1752" s="57" t="inlineStr">
        <is>
          <t>Genotypes</t>
        </is>
      </c>
      <c r="D1752" s="57" t="inlineStr"/>
      <c r="E1752" s="57" t="inlineStr">
        <is>
          <t>NC 25241 G</t>
        </is>
      </c>
      <c r="F1752" s="57" t="inlineStr">
        <is>
          <t>moved_from_SN</t>
        </is>
      </c>
    </row>
    <row r="1753" ht="25" customHeight="1" s="55">
      <c r="A1753" s="57" t="inlineStr">
        <is>
          <t>RobinsonCenter</t>
        </is>
      </c>
      <c r="B1753" s="57" t="n">
        <v>28</v>
      </c>
      <c r="C1753" s="57" t="inlineStr">
        <is>
          <t>Genotypes</t>
        </is>
      </c>
      <c r="D1753" s="57" t="inlineStr">
        <is>
          <t>NC 25241 G</t>
        </is>
      </c>
      <c r="E1753" s="57" t="inlineStr">
        <is>
          <t>NC25241G</t>
        </is>
      </c>
      <c r="F1753" s="57" t="inlineStr"/>
    </row>
    <row r="1754" ht="25" customHeight="1" s="55">
      <c r="A1754" s="57" t="inlineStr">
        <is>
          <t>RobinsonCenter</t>
        </is>
      </c>
      <c r="B1754" s="57" t="n">
        <v>28</v>
      </c>
      <c r="C1754" s="57" t="inlineStr">
        <is>
          <t>Location</t>
        </is>
      </c>
      <c r="D1754" s="57" t="inlineStr"/>
      <c r="E1754" s="57" t="inlineStr">
        <is>
          <t>Robinson</t>
        </is>
      </c>
      <c r="F1754" s="57" t="inlineStr">
        <is>
          <t>forced_from_sheet_name</t>
        </is>
      </c>
    </row>
    <row r="1755" ht="25" customHeight="1" s="55">
      <c r="A1755" s="57" t="inlineStr">
        <is>
          <t>RobinsonCenter</t>
        </is>
      </c>
      <c r="B1755" s="57" t="n">
        <v>28</v>
      </c>
      <c r="C1755" s="57" t="inlineStr">
        <is>
          <t>Harvest</t>
        </is>
      </c>
      <c r="D1755" s="57" t="inlineStr"/>
      <c r="E1755" s="57" t="inlineStr">
        <is>
          <t>First</t>
        </is>
      </c>
      <c r="F1755" s="57" t="inlineStr">
        <is>
          <t>forced_from_sheet_name</t>
        </is>
      </c>
    </row>
    <row r="1756" ht="25" customHeight="1" s="55">
      <c r="A1756" s="57" t="inlineStr">
        <is>
          <t>RobinsonCenter</t>
        </is>
      </c>
      <c r="B1756" s="57" t="n">
        <v>28</v>
      </c>
      <c r="C1756" s="57" t="inlineStr">
        <is>
          <t>Date of harvest</t>
        </is>
      </c>
      <c r="D1756" s="57" t="inlineStr"/>
      <c r="E1756" s="57" t="inlineStr">
        <is>
          <t>2026-08-12</t>
        </is>
      </c>
      <c r="F1756" s="57" t="inlineStr">
        <is>
          <t>date_forced:SG Robinson first-harvest assays all dated 2026-08-12</t>
        </is>
      </c>
    </row>
    <row r="1757" ht="25" customHeight="1" s="55">
      <c r="A1757" s="57" t="inlineStr">
        <is>
          <t>RobinsonCenter</t>
        </is>
      </c>
      <c r="B1757" s="57" t="n">
        <v>29</v>
      </c>
      <c r="C1757" s="57" t="inlineStr">
        <is>
          <t>Genotypes</t>
        </is>
      </c>
      <c r="D1757" s="57" t="inlineStr"/>
      <c r="E1757" s="57" t="inlineStr">
        <is>
          <t>26-17</t>
        </is>
      </c>
      <c r="F1757" s="57" t="inlineStr">
        <is>
          <t>moved_from_SN</t>
        </is>
      </c>
    </row>
    <row r="1758" ht="25" customHeight="1" s="55">
      <c r="A1758" s="57" t="inlineStr">
        <is>
          <t>RobinsonCenter</t>
        </is>
      </c>
      <c r="B1758" s="57" t="n">
        <v>29</v>
      </c>
      <c r="C1758" s="57" t="inlineStr">
        <is>
          <t>Genotypes</t>
        </is>
      </c>
      <c r="D1758" s="57" t="inlineStr">
        <is>
          <t>26-17</t>
        </is>
      </c>
      <c r="E1758" s="57" t="inlineStr">
        <is>
          <t>UKYT-26-017</t>
        </is>
      </c>
      <c r="F1758" s="57" t="inlineStr"/>
    </row>
    <row r="1759" ht="25" customHeight="1" s="55">
      <c r="A1759" s="57" t="inlineStr">
        <is>
          <t>RobinsonCenter</t>
        </is>
      </c>
      <c r="B1759" s="57" t="n">
        <v>29</v>
      </c>
      <c r="C1759" s="57" t="inlineStr">
        <is>
          <t>Location</t>
        </is>
      </c>
      <c r="D1759" s="57" t="inlineStr"/>
      <c r="E1759" s="57" t="inlineStr">
        <is>
          <t>Robinson</t>
        </is>
      </c>
      <c r="F1759" s="57" t="inlineStr">
        <is>
          <t>forced_from_sheet_name</t>
        </is>
      </c>
    </row>
    <row r="1760" ht="25" customHeight="1" s="55">
      <c r="A1760" s="57" t="inlineStr">
        <is>
          <t>RobinsonCenter</t>
        </is>
      </c>
      <c r="B1760" s="57" t="n">
        <v>29</v>
      </c>
      <c r="C1760" s="57" t="inlineStr">
        <is>
          <t>Harvest</t>
        </is>
      </c>
      <c r="D1760" s="57" t="inlineStr"/>
      <c r="E1760" s="57" t="inlineStr">
        <is>
          <t>First</t>
        </is>
      </c>
      <c r="F1760" s="57" t="inlineStr">
        <is>
          <t>forced_from_sheet_name</t>
        </is>
      </c>
    </row>
    <row r="1761" ht="25" customHeight="1" s="55">
      <c r="A1761" s="57" t="inlineStr">
        <is>
          <t>RobinsonCenter</t>
        </is>
      </c>
      <c r="B1761" s="57" t="n">
        <v>29</v>
      </c>
      <c r="C1761" s="57" t="inlineStr">
        <is>
          <t>Date of harvest</t>
        </is>
      </c>
      <c r="D1761" s="57" t="inlineStr"/>
      <c r="E1761" s="57" t="inlineStr">
        <is>
          <t>2026-08-12</t>
        </is>
      </c>
      <c r="F1761" s="57" t="inlineStr">
        <is>
          <t>date_forced:SG Robinson first-harvest assays all dated 2026-08-12</t>
        </is>
      </c>
    </row>
    <row r="1762" ht="25" customHeight="1" s="55">
      <c r="A1762" s="57" t="inlineStr">
        <is>
          <t>RobinsonCenter</t>
        </is>
      </c>
      <c r="B1762" s="57" t="n">
        <v>30</v>
      </c>
      <c r="C1762" s="57" t="inlineStr">
        <is>
          <t>Genotypes</t>
        </is>
      </c>
      <c r="D1762" s="57" t="inlineStr"/>
      <c r="E1762" s="57" t="inlineStr">
        <is>
          <t>25-01</t>
        </is>
      </c>
      <c r="F1762" s="57" t="inlineStr">
        <is>
          <t>moved_from_SN</t>
        </is>
      </c>
    </row>
    <row r="1763" ht="25" customHeight="1" s="55">
      <c r="A1763" s="57" t="inlineStr">
        <is>
          <t>RobinsonCenter</t>
        </is>
      </c>
      <c r="B1763" s="57" t="n">
        <v>30</v>
      </c>
      <c r="C1763" s="57" t="inlineStr">
        <is>
          <t>Genotypes</t>
        </is>
      </c>
      <c r="D1763" s="57" t="inlineStr">
        <is>
          <t>25-01</t>
        </is>
      </c>
      <c r="E1763" s="57" t="inlineStr">
        <is>
          <t>UKYT-25-001</t>
        </is>
      </c>
      <c r="F1763" s="57" t="inlineStr"/>
    </row>
    <row r="1764" ht="25" customHeight="1" s="55">
      <c r="A1764" s="57" t="inlineStr">
        <is>
          <t>RobinsonCenter</t>
        </is>
      </c>
      <c r="B1764" s="57" t="n">
        <v>30</v>
      </c>
      <c r="C1764" s="57" t="inlineStr">
        <is>
          <t>Location</t>
        </is>
      </c>
      <c r="D1764" s="57" t="inlineStr"/>
      <c r="E1764" s="57" t="inlineStr">
        <is>
          <t>Robinson</t>
        </is>
      </c>
      <c r="F1764" s="57" t="inlineStr">
        <is>
          <t>forced_from_sheet_name</t>
        </is>
      </c>
    </row>
    <row r="1765" ht="25" customHeight="1" s="55">
      <c r="A1765" s="57" t="inlineStr">
        <is>
          <t>RobinsonCenter</t>
        </is>
      </c>
      <c r="B1765" s="57" t="n">
        <v>30</v>
      </c>
      <c r="C1765" s="57" t="inlineStr">
        <is>
          <t>Harvest</t>
        </is>
      </c>
      <c r="D1765" s="57" t="inlineStr"/>
      <c r="E1765" s="57" t="inlineStr">
        <is>
          <t>First</t>
        </is>
      </c>
      <c r="F1765" s="57" t="inlineStr">
        <is>
          <t>forced_from_sheet_name</t>
        </is>
      </c>
    </row>
    <row r="1766" ht="25" customHeight="1" s="55">
      <c r="A1766" s="57" t="inlineStr">
        <is>
          <t>RobinsonCenter</t>
        </is>
      </c>
      <c r="B1766" s="57" t="n">
        <v>30</v>
      </c>
      <c r="C1766" s="57" t="inlineStr">
        <is>
          <t>Date of harvest</t>
        </is>
      </c>
      <c r="D1766" s="57" t="inlineStr"/>
      <c r="E1766" s="57" t="inlineStr">
        <is>
          <t>2026-08-12</t>
        </is>
      </c>
      <c r="F1766" s="57" t="inlineStr">
        <is>
          <t>date_forced:SG Robinson first-harvest assays all dated 2026-08-12</t>
        </is>
      </c>
    </row>
    <row r="1767" ht="25" customHeight="1" s="55">
      <c r="A1767" s="57" t="inlineStr">
        <is>
          <t>RobinsonCenter</t>
        </is>
      </c>
      <c r="B1767" s="57" t="n">
        <v>31</v>
      </c>
      <c r="C1767" s="57" t="inlineStr">
        <is>
          <t>Genotypes</t>
        </is>
      </c>
      <c r="D1767" s="57" t="inlineStr"/>
      <c r="E1767" s="57" t="inlineStr">
        <is>
          <t xml:space="preserve">NC25241G </t>
        </is>
      </c>
      <c r="F1767" s="57" t="inlineStr">
        <is>
          <t>moved_from_SN</t>
        </is>
      </c>
    </row>
    <row r="1768" ht="25" customHeight="1" s="55">
      <c r="A1768" s="57" t="inlineStr">
        <is>
          <t>RobinsonCenter</t>
        </is>
      </c>
      <c r="B1768" s="57" t="n">
        <v>31</v>
      </c>
      <c r="C1768" s="57" t="inlineStr">
        <is>
          <t>Genotypes</t>
        </is>
      </c>
      <c r="D1768" s="57" t="inlineStr">
        <is>
          <t xml:space="preserve">NC25241G </t>
        </is>
      </c>
      <c r="E1768" s="57" t="inlineStr">
        <is>
          <t>NC25241G</t>
        </is>
      </c>
      <c r="F1768" s="57" t="inlineStr"/>
    </row>
    <row r="1769" ht="25" customHeight="1" s="55">
      <c r="A1769" s="57" t="inlineStr">
        <is>
          <t>RobinsonCenter</t>
        </is>
      </c>
      <c r="B1769" s="57" t="n">
        <v>31</v>
      </c>
      <c r="C1769" s="57" t="inlineStr">
        <is>
          <t>Location</t>
        </is>
      </c>
      <c r="D1769" s="57" t="inlineStr"/>
      <c r="E1769" s="57" t="inlineStr">
        <is>
          <t>Robinson</t>
        </is>
      </c>
      <c r="F1769" s="57" t="inlineStr">
        <is>
          <t>forced_from_sheet_name</t>
        </is>
      </c>
    </row>
    <row r="1770" ht="25" customHeight="1" s="55">
      <c r="A1770" s="57" t="inlineStr">
        <is>
          <t>RobinsonCenter</t>
        </is>
      </c>
      <c r="B1770" s="57" t="n">
        <v>31</v>
      </c>
      <c r="C1770" s="57" t="inlineStr">
        <is>
          <t>Harvest</t>
        </is>
      </c>
      <c r="D1770" s="57" t="inlineStr"/>
      <c r="E1770" s="57" t="inlineStr">
        <is>
          <t>First</t>
        </is>
      </c>
      <c r="F1770" s="57" t="inlineStr">
        <is>
          <t>forced_from_sheet_name</t>
        </is>
      </c>
    </row>
    <row r="1771" ht="25" customHeight="1" s="55">
      <c r="A1771" s="57" t="inlineStr">
        <is>
          <t>RobinsonCenter</t>
        </is>
      </c>
      <c r="B1771" s="57" t="n">
        <v>31</v>
      </c>
      <c r="C1771" s="57" t="inlineStr">
        <is>
          <t>Date of harvest</t>
        </is>
      </c>
      <c r="D1771" s="57" t="inlineStr"/>
      <c r="E1771" s="57" t="inlineStr">
        <is>
          <t>2026-08-12</t>
        </is>
      </c>
      <c r="F1771" s="57" t="inlineStr">
        <is>
          <t>date_forced:SG Robinson first-harvest assays all dated 2026-08-12</t>
        </is>
      </c>
    </row>
    <row r="1772" ht="25" customHeight="1" s="55">
      <c r="A1772" s="57" t="inlineStr">
        <is>
          <t>RobinsonCenter</t>
        </is>
      </c>
      <c r="B1772" s="57" t="n">
        <v>32</v>
      </c>
      <c r="C1772" s="57" t="inlineStr">
        <is>
          <t>Genotypes</t>
        </is>
      </c>
      <c r="D1772" s="57" t="inlineStr"/>
      <c r="E1772" s="57" t="inlineStr">
        <is>
          <t>26-37</t>
        </is>
      </c>
      <c r="F1772" s="57" t="inlineStr">
        <is>
          <t>moved_from_SN</t>
        </is>
      </c>
    </row>
    <row r="1773" ht="25" customHeight="1" s="55">
      <c r="A1773" s="57" t="inlineStr">
        <is>
          <t>RobinsonCenter</t>
        </is>
      </c>
      <c r="B1773" s="57" t="n">
        <v>32</v>
      </c>
      <c r="C1773" s="57" t="inlineStr">
        <is>
          <t>Genotypes</t>
        </is>
      </c>
      <c r="D1773" s="57" t="inlineStr">
        <is>
          <t>26-37</t>
        </is>
      </c>
      <c r="E1773" s="57" t="inlineStr">
        <is>
          <t>UKYT-26-037</t>
        </is>
      </c>
      <c r="F1773" s="57" t="inlineStr"/>
    </row>
    <row r="1774" ht="25" customHeight="1" s="55">
      <c r="A1774" s="57" t="inlineStr">
        <is>
          <t>RobinsonCenter</t>
        </is>
      </c>
      <c r="B1774" s="57" t="n">
        <v>32</v>
      </c>
      <c r="C1774" s="57" t="inlineStr">
        <is>
          <t>Location</t>
        </is>
      </c>
      <c r="D1774" s="57" t="inlineStr"/>
      <c r="E1774" s="57" t="inlineStr">
        <is>
          <t>Robinson</t>
        </is>
      </c>
      <c r="F1774" s="57" t="inlineStr">
        <is>
          <t>forced_from_sheet_name</t>
        </is>
      </c>
    </row>
    <row r="1775" ht="25" customHeight="1" s="55">
      <c r="A1775" s="57" t="inlineStr">
        <is>
          <t>RobinsonCenter</t>
        </is>
      </c>
      <c r="B1775" s="57" t="n">
        <v>32</v>
      </c>
      <c r="C1775" s="57" t="inlineStr">
        <is>
          <t>Harvest</t>
        </is>
      </c>
      <c r="D1775" s="57" t="inlineStr"/>
      <c r="E1775" s="57" t="inlineStr">
        <is>
          <t>First</t>
        </is>
      </c>
      <c r="F1775" s="57" t="inlineStr">
        <is>
          <t>forced_from_sheet_name</t>
        </is>
      </c>
    </row>
    <row r="1776" ht="25" customHeight="1" s="55">
      <c r="A1776" s="57" t="inlineStr">
        <is>
          <t>RobinsonCenter</t>
        </is>
      </c>
      <c r="B1776" s="57" t="n">
        <v>32</v>
      </c>
      <c r="C1776" s="57" t="inlineStr">
        <is>
          <t>Date of harvest</t>
        </is>
      </c>
      <c r="D1776" s="57" t="inlineStr"/>
      <c r="E1776" s="57" t="inlineStr">
        <is>
          <t>2026-08-12</t>
        </is>
      </c>
      <c r="F1776" s="57" t="inlineStr">
        <is>
          <t>date_forced:SG Robinson first-harvest assays all dated 2026-08-12</t>
        </is>
      </c>
    </row>
    <row r="1777" ht="25" customHeight="1" s="55">
      <c r="A1777" s="57" t="inlineStr">
        <is>
          <t>RobinsonCenter</t>
        </is>
      </c>
      <c r="B1777" s="57" t="n">
        <v>33</v>
      </c>
      <c r="C1777" s="57" t="inlineStr">
        <is>
          <t>Genotypes</t>
        </is>
      </c>
      <c r="D1777" s="57" t="inlineStr"/>
      <c r="E1777" s="57" t="inlineStr">
        <is>
          <t>NC25231</t>
        </is>
      </c>
      <c r="F1777" s="57" t="inlineStr">
        <is>
          <t>moved_from_SN</t>
        </is>
      </c>
    </row>
    <row r="1778" ht="25" customHeight="1" s="55">
      <c r="A1778" s="57" t="inlineStr">
        <is>
          <t>RobinsonCenter</t>
        </is>
      </c>
      <c r="B1778" s="57" t="n">
        <v>33</v>
      </c>
      <c r="C1778" s="57" t="inlineStr">
        <is>
          <t>Location</t>
        </is>
      </c>
      <c r="D1778" s="57" t="inlineStr"/>
      <c r="E1778" s="57" t="inlineStr">
        <is>
          <t>Robinson</t>
        </is>
      </c>
      <c r="F1778" s="57" t="inlineStr">
        <is>
          <t>forced_from_sheet_name</t>
        </is>
      </c>
    </row>
    <row r="1779" ht="25" customHeight="1" s="55">
      <c r="A1779" s="57" t="inlineStr">
        <is>
          <t>RobinsonCenter</t>
        </is>
      </c>
      <c r="B1779" s="57" t="n">
        <v>33</v>
      </c>
      <c r="C1779" s="57" t="inlineStr">
        <is>
          <t>Harvest</t>
        </is>
      </c>
      <c r="D1779" s="57" t="inlineStr"/>
      <c r="E1779" s="57" t="inlineStr">
        <is>
          <t>First</t>
        </is>
      </c>
      <c r="F1779" s="57" t="inlineStr">
        <is>
          <t>forced_from_sheet_name</t>
        </is>
      </c>
    </row>
    <row r="1780" ht="25" customHeight="1" s="55">
      <c r="A1780" s="57" t="inlineStr">
        <is>
          <t>RobinsonCenter</t>
        </is>
      </c>
      <c r="B1780" s="57" t="n">
        <v>33</v>
      </c>
      <c r="C1780" s="57" t="inlineStr">
        <is>
          <t>Date of harvest</t>
        </is>
      </c>
      <c r="D1780" s="57" t="inlineStr"/>
      <c r="E1780" s="57" t="inlineStr">
        <is>
          <t>2026-08-12</t>
        </is>
      </c>
      <c r="F1780" s="57" t="inlineStr">
        <is>
          <t>date_forced:SG Robinson first-harvest assays all dated 2026-08-12</t>
        </is>
      </c>
    </row>
    <row r="1781" ht="25" customHeight="1" s="55">
      <c r="A1781" s="57" t="inlineStr">
        <is>
          <t>RobinsonCenter</t>
        </is>
      </c>
      <c r="B1781" s="57" t="n">
        <v>34</v>
      </c>
      <c r="C1781" s="57" t="inlineStr">
        <is>
          <t>Genotypes</t>
        </is>
      </c>
      <c r="D1781" s="57" t="inlineStr"/>
      <c r="E1781" s="57" t="inlineStr">
        <is>
          <t>26-22</t>
        </is>
      </c>
      <c r="F1781" s="57" t="inlineStr">
        <is>
          <t>moved_from_SN</t>
        </is>
      </c>
    </row>
    <row r="1782" ht="25" customHeight="1" s="55">
      <c r="A1782" s="57" t="inlineStr">
        <is>
          <t>RobinsonCenter</t>
        </is>
      </c>
      <c r="B1782" s="57" t="n">
        <v>34</v>
      </c>
      <c r="C1782" s="57" t="inlineStr">
        <is>
          <t>Genotypes</t>
        </is>
      </c>
      <c r="D1782" s="57" t="inlineStr">
        <is>
          <t>26-22</t>
        </is>
      </c>
      <c r="E1782" s="57" t="inlineStr">
        <is>
          <t>UKYT-26-022</t>
        </is>
      </c>
      <c r="F1782" s="57" t="inlineStr"/>
    </row>
    <row r="1783" ht="25" customHeight="1" s="55">
      <c r="A1783" s="57" t="inlineStr">
        <is>
          <t>RobinsonCenter</t>
        </is>
      </c>
      <c r="B1783" s="57" t="n">
        <v>34</v>
      </c>
      <c r="C1783" s="57" t="inlineStr">
        <is>
          <t>Location</t>
        </is>
      </c>
      <c r="D1783" s="57" t="inlineStr"/>
      <c r="E1783" s="57" t="inlineStr">
        <is>
          <t>Robinson</t>
        </is>
      </c>
      <c r="F1783" s="57" t="inlineStr">
        <is>
          <t>forced_from_sheet_name</t>
        </is>
      </c>
    </row>
    <row r="1784" ht="25" customHeight="1" s="55">
      <c r="A1784" s="57" t="inlineStr">
        <is>
          <t>RobinsonCenter</t>
        </is>
      </c>
      <c r="B1784" s="57" t="n">
        <v>34</v>
      </c>
      <c r="C1784" s="57" t="inlineStr">
        <is>
          <t>Harvest</t>
        </is>
      </c>
      <c r="D1784" s="57" t="inlineStr"/>
      <c r="E1784" s="57" t="inlineStr">
        <is>
          <t>First</t>
        </is>
      </c>
      <c r="F1784" s="57" t="inlineStr">
        <is>
          <t>forced_from_sheet_name</t>
        </is>
      </c>
    </row>
    <row r="1785" ht="25" customHeight="1" s="55">
      <c r="A1785" s="57" t="inlineStr">
        <is>
          <t>RobinsonCenter</t>
        </is>
      </c>
      <c r="B1785" s="57" t="n">
        <v>34</v>
      </c>
      <c r="C1785" s="57" t="inlineStr">
        <is>
          <t>Date of harvest</t>
        </is>
      </c>
      <c r="D1785" s="57" t="inlineStr"/>
      <c r="E1785" s="57" t="inlineStr">
        <is>
          <t>2026-08-12</t>
        </is>
      </c>
      <c r="F1785" s="57" t="inlineStr">
        <is>
          <t>date_forced:SG Robinson first-harvest assays all dated 2026-08-12</t>
        </is>
      </c>
    </row>
    <row r="1786" ht="25" customHeight="1" s="55">
      <c r="A1786" s="57" t="inlineStr">
        <is>
          <t>RobinsonCenter</t>
        </is>
      </c>
      <c r="B1786" s="57" t="n">
        <v>35</v>
      </c>
      <c r="C1786" s="57" t="inlineStr">
        <is>
          <t>Genotypes</t>
        </is>
      </c>
      <c r="D1786" s="57" t="inlineStr"/>
      <c r="E1786" s="57" t="inlineStr">
        <is>
          <t>26-20</t>
        </is>
      </c>
      <c r="F1786" s="57" t="inlineStr">
        <is>
          <t>moved_from_SN</t>
        </is>
      </c>
    </row>
    <row r="1787" ht="25" customHeight="1" s="55">
      <c r="A1787" s="57" t="inlineStr">
        <is>
          <t>RobinsonCenter</t>
        </is>
      </c>
      <c r="B1787" s="57" t="n">
        <v>35</v>
      </c>
      <c r="C1787" s="57" t="inlineStr">
        <is>
          <t>Genotypes</t>
        </is>
      </c>
      <c r="D1787" s="57" t="inlineStr">
        <is>
          <t>26-20</t>
        </is>
      </c>
      <c r="E1787" s="57" t="inlineStr">
        <is>
          <t>UKYT-26-020</t>
        </is>
      </c>
      <c r="F1787" s="57" t="inlineStr"/>
    </row>
    <row r="1788" ht="25" customHeight="1" s="55">
      <c r="A1788" s="57" t="inlineStr">
        <is>
          <t>RobinsonCenter</t>
        </is>
      </c>
      <c r="B1788" s="57" t="n">
        <v>35</v>
      </c>
      <c r="C1788" s="57" t="inlineStr">
        <is>
          <t>Location</t>
        </is>
      </c>
      <c r="D1788" s="57" t="inlineStr"/>
      <c r="E1788" s="57" t="inlineStr">
        <is>
          <t>Robinson</t>
        </is>
      </c>
      <c r="F1788" s="57" t="inlineStr">
        <is>
          <t>forced_from_sheet_name</t>
        </is>
      </c>
    </row>
    <row r="1789" ht="25" customHeight="1" s="55">
      <c r="A1789" s="57" t="inlineStr">
        <is>
          <t>RobinsonCenter</t>
        </is>
      </c>
      <c r="B1789" s="57" t="n">
        <v>35</v>
      </c>
      <c r="C1789" s="57" t="inlineStr">
        <is>
          <t>Harvest</t>
        </is>
      </c>
      <c r="D1789" s="57" t="inlineStr"/>
      <c r="E1789" s="57" t="inlineStr">
        <is>
          <t>First</t>
        </is>
      </c>
      <c r="F1789" s="57" t="inlineStr">
        <is>
          <t>forced_from_sheet_name</t>
        </is>
      </c>
    </row>
    <row r="1790" ht="25" customHeight="1" s="55">
      <c r="A1790" s="57" t="inlineStr">
        <is>
          <t>RobinsonCenter</t>
        </is>
      </c>
      <c r="B1790" s="57" t="n">
        <v>35</v>
      </c>
      <c r="C1790" s="57" t="inlineStr">
        <is>
          <t>Date of harvest</t>
        </is>
      </c>
      <c r="D1790" s="57" t="inlineStr"/>
      <c r="E1790" s="57" t="inlineStr">
        <is>
          <t>2026-08-12</t>
        </is>
      </c>
      <c r="F1790" s="57" t="inlineStr">
        <is>
          <t>date_forced:SG Robinson first-harvest assays all dated 2026-08-12</t>
        </is>
      </c>
    </row>
    <row r="1791" ht="25" customHeight="1" s="55">
      <c r="A1791" s="57" t="inlineStr">
        <is>
          <t>RobinsonCenter</t>
        </is>
      </c>
      <c r="B1791" s="57" t="n">
        <v>36</v>
      </c>
      <c r="C1791" s="57" t="inlineStr">
        <is>
          <t>Genotypes</t>
        </is>
      </c>
      <c r="D1791" s="57" t="inlineStr"/>
      <c r="E1791" s="57" t="inlineStr">
        <is>
          <t>26-001</t>
        </is>
      </c>
      <c r="F1791" s="57" t="inlineStr">
        <is>
          <t>moved_from_SN</t>
        </is>
      </c>
    </row>
    <row r="1792" ht="25" customHeight="1" s="55">
      <c r="A1792" s="57" t="inlineStr">
        <is>
          <t>RobinsonCenter</t>
        </is>
      </c>
      <c r="B1792" s="57" t="n">
        <v>36</v>
      </c>
      <c r="C1792" s="57" t="inlineStr">
        <is>
          <t>Genotypes</t>
        </is>
      </c>
      <c r="D1792" s="57" t="inlineStr">
        <is>
          <t>26-001</t>
        </is>
      </c>
      <c r="E1792" s="57" t="inlineStr">
        <is>
          <t>UKYT-26-001</t>
        </is>
      </c>
      <c r="F1792" s="57" t="inlineStr"/>
    </row>
    <row r="1793" ht="25" customHeight="1" s="55">
      <c r="A1793" s="57" t="inlineStr">
        <is>
          <t>RobinsonCenter</t>
        </is>
      </c>
      <c r="B1793" s="57" t="n">
        <v>36</v>
      </c>
      <c r="C1793" s="57" t="inlineStr">
        <is>
          <t>Location</t>
        </is>
      </c>
      <c r="D1793" s="57" t="inlineStr"/>
      <c r="E1793" s="57" t="inlineStr">
        <is>
          <t>Robinson</t>
        </is>
      </c>
      <c r="F1793" s="57" t="inlineStr">
        <is>
          <t>forced_from_sheet_name</t>
        </is>
      </c>
    </row>
    <row r="1794" ht="25" customHeight="1" s="55">
      <c r="A1794" s="57" t="inlineStr">
        <is>
          <t>RobinsonCenter</t>
        </is>
      </c>
      <c r="B1794" s="57" t="n">
        <v>36</v>
      </c>
      <c r="C1794" s="57" t="inlineStr">
        <is>
          <t>Harvest</t>
        </is>
      </c>
      <c r="D1794" s="57" t="inlineStr"/>
      <c r="E1794" s="57" t="inlineStr">
        <is>
          <t>First</t>
        </is>
      </c>
      <c r="F1794" s="57" t="inlineStr">
        <is>
          <t>forced_from_sheet_name</t>
        </is>
      </c>
    </row>
    <row r="1795" ht="25" customHeight="1" s="55">
      <c r="A1795" s="57" t="inlineStr">
        <is>
          <t>RobinsonCenter</t>
        </is>
      </c>
      <c r="B1795" s="57" t="n">
        <v>36</v>
      </c>
      <c r="C1795" s="57" t="inlineStr">
        <is>
          <t>Date of harvest</t>
        </is>
      </c>
      <c r="D1795" s="57" t="inlineStr"/>
      <c r="E1795" s="57" t="inlineStr">
        <is>
          <t>2026-08-12</t>
        </is>
      </c>
      <c r="F1795" s="57" t="inlineStr">
        <is>
          <t>date_forced:SG Robinson first-harvest assays all dated 2026-08-12</t>
        </is>
      </c>
    </row>
    <row r="1796" ht="25" customHeight="1" s="55">
      <c r="A1796" s="57" t="inlineStr">
        <is>
          <t>RobinsonCenter</t>
        </is>
      </c>
      <c r="B1796" s="57" t="n">
        <v>37</v>
      </c>
      <c r="C1796" s="57" t="inlineStr">
        <is>
          <t>Genotypes</t>
        </is>
      </c>
      <c r="D1796" s="57" t="inlineStr"/>
      <c r="E1796" s="57" t="inlineStr">
        <is>
          <t>26-30</t>
        </is>
      </c>
      <c r="F1796" s="57" t="inlineStr">
        <is>
          <t>moved_from_SN</t>
        </is>
      </c>
    </row>
    <row r="1797" ht="25" customHeight="1" s="55">
      <c r="A1797" s="57" t="inlineStr">
        <is>
          <t>RobinsonCenter</t>
        </is>
      </c>
      <c r="B1797" s="57" t="n">
        <v>37</v>
      </c>
      <c r="C1797" s="57" t="inlineStr">
        <is>
          <t>Genotypes</t>
        </is>
      </c>
      <c r="D1797" s="57" t="inlineStr">
        <is>
          <t>26-30</t>
        </is>
      </c>
      <c r="E1797" s="57" t="inlineStr">
        <is>
          <t>UKYT-26-030</t>
        </is>
      </c>
      <c r="F1797" s="57" t="inlineStr"/>
    </row>
    <row r="1798" ht="25" customHeight="1" s="55">
      <c r="A1798" s="57" t="inlineStr">
        <is>
          <t>RobinsonCenter</t>
        </is>
      </c>
      <c r="B1798" s="57" t="n">
        <v>37</v>
      </c>
      <c r="C1798" s="57" t="inlineStr">
        <is>
          <t>Location</t>
        </is>
      </c>
      <c r="D1798" s="57" t="inlineStr"/>
      <c r="E1798" s="57" t="inlineStr">
        <is>
          <t>Robinson</t>
        </is>
      </c>
      <c r="F1798" s="57" t="inlineStr">
        <is>
          <t>forced_from_sheet_name</t>
        </is>
      </c>
    </row>
    <row r="1799" ht="25" customHeight="1" s="55">
      <c r="A1799" s="57" t="inlineStr">
        <is>
          <t>RobinsonCenter</t>
        </is>
      </c>
      <c r="B1799" s="57" t="n">
        <v>37</v>
      </c>
      <c r="C1799" s="57" t="inlineStr">
        <is>
          <t>Harvest</t>
        </is>
      </c>
      <c r="D1799" s="57" t="inlineStr"/>
      <c r="E1799" s="57" t="inlineStr">
        <is>
          <t>First</t>
        </is>
      </c>
      <c r="F1799" s="57" t="inlineStr">
        <is>
          <t>forced_from_sheet_name</t>
        </is>
      </c>
    </row>
    <row r="1800" ht="25" customHeight="1" s="55">
      <c r="A1800" s="57" t="inlineStr">
        <is>
          <t>RobinsonCenter</t>
        </is>
      </c>
      <c r="B1800" s="57" t="n">
        <v>37</v>
      </c>
      <c r="C1800" s="57" t="inlineStr">
        <is>
          <t>Date of harvest</t>
        </is>
      </c>
      <c r="D1800" s="57" t="inlineStr"/>
      <c r="E1800" s="57" t="inlineStr">
        <is>
          <t>2026-08-12</t>
        </is>
      </c>
      <c r="F1800" s="57" t="inlineStr">
        <is>
          <t>date_forced:SG Robinson first-harvest assays all dated 2026-08-12</t>
        </is>
      </c>
    </row>
    <row r="1801" ht="25" customHeight="1" s="55">
      <c r="A1801" s="57" t="inlineStr">
        <is>
          <t>RobinsonCenter</t>
        </is>
      </c>
      <c r="B1801" s="57" t="n">
        <v>38</v>
      </c>
      <c r="C1801" s="57" t="inlineStr">
        <is>
          <t>Genotypes</t>
        </is>
      </c>
      <c r="D1801" s="57" t="inlineStr"/>
      <c r="E1801" s="57" t="inlineStr">
        <is>
          <t>26-23</t>
        </is>
      </c>
      <c r="F1801" s="57" t="inlineStr">
        <is>
          <t>moved_from_SN</t>
        </is>
      </c>
    </row>
    <row r="1802" ht="25" customHeight="1" s="55">
      <c r="A1802" s="57" t="inlineStr">
        <is>
          <t>RobinsonCenter</t>
        </is>
      </c>
      <c r="B1802" s="57" t="n">
        <v>38</v>
      </c>
      <c r="C1802" s="57" t="inlineStr">
        <is>
          <t>Genotypes</t>
        </is>
      </c>
      <c r="D1802" s="57" t="inlineStr">
        <is>
          <t>26-23</t>
        </is>
      </c>
      <c r="E1802" s="57" t="inlineStr">
        <is>
          <t>UKYT-26-023</t>
        </is>
      </c>
      <c r="F1802" s="57" t="inlineStr"/>
    </row>
    <row r="1803" ht="25" customHeight="1" s="55">
      <c r="A1803" s="57" t="inlineStr">
        <is>
          <t>RobinsonCenter</t>
        </is>
      </c>
      <c r="B1803" s="57" t="n">
        <v>38</v>
      </c>
      <c r="C1803" s="57" t="inlineStr">
        <is>
          <t>Location</t>
        </is>
      </c>
      <c r="D1803" s="57" t="inlineStr"/>
      <c r="E1803" s="57" t="inlineStr">
        <is>
          <t>Robinson</t>
        </is>
      </c>
      <c r="F1803" s="57" t="inlineStr">
        <is>
          <t>forced_from_sheet_name</t>
        </is>
      </c>
    </row>
    <row r="1804" ht="25" customHeight="1" s="55">
      <c r="A1804" s="57" t="inlineStr">
        <is>
          <t>RobinsonCenter</t>
        </is>
      </c>
      <c r="B1804" s="57" t="n">
        <v>38</v>
      </c>
      <c r="C1804" s="57" t="inlineStr">
        <is>
          <t>Harvest</t>
        </is>
      </c>
      <c r="D1804" s="57" t="inlineStr"/>
      <c r="E1804" s="57" t="inlineStr">
        <is>
          <t>First</t>
        </is>
      </c>
      <c r="F1804" s="57" t="inlineStr">
        <is>
          <t>forced_from_sheet_name</t>
        </is>
      </c>
    </row>
    <row r="1805" ht="25" customHeight="1" s="55">
      <c r="A1805" s="57" t="inlineStr">
        <is>
          <t>RobinsonCenter</t>
        </is>
      </c>
      <c r="B1805" s="57" t="n">
        <v>38</v>
      </c>
      <c r="C1805" s="57" t="inlineStr">
        <is>
          <t>Date of harvest</t>
        </is>
      </c>
      <c r="D1805" s="57" t="inlineStr"/>
      <c r="E1805" s="57" t="inlineStr">
        <is>
          <t>2026-08-12</t>
        </is>
      </c>
      <c r="F1805" s="57" t="inlineStr">
        <is>
          <t>date_forced:SG Robinson first-harvest assays all dated 2026-08-12</t>
        </is>
      </c>
    </row>
    <row r="1806" ht="25" customHeight="1" s="55">
      <c r="A1806" s="57" t="inlineStr">
        <is>
          <t>RobinsonCenter</t>
        </is>
      </c>
      <c r="B1806" s="57" t="n">
        <v>39</v>
      </c>
      <c r="C1806" s="57" t="inlineStr">
        <is>
          <t>Genotypes</t>
        </is>
      </c>
      <c r="D1806" s="57" t="inlineStr"/>
      <c r="E1806" s="57" t="inlineStr">
        <is>
          <t>26-33</t>
        </is>
      </c>
      <c r="F1806" s="57" t="inlineStr">
        <is>
          <t>moved_from_SN</t>
        </is>
      </c>
    </row>
    <row r="1807" ht="25" customHeight="1" s="55">
      <c r="A1807" s="57" t="inlineStr">
        <is>
          <t>RobinsonCenter</t>
        </is>
      </c>
      <c r="B1807" s="57" t="n">
        <v>39</v>
      </c>
      <c r="C1807" s="57" t="inlineStr">
        <is>
          <t>Genotypes</t>
        </is>
      </c>
      <c r="D1807" s="57" t="inlineStr">
        <is>
          <t>26-33</t>
        </is>
      </c>
      <c r="E1807" s="57" t="inlineStr">
        <is>
          <t>UKYT-26-033</t>
        </is>
      </c>
      <c r="F1807" s="57" t="inlineStr"/>
    </row>
    <row r="1808" ht="25" customHeight="1" s="55">
      <c r="A1808" s="57" t="inlineStr">
        <is>
          <t>RobinsonCenter</t>
        </is>
      </c>
      <c r="B1808" s="57" t="n">
        <v>39</v>
      </c>
      <c r="C1808" s="57" t="inlineStr">
        <is>
          <t>Location</t>
        </is>
      </c>
      <c r="D1808" s="57" t="inlineStr"/>
      <c r="E1808" s="57" t="inlineStr">
        <is>
          <t>Robinson</t>
        </is>
      </c>
      <c r="F1808" s="57" t="inlineStr">
        <is>
          <t>forced_from_sheet_name</t>
        </is>
      </c>
    </row>
    <row r="1809" ht="25" customHeight="1" s="55">
      <c r="A1809" s="57" t="inlineStr">
        <is>
          <t>RobinsonCenter</t>
        </is>
      </c>
      <c r="B1809" s="57" t="n">
        <v>39</v>
      </c>
      <c r="C1809" s="57" t="inlineStr">
        <is>
          <t>Harvest</t>
        </is>
      </c>
      <c r="D1809" s="57" t="inlineStr"/>
      <c r="E1809" s="57" t="inlineStr">
        <is>
          <t>First</t>
        </is>
      </c>
      <c r="F1809" s="57" t="inlineStr">
        <is>
          <t>forced_from_sheet_name</t>
        </is>
      </c>
    </row>
    <row r="1810" ht="25" customHeight="1" s="55">
      <c r="A1810" s="57" t="inlineStr">
        <is>
          <t>RobinsonCenter</t>
        </is>
      </c>
      <c r="B1810" s="57" t="n">
        <v>39</v>
      </c>
      <c r="C1810" s="57" t="inlineStr">
        <is>
          <t>Date of harvest</t>
        </is>
      </c>
      <c r="D1810" s="57" t="inlineStr"/>
      <c r="E1810" s="57" t="inlineStr">
        <is>
          <t>2026-08-12</t>
        </is>
      </c>
      <c r="F1810" s="57" t="inlineStr">
        <is>
          <t>date_forced:SG Robinson first-harvest assays all dated 2026-08-12</t>
        </is>
      </c>
    </row>
    <row r="1811" ht="25" customHeight="1" s="55">
      <c r="A1811" s="57" t="inlineStr">
        <is>
          <t>RobinsonCenter</t>
        </is>
      </c>
      <c r="B1811" s="57" t="n">
        <v>40</v>
      </c>
      <c r="C1811" s="57" t="inlineStr">
        <is>
          <t>Genotypes</t>
        </is>
      </c>
      <c r="D1811" s="57" t="inlineStr"/>
      <c r="E1811" s="57" t="inlineStr">
        <is>
          <t>26-34</t>
        </is>
      </c>
      <c r="F1811" s="57" t="inlineStr">
        <is>
          <t>moved_from_SN</t>
        </is>
      </c>
    </row>
    <row r="1812" ht="25" customHeight="1" s="55">
      <c r="A1812" s="57" t="inlineStr">
        <is>
          <t>RobinsonCenter</t>
        </is>
      </c>
      <c r="B1812" s="57" t="n">
        <v>40</v>
      </c>
      <c r="C1812" s="57" t="inlineStr">
        <is>
          <t>Genotypes</t>
        </is>
      </c>
      <c r="D1812" s="57" t="inlineStr">
        <is>
          <t>26-34</t>
        </is>
      </c>
      <c r="E1812" s="57" t="inlineStr">
        <is>
          <t>UKYT-26-034</t>
        </is>
      </c>
      <c r="F1812" s="57" t="inlineStr"/>
    </row>
    <row r="1813" ht="25" customHeight="1" s="55">
      <c r="A1813" s="57" t="inlineStr">
        <is>
          <t>RobinsonCenter</t>
        </is>
      </c>
      <c r="B1813" s="57" t="n">
        <v>40</v>
      </c>
      <c r="C1813" s="57" t="inlineStr">
        <is>
          <t>Location</t>
        </is>
      </c>
      <c r="D1813" s="57" t="inlineStr"/>
      <c r="E1813" s="57" t="inlineStr">
        <is>
          <t>Robinson</t>
        </is>
      </c>
      <c r="F1813" s="57" t="inlineStr">
        <is>
          <t>forced_from_sheet_name</t>
        </is>
      </c>
    </row>
    <row r="1814" ht="25" customHeight="1" s="55">
      <c r="A1814" s="57" t="inlineStr">
        <is>
          <t>RobinsonCenter</t>
        </is>
      </c>
      <c r="B1814" s="57" t="n">
        <v>40</v>
      </c>
      <c r="C1814" s="57" t="inlineStr">
        <is>
          <t>Harvest</t>
        </is>
      </c>
      <c r="D1814" s="57" t="inlineStr"/>
      <c r="E1814" s="57" t="inlineStr">
        <is>
          <t>First</t>
        </is>
      </c>
      <c r="F1814" s="57" t="inlineStr">
        <is>
          <t>forced_from_sheet_name</t>
        </is>
      </c>
    </row>
    <row r="1815" ht="25" customHeight="1" s="55">
      <c r="A1815" s="57" t="inlineStr">
        <is>
          <t>RobinsonCenter</t>
        </is>
      </c>
      <c r="B1815" s="57" t="n">
        <v>40</v>
      </c>
      <c r="C1815" s="57" t="inlineStr">
        <is>
          <t>Date of harvest</t>
        </is>
      </c>
      <c r="D1815" s="57" t="inlineStr"/>
      <c r="E1815" s="57" t="inlineStr">
        <is>
          <t>2026-08-12</t>
        </is>
      </c>
      <c r="F1815" s="57" t="inlineStr">
        <is>
          <t>date_forced:SG Robinson first-harvest assays all dated 2026-08-12</t>
        </is>
      </c>
    </row>
    <row r="1816" ht="25" customHeight="1" s="55">
      <c r="A1816" s="57" t="inlineStr">
        <is>
          <t>RobinsonCenter</t>
        </is>
      </c>
      <c r="B1816" s="57" t="n">
        <v>41</v>
      </c>
      <c r="C1816" s="57" t="inlineStr">
        <is>
          <t>Genotypes</t>
        </is>
      </c>
      <c r="D1816" s="57" t="inlineStr"/>
      <c r="E1816" s="57" t="inlineStr">
        <is>
          <t>26-13</t>
        </is>
      </c>
      <c r="F1816" s="57" t="inlineStr">
        <is>
          <t>moved_from_SN</t>
        </is>
      </c>
    </row>
    <row r="1817" ht="25" customHeight="1" s="55">
      <c r="A1817" s="57" t="inlineStr">
        <is>
          <t>RobinsonCenter</t>
        </is>
      </c>
      <c r="B1817" s="57" t="n">
        <v>41</v>
      </c>
      <c r="C1817" s="57" t="inlineStr">
        <is>
          <t>Genotypes</t>
        </is>
      </c>
      <c r="D1817" s="57" t="inlineStr">
        <is>
          <t>26-13</t>
        </is>
      </c>
      <c r="E1817" s="57" t="inlineStr">
        <is>
          <t>UKYT-26-013</t>
        </is>
      </c>
      <c r="F1817" s="57" t="inlineStr"/>
    </row>
    <row r="1818" ht="25" customHeight="1" s="55">
      <c r="A1818" s="57" t="inlineStr">
        <is>
          <t>RobinsonCenter</t>
        </is>
      </c>
      <c r="B1818" s="57" t="n">
        <v>41</v>
      </c>
      <c r="C1818" s="57" t="inlineStr">
        <is>
          <t>Location</t>
        </is>
      </c>
      <c r="D1818" s="57" t="inlineStr"/>
      <c r="E1818" s="57" t="inlineStr">
        <is>
          <t>Robinson</t>
        </is>
      </c>
      <c r="F1818" s="57" t="inlineStr">
        <is>
          <t>forced_from_sheet_name</t>
        </is>
      </c>
    </row>
    <row r="1819" ht="25" customHeight="1" s="55">
      <c r="A1819" s="57" t="inlineStr">
        <is>
          <t>RobinsonCenter</t>
        </is>
      </c>
      <c r="B1819" s="57" t="n">
        <v>41</v>
      </c>
      <c r="C1819" s="57" t="inlineStr">
        <is>
          <t>Harvest</t>
        </is>
      </c>
      <c r="D1819" s="57" t="inlineStr"/>
      <c r="E1819" s="57" t="inlineStr">
        <is>
          <t>First</t>
        </is>
      </c>
      <c r="F1819" s="57" t="inlineStr">
        <is>
          <t>forced_from_sheet_name</t>
        </is>
      </c>
    </row>
    <row r="1820" ht="25" customHeight="1" s="55">
      <c r="A1820" s="57" t="inlineStr">
        <is>
          <t>RobinsonCenter</t>
        </is>
      </c>
      <c r="B1820" s="57" t="n">
        <v>41</v>
      </c>
      <c r="C1820" s="57" t="inlineStr">
        <is>
          <t>Date of harvest</t>
        </is>
      </c>
      <c r="D1820" s="57" t="inlineStr"/>
      <c r="E1820" s="57" t="inlineStr">
        <is>
          <t>2026-08-12</t>
        </is>
      </c>
      <c r="F1820" s="57" t="inlineStr">
        <is>
          <t>date_forced:SG Robinson first-harvest assays all dated 2026-08-12</t>
        </is>
      </c>
    </row>
    <row r="1821" ht="25" customHeight="1" s="55">
      <c r="A1821" s="57" t="inlineStr">
        <is>
          <t>RobinsonCenter</t>
        </is>
      </c>
      <c r="B1821" s="57" t="n">
        <v>42</v>
      </c>
      <c r="C1821" s="57" t="inlineStr">
        <is>
          <t>Genotypes</t>
        </is>
      </c>
      <c r="D1821" s="57" t="inlineStr"/>
      <c r="E1821" s="57" t="inlineStr">
        <is>
          <t>26-29</t>
        </is>
      </c>
      <c r="F1821" s="57" t="inlineStr">
        <is>
          <t>moved_from_SN</t>
        </is>
      </c>
    </row>
    <row r="1822" ht="25" customHeight="1" s="55">
      <c r="A1822" s="57" t="inlineStr">
        <is>
          <t>RobinsonCenter</t>
        </is>
      </c>
      <c r="B1822" s="57" t="n">
        <v>42</v>
      </c>
      <c r="C1822" s="57" t="inlineStr">
        <is>
          <t>Genotypes</t>
        </is>
      </c>
      <c r="D1822" s="57" t="inlineStr">
        <is>
          <t>26-29</t>
        </is>
      </c>
      <c r="E1822" s="57" t="inlineStr">
        <is>
          <t>UKYT-26-029</t>
        </is>
      </c>
      <c r="F1822" s="57" t="inlineStr"/>
    </row>
    <row r="1823" ht="25" customHeight="1" s="55">
      <c r="A1823" s="57" t="inlineStr">
        <is>
          <t>RobinsonCenter</t>
        </is>
      </c>
      <c r="B1823" s="57" t="n">
        <v>42</v>
      </c>
      <c r="C1823" s="57" t="inlineStr">
        <is>
          <t>Location</t>
        </is>
      </c>
      <c r="D1823" s="57" t="inlineStr"/>
      <c r="E1823" s="57" t="inlineStr">
        <is>
          <t>Robinson</t>
        </is>
      </c>
      <c r="F1823" s="57" t="inlineStr">
        <is>
          <t>forced_from_sheet_name</t>
        </is>
      </c>
    </row>
    <row r="1824" ht="25" customHeight="1" s="55">
      <c r="A1824" s="57" t="inlineStr">
        <is>
          <t>RobinsonCenter</t>
        </is>
      </c>
      <c r="B1824" s="57" t="n">
        <v>42</v>
      </c>
      <c r="C1824" s="57" t="inlineStr">
        <is>
          <t>Harvest</t>
        </is>
      </c>
      <c r="D1824" s="57" t="inlineStr"/>
      <c r="E1824" s="57" t="inlineStr">
        <is>
          <t>First</t>
        </is>
      </c>
      <c r="F1824" s="57" t="inlineStr">
        <is>
          <t>forced_from_sheet_name</t>
        </is>
      </c>
    </row>
    <row r="1825" ht="25" customHeight="1" s="55">
      <c r="A1825" s="57" t="inlineStr">
        <is>
          <t>RobinsonCenter</t>
        </is>
      </c>
      <c r="B1825" s="57" t="n">
        <v>42</v>
      </c>
      <c r="C1825" s="57" t="inlineStr">
        <is>
          <t>Date of harvest</t>
        </is>
      </c>
      <c r="D1825" s="57" t="inlineStr"/>
      <c r="E1825" s="57" t="inlineStr">
        <is>
          <t>2026-08-12</t>
        </is>
      </c>
      <c r="F1825" s="57" t="inlineStr">
        <is>
          <t>date_forced:SG Robinson first-harvest assays all dated 2026-08-12</t>
        </is>
      </c>
    </row>
    <row r="1826" ht="25" customHeight="1" s="55">
      <c r="A1826" s="57" t="inlineStr">
        <is>
          <t>RobinsonCenter</t>
        </is>
      </c>
      <c r="B1826" s="57" t="n">
        <v>43</v>
      </c>
      <c r="C1826" s="57" t="inlineStr">
        <is>
          <t>Genotypes</t>
        </is>
      </c>
      <c r="D1826" s="57" t="inlineStr"/>
      <c r="E1826" s="57" t="inlineStr">
        <is>
          <t>26-15</t>
        </is>
      </c>
      <c r="F1826" s="57" t="inlineStr">
        <is>
          <t>moved_from_SN</t>
        </is>
      </c>
    </row>
    <row r="1827" ht="25" customHeight="1" s="55">
      <c r="A1827" s="57" t="inlineStr">
        <is>
          <t>RobinsonCenter</t>
        </is>
      </c>
      <c r="B1827" s="57" t="n">
        <v>43</v>
      </c>
      <c r="C1827" s="57" t="inlineStr">
        <is>
          <t>Genotypes</t>
        </is>
      </c>
      <c r="D1827" s="57" t="inlineStr">
        <is>
          <t>26-15</t>
        </is>
      </c>
      <c r="E1827" s="57" t="inlineStr">
        <is>
          <t>UKYT-26-015</t>
        </is>
      </c>
      <c r="F1827" s="57" t="inlineStr"/>
    </row>
    <row r="1828" ht="25" customHeight="1" s="55">
      <c r="A1828" s="57" t="inlineStr">
        <is>
          <t>RobinsonCenter</t>
        </is>
      </c>
      <c r="B1828" s="57" t="n">
        <v>43</v>
      </c>
      <c r="C1828" s="57" t="inlineStr">
        <is>
          <t>Location</t>
        </is>
      </c>
      <c r="D1828" s="57" t="inlineStr"/>
      <c r="E1828" s="57" t="inlineStr">
        <is>
          <t>Robinson</t>
        </is>
      </c>
      <c r="F1828" s="57" t="inlineStr">
        <is>
          <t>forced_from_sheet_name</t>
        </is>
      </c>
    </row>
    <row r="1829" ht="25" customHeight="1" s="55">
      <c r="A1829" s="57" t="inlineStr">
        <is>
          <t>RobinsonCenter</t>
        </is>
      </c>
      <c r="B1829" s="57" t="n">
        <v>43</v>
      </c>
      <c r="C1829" s="57" t="inlineStr">
        <is>
          <t>Harvest</t>
        </is>
      </c>
      <c r="D1829" s="57" t="inlineStr"/>
      <c r="E1829" s="57" t="inlineStr">
        <is>
          <t>First</t>
        </is>
      </c>
      <c r="F1829" s="57" t="inlineStr">
        <is>
          <t>forced_from_sheet_name</t>
        </is>
      </c>
    </row>
    <row r="1830" ht="25" customHeight="1" s="55">
      <c r="A1830" s="57" t="inlineStr">
        <is>
          <t>RobinsonCenter</t>
        </is>
      </c>
      <c r="B1830" s="57" t="n">
        <v>43</v>
      </c>
      <c r="C1830" s="57" t="inlineStr">
        <is>
          <t>Date of harvest</t>
        </is>
      </c>
      <c r="D1830" s="57" t="inlineStr"/>
      <c r="E1830" s="57" t="inlineStr">
        <is>
          <t>2026-08-12</t>
        </is>
      </c>
      <c r="F1830" s="57" t="inlineStr">
        <is>
          <t>date_forced:SG Robinson first-harvest assays all dated 2026-08-12</t>
        </is>
      </c>
    </row>
    <row r="1831" ht="25" customHeight="1" s="55">
      <c r="A1831" s="57" t="inlineStr">
        <is>
          <t>RobinsonCenter</t>
        </is>
      </c>
      <c r="B1831" s="57" t="n">
        <v>44</v>
      </c>
      <c r="C1831" s="57" t="inlineStr">
        <is>
          <t>Genotypes</t>
        </is>
      </c>
      <c r="D1831" s="57" t="inlineStr"/>
      <c r="E1831" s="57" t="inlineStr">
        <is>
          <t>26-006</t>
        </is>
      </c>
      <c r="F1831" s="57" t="inlineStr">
        <is>
          <t>moved_from_SN</t>
        </is>
      </c>
    </row>
    <row r="1832" ht="25" customHeight="1" s="55">
      <c r="A1832" s="57" t="inlineStr">
        <is>
          <t>RobinsonCenter</t>
        </is>
      </c>
      <c r="B1832" s="57" t="n">
        <v>44</v>
      </c>
      <c r="C1832" s="57" t="inlineStr">
        <is>
          <t>Genotypes</t>
        </is>
      </c>
      <c r="D1832" s="57" t="inlineStr">
        <is>
          <t>26-006</t>
        </is>
      </c>
      <c r="E1832" s="57" t="inlineStr">
        <is>
          <t>UKYT-26-006</t>
        </is>
      </c>
      <c r="F1832" s="57" t="inlineStr"/>
    </row>
    <row r="1833" ht="25" customHeight="1" s="55">
      <c r="A1833" s="57" t="inlineStr">
        <is>
          <t>RobinsonCenter</t>
        </is>
      </c>
      <c r="B1833" s="57" t="n">
        <v>44</v>
      </c>
      <c r="C1833" s="57" t="inlineStr">
        <is>
          <t>Location</t>
        </is>
      </c>
      <c r="D1833" s="57" t="inlineStr"/>
      <c r="E1833" s="57" t="inlineStr">
        <is>
          <t>Robinson</t>
        </is>
      </c>
      <c r="F1833" s="57" t="inlineStr">
        <is>
          <t>forced_from_sheet_name</t>
        </is>
      </c>
    </row>
    <row r="1834" ht="25" customHeight="1" s="55">
      <c r="A1834" s="57" t="inlineStr">
        <is>
          <t>RobinsonCenter</t>
        </is>
      </c>
      <c r="B1834" s="57" t="n">
        <v>44</v>
      </c>
      <c r="C1834" s="57" t="inlineStr">
        <is>
          <t>Harvest</t>
        </is>
      </c>
      <c r="D1834" s="57" t="inlineStr"/>
      <c r="E1834" s="57" t="inlineStr">
        <is>
          <t>First</t>
        </is>
      </c>
      <c r="F1834" s="57" t="inlineStr">
        <is>
          <t>forced_from_sheet_name</t>
        </is>
      </c>
    </row>
    <row r="1835" ht="25" customHeight="1" s="55">
      <c r="A1835" s="57" t="inlineStr">
        <is>
          <t>RobinsonCenter</t>
        </is>
      </c>
      <c r="B1835" s="57" t="n">
        <v>44</v>
      </c>
      <c r="C1835" s="57" t="inlineStr">
        <is>
          <t>Date of harvest</t>
        </is>
      </c>
      <c r="D1835" s="57" t="inlineStr"/>
      <c r="E1835" s="57" t="inlineStr">
        <is>
          <t>2026-08-12</t>
        </is>
      </c>
      <c r="F1835" s="57" t="inlineStr">
        <is>
          <t>date_forced:SG Robinson first-harvest assays all dated 2026-08-12</t>
        </is>
      </c>
    </row>
    <row r="1836" ht="25" customHeight="1" s="55">
      <c r="A1836" s="57" t="inlineStr">
        <is>
          <t>RobinsonCenter</t>
        </is>
      </c>
      <c r="B1836" s="57" t="n">
        <v>45</v>
      </c>
      <c r="C1836" s="57" t="inlineStr">
        <is>
          <t>Genotypes</t>
        </is>
      </c>
      <c r="D1836" s="57" t="inlineStr"/>
      <c r="E1836" s="57" t="inlineStr">
        <is>
          <t>26-25</t>
        </is>
      </c>
      <c r="F1836" s="57" t="inlineStr">
        <is>
          <t>moved_from_SN</t>
        </is>
      </c>
    </row>
    <row r="1837" ht="25" customHeight="1" s="55">
      <c r="A1837" s="57" t="inlineStr">
        <is>
          <t>RobinsonCenter</t>
        </is>
      </c>
      <c r="B1837" s="57" t="n">
        <v>45</v>
      </c>
      <c r="C1837" s="57" t="inlineStr">
        <is>
          <t>Genotypes</t>
        </is>
      </c>
      <c r="D1837" s="57" t="inlineStr">
        <is>
          <t>26-25</t>
        </is>
      </c>
      <c r="E1837" s="57" t="inlineStr">
        <is>
          <t>UKYT-26-025</t>
        </is>
      </c>
      <c r="F1837" s="57" t="inlineStr"/>
    </row>
    <row r="1838" ht="25" customHeight="1" s="55">
      <c r="A1838" s="57" t="inlineStr">
        <is>
          <t>RobinsonCenter</t>
        </is>
      </c>
      <c r="B1838" s="57" t="n">
        <v>45</v>
      </c>
      <c r="C1838" s="57" t="inlineStr">
        <is>
          <t>Location</t>
        </is>
      </c>
      <c r="D1838" s="57" t="inlineStr"/>
      <c r="E1838" s="57" t="inlineStr">
        <is>
          <t>Robinson</t>
        </is>
      </c>
      <c r="F1838" s="57" t="inlineStr">
        <is>
          <t>forced_from_sheet_name</t>
        </is>
      </c>
    </row>
    <row r="1839" ht="25" customHeight="1" s="55">
      <c r="A1839" s="57" t="inlineStr">
        <is>
          <t>RobinsonCenter</t>
        </is>
      </c>
      <c r="B1839" s="57" t="n">
        <v>45</v>
      </c>
      <c r="C1839" s="57" t="inlineStr">
        <is>
          <t>Harvest</t>
        </is>
      </c>
      <c r="D1839" s="57" t="inlineStr"/>
      <c r="E1839" s="57" t="inlineStr">
        <is>
          <t>First</t>
        </is>
      </c>
      <c r="F1839" s="57" t="inlineStr">
        <is>
          <t>forced_from_sheet_name</t>
        </is>
      </c>
    </row>
    <row r="1840" ht="25" customHeight="1" s="55">
      <c r="A1840" s="57" t="inlineStr">
        <is>
          <t>RobinsonCenter</t>
        </is>
      </c>
      <c r="B1840" s="57" t="n">
        <v>45</v>
      </c>
      <c r="C1840" s="57" t="inlineStr">
        <is>
          <t>Date of harvest</t>
        </is>
      </c>
      <c r="D1840" s="57" t="inlineStr"/>
      <c r="E1840" s="57" t="inlineStr">
        <is>
          <t>2026-08-12</t>
        </is>
      </c>
      <c r="F1840" s="57" t="inlineStr">
        <is>
          <t>date_forced:SG Robinson first-harvest assays all dated 2026-08-12</t>
        </is>
      </c>
    </row>
    <row r="1841" ht="25" customHeight="1" s="55">
      <c r="A1841" s="57" t="inlineStr">
        <is>
          <t>RobinsonCenter</t>
        </is>
      </c>
      <c r="B1841" s="57" t="n">
        <v>46</v>
      </c>
      <c r="C1841" s="57" t="inlineStr">
        <is>
          <t>Genotypes</t>
        </is>
      </c>
      <c r="D1841" s="57" t="inlineStr"/>
      <c r="E1841" s="57" t="inlineStr">
        <is>
          <t>26-32</t>
        </is>
      </c>
      <c r="F1841" s="57" t="inlineStr">
        <is>
          <t>moved_from_SN</t>
        </is>
      </c>
    </row>
    <row r="1842" ht="25" customHeight="1" s="55">
      <c r="A1842" s="57" t="inlineStr">
        <is>
          <t>RobinsonCenter</t>
        </is>
      </c>
      <c r="B1842" s="57" t="n">
        <v>46</v>
      </c>
      <c r="C1842" s="57" t="inlineStr">
        <is>
          <t>Genotypes</t>
        </is>
      </c>
      <c r="D1842" s="57" t="inlineStr">
        <is>
          <t>26-32</t>
        </is>
      </c>
      <c r="E1842" s="57" t="inlineStr">
        <is>
          <t>UKYT-26-032</t>
        </is>
      </c>
      <c r="F1842" s="57" t="inlineStr"/>
    </row>
    <row r="1843" ht="25" customHeight="1" s="55">
      <c r="A1843" s="57" t="inlineStr">
        <is>
          <t>RobinsonCenter</t>
        </is>
      </c>
      <c r="B1843" s="57" t="n">
        <v>46</v>
      </c>
      <c r="C1843" s="57" t="inlineStr">
        <is>
          <t>Location</t>
        </is>
      </c>
      <c r="D1843" s="57" t="inlineStr"/>
      <c r="E1843" s="57" t="inlineStr">
        <is>
          <t>Robinson</t>
        </is>
      </c>
      <c r="F1843" s="57" t="inlineStr">
        <is>
          <t>forced_from_sheet_name</t>
        </is>
      </c>
    </row>
    <row r="1844" ht="25" customHeight="1" s="55">
      <c r="A1844" s="57" t="inlineStr">
        <is>
          <t>RobinsonCenter</t>
        </is>
      </c>
      <c r="B1844" s="57" t="n">
        <v>46</v>
      </c>
      <c r="C1844" s="57" t="inlineStr">
        <is>
          <t>Harvest</t>
        </is>
      </c>
      <c r="D1844" s="57" t="inlineStr"/>
      <c r="E1844" s="57" t="inlineStr">
        <is>
          <t>First</t>
        </is>
      </c>
      <c r="F1844" s="57" t="inlineStr">
        <is>
          <t>forced_from_sheet_name</t>
        </is>
      </c>
    </row>
    <row r="1845" ht="25" customHeight="1" s="55">
      <c r="A1845" s="57" t="inlineStr">
        <is>
          <t>RobinsonCenter</t>
        </is>
      </c>
      <c r="B1845" s="57" t="n">
        <v>46</v>
      </c>
      <c r="C1845" s="57" t="inlineStr">
        <is>
          <t>Date of harvest</t>
        </is>
      </c>
      <c r="D1845" s="57" t="inlineStr"/>
      <c r="E1845" s="57" t="inlineStr">
        <is>
          <t>2026-08-12</t>
        </is>
      </c>
      <c r="F1845" s="57" t="inlineStr">
        <is>
          <t>date_forced:SG Robinson first-harvest assays all dated 2026-08-12</t>
        </is>
      </c>
    </row>
    <row r="1846" ht="25" customHeight="1" s="55">
      <c r="A1846" s="57" t="inlineStr">
        <is>
          <t>RobinsonCenter</t>
        </is>
      </c>
      <c r="B1846" s="57" t="n">
        <v>47</v>
      </c>
      <c r="C1846" s="57" t="inlineStr">
        <is>
          <t>Genotypes</t>
        </is>
      </c>
      <c r="D1846" s="57" t="inlineStr"/>
      <c r="E1846" s="57" t="inlineStr">
        <is>
          <t>26-19</t>
        </is>
      </c>
      <c r="F1846" s="57" t="inlineStr">
        <is>
          <t>moved_from_SN</t>
        </is>
      </c>
    </row>
    <row r="1847" ht="25" customHeight="1" s="55">
      <c r="A1847" s="57" t="inlineStr">
        <is>
          <t>RobinsonCenter</t>
        </is>
      </c>
      <c r="B1847" s="57" t="n">
        <v>47</v>
      </c>
      <c r="C1847" s="57" t="inlineStr">
        <is>
          <t>Genotypes</t>
        </is>
      </c>
      <c r="D1847" s="57" t="inlineStr">
        <is>
          <t>26-19</t>
        </is>
      </c>
      <c r="E1847" s="57" t="inlineStr">
        <is>
          <t>UKYT-26-019</t>
        </is>
      </c>
      <c r="F1847" s="57" t="inlineStr"/>
    </row>
    <row r="1848" ht="25" customHeight="1" s="55">
      <c r="A1848" s="57" t="inlineStr">
        <is>
          <t>RobinsonCenter</t>
        </is>
      </c>
      <c r="B1848" s="57" t="n">
        <v>47</v>
      </c>
      <c r="C1848" s="57" t="inlineStr">
        <is>
          <t>Location</t>
        </is>
      </c>
      <c r="D1848" s="57" t="inlineStr"/>
      <c r="E1848" s="57" t="inlineStr">
        <is>
          <t>Robinson</t>
        </is>
      </c>
      <c r="F1848" s="57" t="inlineStr">
        <is>
          <t>forced_from_sheet_name</t>
        </is>
      </c>
    </row>
    <row r="1849" ht="25" customHeight="1" s="55">
      <c r="A1849" s="57" t="inlineStr">
        <is>
          <t>RobinsonCenter</t>
        </is>
      </c>
      <c r="B1849" s="57" t="n">
        <v>47</v>
      </c>
      <c r="C1849" s="57" t="inlineStr">
        <is>
          <t>Harvest</t>
        </is>
      </c>
      <c r="D1849" s="57" t="inlineStr"/>
      <c r="E1849" s="57" t="inlineStr">
        <is>
          <t>First</t>
        </is>
      </c>
      <c r="F1849" s="57" t="inlineStr">
        <is>
          <t>forced_from_sheet_name</t>
        </is>
      </c>
    </row>
    <row r="1850" ht="25" customHeight="1" s="55">
      <c r="A1850" s="57" t="inlineStr">
        <is>
          <t>RobinsonCenter</t>
        </is>
      </c>
      <c r="B1850" s="57" t="n">
        <v>47</v>
      </c>
      <c r="C1850" s="57" t="inlineStr">
        <is>
          <t>Date of harvest</t>
        </is>
      </c>
      <c r="D1850" s="57" t="inlineStr"/>
      <c r="E1850" s="57" t="inlineStr">
        <is>
          <t>2026-08-12</t>
        </is>
      </c>
      <c r="F1850" s="57" t="inlineStr">
        <is>
          <t>date_forced:SG Robinson first-harvest assays all dated 2026-08-12</t>
        </is>
      </c>
    </row>
    <row r="1851" ht="25" customHeight="1" s="55">
      <c r="A1851" s="57" t="inlineStr">
        <is>
          <t>RobinsonCenter</t>
        </is>
      </c>
      <c r="B1851" s="57" t="n">
        <v>48</v>
      </c>
      <c r="C1851" s="57" t="inlineStr">
        <is>
          <t>Genotypes</t>
        </is>
      </c>
      <c r="D1851" s="57" t="inlineStr"/>
      <c r="E1851" s="57" t="inlineStr">
        <is>
          <t>26-27</t>
        </is>
      </c>
      <c r="F1851" s="57" t="inlineStr">
        <is>
          <t>moved_from_SN</t>
        </is>
      </c>
    </row>
    <row r="1852" ht="25" customHeight="1" s="55">
      <c r="A1852" s="57" t="inlineStr">
        <is>
          <t>RobinsonCenter</t>
        </is>
      </c>
      <c r="B1852" s="57" t="n">
        <v>48</v>
      </c>
      <c r="C1852" s="57" t="inlineStr">
        <is>
          <t>Genotypes</t>
        </is>
      </c>
      <c r="D1852" s="57" t="inlineStr">
        <is>
          <t>26-27</t>
        </is>
      </c>
      <c r="E1852" s="57" t="inlineStr">
        <is>
          <t>UKYT-26-027</t>
        </is>
      </c>
      <c r="F1852" s="57" t="inlineStr"/>
    </row>
    <row r="1853" ht="25" customHeight="1" s="55">
      <c r="A1853" s="57" t="inlineStr">
        <is>
          <t>RobinsonCenter</t>
        </is>
      </c>
      <c r="B1853" s="57" t="n">
        <v>48</v>
      </c>
      <c r="C1853" s="57" t="inlineStr">
        <is>
          <t>Location</t>
        </is>
      </c>
      <c r="D1853" s="57" t="inlineStr"/>
      <c r="E1853" s="57" t="inlineStr">
        <is>
          <t>Robinson</t>
        </is>
      </c>
      <c r="F1853" s="57" t="inlineStr">
        <is>
          <t>forced_from_sheet_name</t>
        </is>
      </c>
    </row>
    <row r="1854" ht="25" customHeight="1" s="55">
      <c r="A1854" s="57" t="inlineStr">
        <is>
          <t>RobinsonCenter</t>
        </is>
      </c>
      <c r="B1854" s="57" t="n">
        <v>48</v>
      </c>
      <c r="C1854" s="57" t="inlineStr">
        <is>
          <t>Harvest</t>
        </is>
      </c>
      <c r="D1854" s="57" t="inlineStr"/>
      <c r="E1854" s="57" t="inlineStr">
        <is>
          <t>First</t>
        </is>
      </c>
      <c r="F1854" s="57" t="inlineStr">
        <is>
          <t>forced_from_sheet_name</t>
        </is>
      </c>
    </row>
    <row r="1855" ht="25" customHeight="1" s="55">
      <c r="A1855" s="57" t="inlineStr">
        <is>
          <t>RobinsonCenter</t>
        </is>
      </c>
      <c r="B1855" s="57" t="n">
        <v>48</v>
      </c>
      <c r="C1855" s="57" t="inlineStr">
        <is>
          <t>Date of harvest</t>
        </is>
      </c>
      <c r="D1855" s="57" t="inlineStr"/>
      <c r="E1855" s="57" t="inlineStr">
        <is>
          <t>2026-08-12</t>
        </is>
      </c>
      <c r="F1855" s="57" t="inlineStr">
        <is>
          <t>date_forced:SG Robinson first-harvest assays all dated 2026-08-12</t>
        </is>
      </c>
    </row>
    <row r="1856" ht="25" customHeight="1" s="55">
      <c r="A1856" s="57" t="inlineStr">
        <is>
          <t>RobinsonCenter</t>
        </is>
      </c>
      <c r="B1856" s="57" t="n">
        <v>49</v>
      </c>
      <c r="C1856" s="57" t="inlineStr">
        <is>
          <t>Genotypes</t>
        </is>
      </c>
      <c r="D1856" s="57" t="inlineStr"/>
      <c r="E1856" s="57" t="inlineStr">
        <is>
          <t>26-28</t>
        </is>
      </c>
      <c r="F1856" s="57" t="inlineStr">
        <is>
          <t>moved_from_SN</t>
        </is>
      </c>
    </row>
    <row r="1857" ht="25" customHeight="1" s="55">
      <c r="A1857" s="57" t="inlineStr">
        <is>
          <t>RobinsonCenter</t>
        </is>
      </c>
      <c r="B1857" s="57" t="n">
        <v>49</v>
      </c>
      <c r="C1857" s="57" t="inlineStr">
        <is>
          <t>Genotypes</t>
        </is>
      </c>
      <c r="D1857" s="57" t="inlineStr">
        <is>
          <t>26-28</t>
        </is>
      </c>
      <c r="E1857" s="57" t="inlineStr">
        <is>
          <t>UKYT-26-028</t>
        </is>
      </c>
      <c r="F1857" s="57" t="inlineStr"/>
    </row>
    <row r="1858" ht="25" customHeight="1" s="55">
      <c r="A1858" s="57" t="inlineStr">
        <is>
          <t>RobinsonCenter</t>
        </is>
      </c>
      <c r="B1858" s="57" t="n">
        <v>49</v>
      </c>
      <c r="C1858" s="57" t="inlineStr">
        <is>
          <t>Location</t>
        </is>
      </c>
      <c r="D1858" s="57" t="inlineStr"/>
      <c r="E1858" s="57" t="inlineStr">
        <is>
          <t>Robinson</t>
        </is>
      </c>
      <c r="F1858" s="57" t="inlineStr">
        <is>
          <t>forced_from_sheet_name</t>
        </is>
      </c>
    </row>
    <row r="1859" ht="25" customHeight="1" s="55">
      <c r="A1859" s="57" t="inlineStr">
        <is>
          <t>RobinsonCenter</t>
        </is>
      </c>
      <c r="B1859" s="57" t="n">
        <v>49</v>
      </c>
      <c r="C1859" s="57" t="inlineStr">
        <is>
          <t>Harvest</t>
        </is>
      </c>
      <c r="D1859" s="57" t="inlineStr"/>
      <c r="E1859" s="57" t="inlineStr">
        <is>
          <t>First</t>
        </is>
      </c>
      <c r="F1859" s="57" t="inlineStr">
        <is>
          <t>forced_from_sheet_name</t>
        </is>
      </c>
    </row>
    <row r="1860" ht="25" customHeight="1" s="55">
      <c r="A1860" s="57" t="inlineStr">
        <is>
          <t>RobinsonCenter</t>
        </is>
      </c>
      <c r="B1860" s="57" t="n">
        <v>49</v>
      </c>
      <c r="C1860" s="57" t="inlineStr">
        <is>
          <t>Date of harvest</t>
        </is>
      </c>
      <c r="D1860" s="57" t="inlineStr"/>
      <c r="E1860" s="57" t="inlineStr">
        <is>
          <t>2026-08-12</t>
        </is>
      </c>
      <c r="F1860" s="57" t="inlineStr">
        <is>
          <t>date_forced:SG Robinson first-harvest assays all dated 2026-08-12</t>
        </is>
      </c>
    </row>
    <row r="1861" ht="25" customHeight="1" s="55">
      <c r="A1861" s="57" t="inlineStr">
        <is>
          <t>RobinsonCenter</t>
        </is>
      </c>
      <c r="B1861" s="57" t="n">
        <v>50</v>
      </c>
      <c r="C1861" s="57" t="inlineStr">
        <is>
          <t>Genotypes</t>
        </is>
      </c>
      <c r="D1861" s="57" t="inlineStr"/>
      <c r="E1861" s="57" t="inlineStr">
        <is>
          <t>26-26</t>
        </is>
      </c>
      <c r="F1861" s="57" t="inlineStr">
        <is>
          <t>moved_from_SN</t>
        </is>
      </c>
    </row>
    <row r="1862" ht="25" customHeight="1" s="55">
      <c r="A1862" s="57" t="inlineStr">
        <is>
          <t>RobinsonCenter</t>
        </is>
      </c>
      <c r="B1862" s="57" t="n">
        <v>50</v>
      </c>
      <c r="C1862" s="57" t="inlineStr">
        <is>
          <t>Genotypes</t>
        </is>
      </c>
      <c r="D1862" s="57" t="inlineStr">
        <is>
          <t>26-26</t>
        </is>
      </c>
      <c r="E1862" s="57" t="inlineStr">
        <is>
          <t>UKYT-26-026</t>
        </is>
      </c>
      <c r="F1862" s="57" t="inlineStr"/>
    </row>
    <row r="1863" ht="25" customHeight="1" s="55">
      <c r="A1863" s="57" t="inlineStr">
        <is>
          <t>RobinsonCenter</t>
        </is>
      </c>
      <c r="B1863" s="57" t="n">
        <v>50</v>
      </c>
      <c r="C1863" s="57" t="inlineStr">
        <is>
          <t>Location</t>
        </is>
      </c>
      <c r="D1863" s="57" t="inlineStr"/>
      <c r="E1863" s="57" t="inlineStr">
        <is>
          <t>Robinson</t>
        </is>
      </c>
      <c r="F1863" s="57" t="inlineStr">
        <is>
          <t>forced_from_sheet_name</t>
        </is>
      </c>
    </row>
    <row r="1864" ht="25" customHeight="1" s="55">
      <c r="A1864" s="57" t="inlineStr">
        <is>
          <t>RobinsonCenter</t>
        </is>
      </c>
      <c r="B1864" s="57" t="n">
        <v>50</v>
      </c>
      <c r="C1864" s="57" t="inlineStr">
        <is>
          <t>Harvest</t>
        </is>
      </c>
      <c r="D1864" s="57" t="inlineStr"/>
      <c r="E1864" s="57" t="inlineStr">
        <is>
          <t>First</t>
        </is>
      </c>
      <c r="F1864" s="57" t="inlineStr">
        <is>
          <t>forced_from_sheet_name</t>
        </is>
      </c>
    </row>
    <row r="1865" ht="25" customHeight="1" s="55">
      <c r="A1865" s="57" t="inlineStr">
        <is>
          <t>RobinsonCenter</t>
        </is>
      </c>
      <c r="B1865" s="57" t="n">
        <v>50</v>
      </c>
      <c r="C1865" s="57" t="inlineStr">
        <is>
          <t>Date of harvest</t>
        </is>
      </c>
      <c r="D1865" s="57" t="inlineStr"/>
      <c r="E1865" s="57" t="inlineStr">
        <is>
          <t>2026-08-12</t>
        </is>
      </c>
      <c r="F1865" s="57" t="inlineStr">
        <is>
          <t>date_forced:SG Robinson first-harvest assays all dated 2026-08-12</t>
        </is>
      </c>
    </row>
    <row r="1866" ht="25" customHeight="1" s="55">
      <c r="A1866" s="57" t="inlineStr">
        <is>
          <t>RobinsonCenter</t>
        </is>
      </c>
      <c r="B1866" s="57" t="n">
        <v>51</v>
      </c>
      <c r="C1866" s="57" t="inlineStr">
        <is>
          <t>Genotypes</t>
        </is>
      </c>
      <c r="D1866" s="57" t="inlineStr"/>
      <c r="E1866" s="57" t="inlineStr">
        <is>
          <t>26-16</t>
        </is>
      </c>
      <c r="F1866" s="57" t="inlineStr">
        <is>
          <t>moved_from_SN</t>
        </is>
      </c>
    </row>
    <row r="1867" ht="25" customHeight="1" s="55">
      <c r="A1867" s="57" t="inlineStr">
        <is>
          <t>RobinsonCenter</t>
        </is>
      </c>
      <c r="B1867" s="57" t="n">
        <v>51</v>
      </c>
      <c r="C1867" s="57" t="inlineStr">
        <is>
          <t>Genotypes</t>
        </is>
      </c>
      <c r="D1867" s="57" t="inlineStr">
        <is>
          <t>26-16</t>
        </is>
      </c>
      <c r="E1867" s="57" t="inlineStr">
        <is>
          <t>UKYT-26-016</t>
        </is>
      </c>
      <c r="F1867" s="57" t="inlineStr"/>
    </row>
    <row r="1868" ht="25" customHeight="1" s="55">
      <c r="A1868" s="57" t="inlineStr">
        <is>
          <t>RobinsonCenter</t>
        </is>
      </c>
      <c r="B1868" s="57" t="n">
        <v>51</v>
      </c>
      <c r="C1868" s="57" t="inlineStr">
        <is>
          <t>Location</t>
        </is>
      </c>
      <c r="D1868" s="57" t="inlineStr"/>
      <c r="E1868" s="57" t="inlineStr">
        <is>
          <t>Robinson</t>
        </is>
      </c>
      <c r="F1868" s="57" t="inlineStr">
        <is>
          <t>forced_from_sheet_name</t>
        </is>
      </c>
    </row>
    <row r="1869" ht="25" customHeight="1" s="55">
      <c r="A1869" s="57" t="inlineStr">
        <is>
          <t>RobinsonCenter</t>
        </is>
      </c>
      <c r="B1869" s="57" t="n">
        <v>51</v>
      </c>
      <c r="C1869" s="57" t="inlineStr">
        <is>
          <t>Harvest</t>
        </is>
      </c>
      <c r="D1869" s="57" t="inlineStr"/>
      <c r="E1869" s="57" t="inlineStr">
        <is>
          <t>First</t>
        </is>
      </c>
      <c r="F1869" s="57" t="inlineStr">
        <is>
          <t>forced_from_sheet_name</t>
        </is>
      </c>
    </row>
    <row r="1870" ht="25" customHeight="1" s="55">
      <c r="A1870" s="57" t="inlineStr">
        <is>
          <t>RobinsonCenter</t>
        </is>
      </c>
      <c r="B1870" s="57" t="n">
        <v>51</v>
      </c>
      <c r="C1870" s="57" t="inlineStr">
        <is>
          <t>Date of harvest</t>
        </is>
      </c>
      <c r="D1870" s="57" t="inlineStr"/>
      <c r="E1870" s="57" t="inlineStr">
        <is>
          <t>2026-08-12</t>
        </is>
      </c>
      <c r="F1870" s="57" t="inlineStr">
        <is>
          <t>date_forced:SG Robinson first-harvest assays all dated 2026-08-12</t>
        </is>
      </c>
    </row>
    <row r="1871" ht="25" customHeight="1" s="55">
      <c r="A1871" s="57" t="inlineStr">
        <is>
          <t>RobinsonCenter</t>
        </is>
      </c>
      <c r="B1871" s="57" t="n">
        <v>52</v>
      </c>
      <c r="C1871" s="57" t="inlineStr">
        <is>
          <t>Genotypes</t>
        </is>
      </c>
      <c r="D1871" s="57" t="inlineStr"/>
      <c r="E1871" s="57" t="inlineStr">
        <is>
          <t>26-24</t>
        </is>
      </c>
      <c r="F1871" s="57" t="inlineStr">
        <is>
          <t>moved_from_SN</t>
        </is>
      </c>
    </row>
    <row r="1872" ht="25" customHeight="1" s="55">
      <c r="A1872" s="57" t="inlineStr">
        <is>
          <t>RobinsonCenter</t>
        </is>
      </c>
      <c r="B1872" s="57" t="n">
        <v>52</v>
      </c>
      <c r="C1872" s="57" t="inlineStr">
        <is>
          <t>Genotypes</t>
        </is>
      </c>
      <c r="D1872" s="57" t="inlineStr">
        <is>
          <t>26-24</t>
        </is>
      </c>
      <c r="E1872" s="57" t="inlineStr">
        <is>
          <t>UKYT-26-024</t>
        </is>
      </c>
      <c r="F1872" s="57" t="inlineStr"/>
    </row>
    <row r="1873" ht="25" customHeight="1" s="55">
      <c r="A1873" s="57" t="inlineStr">
        <is>
          <t>RobinsonCenter</t>
        </is>
      </c>
      <c r="B1873" s="57" t="n">
        <v>52</v>
      </c>
      <c r="C1873" s="57" t="inlineStr">
        <is>
          <t>Location</t>
        </is>
      </c>
      <c r="D1873" s="57" t="inlineStr"/>
      <c r="E1873" s="57" t="inlineStr">
        <is>
          <t>Robinson</t>
        </is>
      </c>
      <c r="F1873" s="57" t="inlineStr">
        <is>
          <t>forced_from_sheet_name</t>
        </is>
      </c>
    </row>
    <row r="1874" ht="25" customHeight="1" s="55">
      <c r="A1874" s="57" t="inlineStr">
        <is>
          <t>RobinsonCenter</t>
        </is>
      </c>
      <c r="B1874" s="57" t="n">
        <v>52</v>
      </c>
      <c r="C1874" s="57" t="inlineStr">
        <is>
          <t>Harvest</t>
        </is>
      </c>
      <c r="D1874" s="57" t="inlineStr"/>
      <c r="E1874" s="57" t="inlineStr">
        <is>
          <t>First</t>
        </is>
      </c>
      <c r="F1874" s="57" t="inlineStr">
        <is>
          <t>forced_from_sheet_name</t>
        </is>
      </c>
    </row>
    <row r="1875" ht="25" customHeight="1" s="55">
      <c r="A1875" s="57" t="inlineStr">
        <is>
          <t>RobinsonCenter</t>
        </is>
      </c>
      <c r="B1875" s="57" t="n">
        <v>52</v>
      </c>
      <c r="C1875" s="57" t="inlineStr">
        <is>
          <t>Date of harvest</t>
        </is>
      </c>
      <c r="D1875" s="57" t="inlineStr"/>
      <c r="E1875" s="57" t="inlineStr">
        <is>
          <t>2026-08-12</t>
        </is>
      </c>
      <c r="F1875" s="57" t="inlineStr">
        <is>
          <t>date_forced:SG Robinson first-harvest assays all dated 2026-08-12</t>
        </is>
      </c>
    </row>
    <row r="1876" ht="25" customHeight="1" s="55">
      <c r="A1876" s="57" t="inlineStr">
        <is>
          <t>RobinsonCenter</t>
        </is>
      </c>
      <c r="B1876" s="57" t="n">
        <v>53</v>
      </c>
      <c r="C1876" s="57" t="inlineStr">
        <is>
          <t>Genotypes</t>
        </is>
      </c>
      <c r="D1876" s="57" t="inlineStr"/>
      <c r="E1876" s="57" t="inlineStr">
        <is>
          <t>26-12</t>
        </is>
      </c>
      <c r="F1876" s="57" t="inlineStr">
        <is>
          <t>moved_from_SN</t>
        </is>
      </c>
    </row>
    <row r="1877" ht="25" customHeight="1" s="55">
      <c r="A1877" s="57" t="inlineStr">
        <is>
          <t>RobinsonCenter</t>
        </is>
      </c>
      <c r="B1877" s="57" t="n">
        <v>53</v>
      </c>
      <c r="C1877" s="57" t="inlineStr">
        <is>
          <t>Genotypes</t>
        </is>
      </c>
      <c r="D1877" s="57" t="inlineStr">
        <is>
          <t>26-12</t>
        </is>
      </c>
      <c r="E1877" s="57" t="inlineStr">
        <is>
          <t>UKYT-26-012</t>
        </is>
      </c>
      <c r="F1877" s="57" t="inlineStr"/>
    </row>
    <row r="1878" ht="25" customHeight="1" s="55">
      <c r="A1878" s="57" t="inlineStr">
        <is>
          <t>RobinsonCenter</t>
        </is>
      </c>
      <c r="B1878" s="57" t="n">
        <v>53</v>
      </c>
      <c r="C1878" s="57" t="inlineStr">
        <is>
          <t>Location</t>
        </is>
      </c>
      <c r="D1878" s="57" t="inlineStr"/>
      <c r="E1878" s="57" t="inlineStr">
        <is>
          <t>Robinson</t>
        </is>
      </c>
      <c r="F1878" s="57" t="inlineStr">
        <is>
          <t>forced_from_sheet_name</t>
        </is>
      </c>
    </row>
    <row r="1879" ht="25" customHeight="1" s="55">
      <c r="A1879" s="57" t="inlineStr">
        <is>
          <t>RobinsonCenter</t>
        </is>
      </c>
      <c r="B1879" s="57" t="n">
        <v>53</v>
      </c>
      <c r="C1879" s="57" t="inlineStr">
        <is>
          <t>Harvest</t>
        </is>
      </c>
      <c r="D1879" s="57" t="inlineStr"/>
      <c r="E1879" s="57" t="inlineStr">
        <is>
          <t>First</t>
        </is>
      </c>
      <c r="F1879" s="57" t="inlineStr">
        <is>
          <t>forced_from_sheet_name</t>
        </is>
      </c>
    </row>
    <row r="1880" ht="25" customHeight="1" s="55">
      <c r="A1880" s="57" t="inlineStr">
        <is>
          <t>RobinsonCenter</t>
        </is>
      </c>
      <c r="B1880" s="57" t="n">
        <v>53</v>
      </c>
      <c r="C1880" s="57" t="inlineStr">
        <is>
          <t>Date of harvest</t>
        </is>
      </c>
      <c r="D1880" s="57" t="inlineStr"/>
      <c r="E1880" s="57" t="inlineStr">
        <is>
          <t>2026-08-12</t>
        </is>
      </c>
      <c r="F1880" s="57" t="inlineStr">
        <is>
          <t>date_forced:SG Robinson first-harvest assays all dated 2026-08-12</t>
        </is>
      </c>
    </row>
    <row r="1881" ht="25" customHeight="1" s="55">
      <c r="A1881" s="57" t="inlineStr">
        <is>
          <t>RobinsonCenter</t>
        </is>
      </c>
      <c r="B1881" s="57" t="n">
        <v>54</v>
      </c>
      <c r="C1881" s="57" t="inlineStr">
        <is>
          <t>Genotypes</t>
        </is>
      </c>
      <c r="D1881" s="57" t="inlineStr"/>
      <c r="E1881" s="57" t="inlineStr">
        <is>
          <t>26-11</t>
        </is>
      </c>
      <c r="F1881" s="57" t="inlineStr">
        <is>
          <t>moved_from_SN</t>
        </is>
      </c>
    </row>
    <row r="1882" ht="25" customHeight="1" s="55">
      <c r="A1882" s="57" t="inlineStr">
        <is>
          <t>RobinsonCenter</t>
        </is>
      </c>
      <c r="B1882" s="57" t="n">
        <v>54</v>
      </c>
      <c r="C1882" s="57" t="inlineStr">
        <is>
          <t>Genotypes</t>
        </is>
      </c>
      <c r="D1882" s="57" t="inlineStr">
        <is>
          <t>26-11</t>
        </is>
      </c>
      <c r="E1882" s="57" t="inlineStr">
        <is>
          <t>UKYT-26-011</t>
        </is>
      </c>
      <c r="F1882" s="57" t="inlineStr"/>
    </row>
    <row r="1883" ht="25" customHeight="1" s="55">
      <c r="A1883" s="57" t="inlineStr">
        <is>
          <t>RobinsonCenter</t>
        </is>
      </c>
      <c r="B1883" s="57" t="n">
        <v>54</v>
      </c>
      <c r="C1883" s="57" t="inlineStr">
        <is>
          <t>Location</t>
        </is>
      </c>
      <c r="D1883" s="57" t="inlineStr"/>
      <c r="E1883" s="57" t="inlineStr">
        <is>
          <t>Robinson</t>
        </is>
      </c>
      <c r="F1883" s="57" t="inlineStr">
        <is>
          <t>forced_from_sheet_name</t>
        </is>
      </c>
    </row>
    <row r="1884" ht="25" customHeight="1" s="55">
      <c r="A1884" s="57" t="inlineStr">
        <is>
          <t>RobinsonCenter</t>
        </is>
      </c>
      <c r="B1884" s="57" t="n">
        <v>54</v>
      </c>
      <c r="C1884" s="57" t="inlineStr">
        <is>
          <t>Harvest</t>
        </is>
      </c>
      <c r="D1884" s="57" t="inlineStr"/>
      <c r="E1884" s="57" t="inlineStr">
        <is>
          <t>First</t>
        </is>
      </c>
      <c r="F1884" s="57" t="inlineStr">
        <is>
          <t>forced_from_sheet_name</t>
        </is>
      </c>
    </row>
    <row r="1885" ht="25" customHeight="1" s="55">
      <c r="A1885" s="57" t="inlineStr">
        <is>
          <t>RobinsonCenter</t>
        </is>
      </c>
      <c r="B1885" s="57" t="n">
        <v>54</v>
      </c>
      <c r="C1885" s="57" t="inlineStr">
        <is>
          <t>Date of harvest</t>
        </is>
      </c>
      <c r="D1885" s="57" t="inlineStr"/>
      <c r="E1885" s="57" t="inlineStr">
        <is>
          <t>2026-08-12</t>
        </is>
      </c>
      <c r="F1885" s="57" t="inlineStr">
        <is>
          <t>date_forced:SG Robinson first-harvest assays all dated 2026-08-12</t>
        </is>
      </c>
    </row>
    <row r="1886" ht="25" customHeight="1" s="55">
      <c r="A1886" s="57" t="inlineStr">
        <is>
          <t>RobinsonCenter</t>
        </is>
      </c>
      <c r="B1886" s="57" t="n">
        <v>55</v>
      </c>
      <c r="C1886" s="57" t="inlineStr">
        <is>
          <t>Genotypes</t>
        </is>
      </c>
      <c r="D1886" s="57" t="inlineStr"/>
      <c r="E1886" s="57" t="inlineStr">
        <is>
          <t>NC25205G</t>
        </is>
      </c>
      <c r="F1886" s="57" t="inlineStr">
        <is>
          <t>moved_from_SN</t>
        </is>
      </c>
    </row>
    <row r="1887" ht="25" customHeight="1" s="55">
      <c r="A1887" s="57" t="inlineStr">
        <is>
          <t>RobinsonCenter</t>
        </is>
      </c>
      <c r="B1887" s="57" t="n">
        <v>55</v>
      </c>
      <c r="C1887" s="57" t="inlineStr">
        <is>
          <t>Location</t>
        </is>
      </c>
      <c r="D1887" s="57" t="inlineStr"/>
      <c r="E1887" s="57" t="inlineStr">
        <is>
          <t>Robinson</t>
        </is>
      </c>
      <c r="F1887" s="57" t="inlineStr">
        <is>
          <t>forced_from_sheet_name</t>
        </is>
      </c>
    </row>
    <row r="1888" ht="25" customHeight="1" s="55">
      <c r="A1888" s="57" t="inlineStr">
        <is>
          <t>RobinsonCenter</t>
        </is>
      </c>
      <c r="B1888" s="57" t="n">
        <v>55</v>
      </c>
      <c r="C1888" s="57" t="inlineStr">
        <is>
          <t>Harvest</t>
        </is>
      </c>
      <c r="D1888" s="57" t="inlineStr"/>
      <c r="E1888" s="57" t="inlineStr">
        <is>
          <t>First</t>
        </is>
      </c>
      <c r="F1888" s="57" t="inlineStr">
        <is>
          <t>forced_from_sheet_name</t>
        </is>
      </c>
    </row>
    <row r="1889" ht="25" customHeight="1" s="55">
      <c r="A1889" s="57" t="inlineStr">
        <is>
          <t>RobinsonCenter</t>
        </is>
      </c>
      <c r="B1889" s="57" t="n">
        <v>55</v>
      </c>
      <c r="C1889" s="57" t="inlineStr">
        <is>
          <t>Date of harvest</t>
        </is>
      </c>
      <c r="D1889" s="57" t="inlineStr"/>
      <c r="E1889" s="57" t="inlineStr">
        <is>
          <t>2026-08-12</t>
        </is>
      </c>
      <c r="F1889" s="57" t="inlineStr">
        <is>
          <t>date_forced:SG Robinson first-harvest assays all dated 2026-08-12</t>
        </is>
      </c>
    </row>
    <row r="1890" ht="25" customHeight="1" s="55">
      <c r="A1890" s="57" t="inlineStr">
        <is>
          <t>RobinsonCenter</t>
        </is>
      </c>
      <c r="B1890" s="57" t="n">
        <v>56</v>
      </c>
      <c r="C1890" s="57" t="inlineStr">
        <is>
          <t>Genotypes</t>
        </is>
      </c>
      <c r="D1890" s="57" t="inlineStr"/>
      <c r="E1890" s="57" t="inlineStr">
        <is>
          <t>NC25212</t>
        </is>
      </c>
      <c r="F1890" s="57" t="inlineStr">
        <is>
          <t>moved_from_SN</t>
        </is>
      </c>
    </row>
    <row r="1891" ht="25" customHeight="1" s="55">
      <c r="A1891" s="57" t="inlineStr">
        <is>
          <t>RobinsonCenter</t>
        </is>
      </c>
      <c r="B1891" s="57" t="n">
        <v>56</v>
      </c>
      <c r="C1891" s="57" t="inlineStr">
        <is>
          <t>Location</t>
        </is>
      </c>
      <c r="D1891" s="57" t="inlineStr"/>
      <c r="E1891" s="57" t="inlineStr">
        <is>
          <t>Robinson</t>
        </is>
      </c>
      <c r="F1891" s="57" t="inlineStr">
        <is>
          <t>forced_from_sheet_name</t>
        </is>
      </c>
    </row>
    <row r="1892" ht="25" customHeight="1" s="55">
      <c r="A1892" s="57" t="inlineStr">
        <is>
          <t>RobinsonCenter</t>
        </is>
      </c>
      <c r="B1892" s="57" t="n">
        <v>56</v>
      </c>
      <c r="C1892" s="57" t="inlineStr">
        <is>
          <t>Harvest</t>
        </is>
      </c>
      <c r="D1892" s="57" t="inlineStr"/>
      <c r="E1892" s="57" t="inlineStr">
        <is>
          <t>First</t>
        </is>
      </c>
      <c r="F1892" s="57" t="inlineStr">
        <is>
          <t>forced_from_sheet_name</t>
        </is>
      </c>
    </row>
    <row r="1893" ht="25" customHeight="1" s="55">
      <c r="A1893" s="57" t="inlineStr">
        <is>
          <t>RobinsonCenter</t>
        </is>
      </c>
      <c r="B1893" s="57" t="n">
        <v>56</v>
      </c>
      <c r="C1893" s="57" t="inlineStr">
        <is>
          <t>Date of harvest</t>
        </is>
      </c>
      <c r="D1893" s="57" t="inlineStr"/>
      <c r="E1893" s="57" t="inlineStr">
        <is>
          <t>2026-08-12</t>
        </is>
      </c>
      <c r="F1893" s="57" t="inlineStr">
        <is>
          <t>date_forced:SG Robinson first-harvest assays all dated 2026-08-12</t>
        </is>
      </c>
    </row>
    <row r="1894" ht="25" customHeight="1" s="55">
      <c r="A1894" s="57" t="inlineStr">
        <is>
          <t>RobinsonCenter</t>
        </is>
      </c>
      <c r="B1894" s="57" t="n">
        <v>57</v>
      </c>
      <c r="C1894" s="57" t="inlineStr">
        <is>
          <t>Genotypes</t>
        </is>
      </c>
      <c r="D1894" s="57" t="inlineStr"/>
      <c r="E1894" s="57" t="inlineStr">
        <is>
          <t>NC25202</t>
        </is>
      </c>
      <c r="F1894" s="57" t="inlineStr">
        <is>
          <t>moved_from_SN</t>
        </is>
      </c>
    </row>
    <row r="1895" ht="25" customHeight="1" s="55">
      <c r="A1895" s="57" t="inlineStr">
        <is>
          <t>RobinsonCenter</t>
        </is>
      </c>
      <c r="B1895" s="57" t="n">
        <v>57</v>
      </c>
      <c r="C1895" s="57" t="inlineStr">
        <is>
          <t>Location</t>
        </is>
      </c>
      <c r="D1895" s="57" t="inlineStr"/>
      <c r="E1895" s="57" t="inlineStr">
        <is>
          <t>Robinson</t>
        </is>
      </c>
      <c r="F1895" s="57" t="inlineStr">
        <is>
          <t>forced_from_sheet_name</t>
        </is>
      </c>
    </row>
    <row r="1896" ht="25" customHeight="1" s="55">
      <c r="A1896" s="57" t="inlineStr">
        <is>
          <t>RobinsonCenter</t>
        </is>
      </c>
      <c r="B1896" s="57" t="n">
        <v>57</v>
      </c>
      <c r="C1896" s="57" t="inlineStr">
        <is>
          <t>Harvest</t>
        </is>
      </c>
      <c r="D1896" s="57" t="inlineStr"/>
      <c r="E1896" s="57" t="inlineStr">
        <is>
          <t>First</t>
        </is>
      </c>
      <c r="F1896" s="57" t="inlineStr">
        <is>
          <t>forced_from_sheet_name</t>
        </is>
      </c>
    </row>
    <row r="1897" ht="25" customHeight="1" s="55">
      <c r="A1897" s="57" t="inlineStr">
        <is>
          <t>RobinsonCenter</t>
        </is>
      </c>
      <c r="B1897" s="57" t="n">
        <v>57</v>
      </c>
      <c r="C1897" s="57" t="inlineStr">
        <is>
          <t>Date of harvest</t>
        </is>
      </c>
      <c r="D1897" s="57" t="inlineStr"/>
      <c r="E1897" s="57" t="inlineStr">
        <is>
          <t>2026-08-12</t>
        </is>
      </c>
      <c r="F1897" s="57" t="inlineStr">
        <is>
          <t>date_forced:SG Robinson first-harvest assays all dated 2026-08-12</t>
        </is>
      </c>
    </row>
    <row r="1898" ht="25" customHeight="1" s="55">
      <c r="A1898" s="57" t="inlineStr">
        <is>
          <t>RobinsonCenter</t>
        </is>
      </c>
      <c r="B1898" s="57" t="n">
        <v>58</v>
      </c>
      <c r="C1898" s="57" t="inlineStr">
        <is>
          <t>Genotypes</t>
        </is>
      </c>
      <c r="D1898" s="57" t="inlineStr"/>
      <c r="E1898" s="57" t="inlineStr">
        <is>
          <t>NC 24271 G</t>
        </is>
      </c>
      <c r="F1898" s="57" t="inlineStr">
        <is>
          <t>moved_from_SN</t>
        </is>
      </c>
    </row>
    <row r="1899" ht="25" customHeight="1" s="55">
      <c r="A1899" s="57" t="inlineStr">
        <is>
          <t>RobinsonCenter</t>
        </is>
      </c>
      <c r="B1899" s="57" t="n">
        <v>58</v>
      </c>
      <c r="C1899" s="57" t="inlineStr">
        <is>
          <t>Genotypes</t>
        </is>
      </c>
      <c r="D1899" s="57" t="inlineStr">
        <is>
          <t>NC 24271 G</t>
        </is>
      </c>
      <c r="E1899" s="57" t="inlineStr">
        <is>
          <t>NC24271G</t>
        </is>
      </c>
      <c r="F1899" s="57" t="inlineStr"/>
    </row>
    <row r="1900" ht="25" customHeight="1" s="55">
      <c r="A1900" s="57" t="inlineStr">
        <is>
          <t>RobinsonCenter</t>
        </is>
      </c>
      <c r="B1900" s="57" t="n">
        <v>58</v>
      </c>
      <c r="C1900" s="57" t="inlineStr">
        <is>
          <t>Location</t>
        </is>
      </c>
      <c r="D1900" s="57" t="inlineStr"/>
      <c r="E1900" s="57" t="inlineStr">
        <is>
          <t>Robinson</t>
        </is>
      </c>
      <c r="F1900" s="57" t="inlineStr">
        <is>
          <t>forced_from_sheet_name</t>
        </is>
      </c>
    </row>
    <row r="1901" ht="25" customHeight="1" s="55">
      <c r="A1901" s="57" t="inlineStr">
        <is>
          <t>RobinsonCenter</t>
        </is>
      </c>
      <c r="B1901" s="57" t="n">
        <v>58</v>
      </c>
      <c r="C1901" s="57" t="inlineStr">
        <is>
          <t>Harvest</t>
        </is>
      </c>
      <c r="D1901" s="57" t="inlineStr"/>
      <c r="E1901" s="57" t="inlineStr">
        <is>
          <t>First</t>
        </is>
      </c>
      <c r="F1901" s="57" t="inlineStr">
        <is>
          <t>forced_from_sheet_name</t>
        </is>
      </c>
    </row>
    <row r="1902" ht="25" customHeight="1" s="55">
      <c r="A1902" s="57" t="inlineStr">
        <is>
          <t>RobinsonCenter</t>
        </is>
      </c>
      <c r="B1902" s="57" t="n">
        <v>58</v>
      </c>
      <c r="C1902" s="57" t="inlineStr">
        <is>
          <t>Date of harvest</t>
        </is>
      </c>
      <c r="D1902" s="57" t="inlineStr"/>
      <c r="E1902" s="57" t="inlineStr">
        <is>
          <t>2026-08-12</t>
        </is>
      </c>
      <c r="F1902" s="57" t="inlineStr">
        <is>
          <t>date_forced:SG Robinson first-harvest assays all dated 2026-08-12</t>
        </is>
      </c>
    </row>
    <row r="1903" ht="25" customHeight="1" s="55">
      <c r="A1903" s="57" t="inlineStr">
        <is>
          <t>RobinsonCenter</t>
        </is>
      </c>
      <c r="B1903" s="57" t="n">
        <v>59</v>
      </c>
      <c r="C1903" s="57" t="inlineStr">
        <is>
          <t>Genotypes</t>
        </is>
      </c>
      <c r="D1903" s="57" t="inlineStr"/>
      <c r="E1903" s="57" t="inlineStr">
        <is>
          <t>NC25209G</t>
        </is>
      </c>
      <c r="F1903" s="57" t="inlineStr">
        <is>
          <t>moved_from_SN</t>
        </is>
      </c>
    </row>
    <row r="1904" ht="25" customHeight="1" s="55">
      <c r="A1904" s="57" t="inlineStr">
        <is>
          <t>RobinsonCenter</t>
        </is>
      </c>
      <c r="B1904" s="57" t="n">
        <v>59</v>
      </c>
      <c r="C1904" s="57" t="inlineStr">
        <is>
          <t>Location</t>
        </is>
      </c>
      <c r="D1904" s="57" t="inlineStr"/>
      <c r="E1904" s="57" t="inlineStr">
        <is>
          <t>Robinson</t>
        </is>
      </c>
      <c r="F1904" s="57" t="inlineStr">
        <is>
          <t>forced_from_sheet_name</t>
        </is>
      </c>
    </row>
    <row r="1905" ht="25" customHeight="1" s="55">
      <c r="A1905" s="57" t="inlineStr">
        <is>
          <t>RobinsonCenter</t>
        </is>
      </c>
      <c r="B1905" s="57" t="n">
        <v>59</v>
      </c>
      <c r="C1905" s="57" t="inlineStr">
        <is>
          <t>Harvest</t>
        </is>
      </c>
      <c r="D1905" s="57" t="inlineStr"/>
      <c r="E1905" s="57" t="inlineStr">
        <is>
          <t>First</t>
        </is>
      </c>
      <c r="F1905" s="57" t="inlineStr">
        <is>
          <t>forced_from_sheet_name</t>
        </is>
      </c>
    </row>
    <row r="1906" ht="25" customHeight="1" s="55">
      <c r="A1906" s="57" t="inlineStr">
        <is>
          <t>RobinsonCenter</t>
        </is>
      </c>
      <c r="B1906" s="57" t="n">
        <v>59</v>
      </c>
      <c r="C1906" s="57" t="inlineStr">
        <is>
          <t>Date of harvest</t>
        </is>
      </c>
      <c r="D1906" s="57" t="inlineStr"/>
      <c r="E1906" s="57" t="inlineStr">
        <is>
          <t>2026-08-12</t>
        </is>
      </c>
      <c r="F1906" s="57" t="inlineStr">
        <is>
          <t>date_forced:SG Robinson first-harvest assays all dated 2026-08-12</t>
        </is>
      </c>
    </row>
    <row r="1907" ht="25" customHeight="1" s="55">
      <c r="A1907" s="57" t="inlineStr">
        <is>
          <t>RobinsonCenter</t>
        </is>
      </c>
      <c r="B1907" s="57" t="n">
        <v>60</v>
      </c>
      <c r="C1907" s="57" t="inlineStr">
        <is>
          <t>Genotypes</t>
        </is>
      </c>
      <c r="D1907" s="57" t="inlineStr"/>
      <c r="E1907" s="57" t="inlineStr">
        <is>
          <t>NC25207</t>
        </is>
      </c>
      <c r="F1907" s="57" t="inlineStr">
        <is>
          <t>moved_from_SN</t>
        </is>
      </c>
    </row>
    <row r="1908" ht="25" customHeight="1" s="55">
      <c r="A1908" s="57" t="inlineStr">
        <is>
          <t>RobinsonCenter</t>
        </is>
      </c>
      <c r="B1908" s="57" t="n">
        <v>60</v>
      </c>
      <c r="C1908" s="57" t="inlineStr">
        <is>
          <t>Location</t>
        </is>
      </c>
      <c r="D1908" s="57" t="inlineStr"/>
      <c r="E1908" s="57" t="inlineStr">
        <is>
          <t>Robinson</t>
        </is>
      </c>
      <c r="F1908" s="57" t="inlineStr">
        <is>
          <t>forced_from_sheet_name</t>
        </is>
      </c>
    </row>
    <row r="1909" ht="25" customHeight="1" s="55">
      <c r="A1909" s="57" t="inlineStr">
        <is>
          <t>RobinsonCenter</t>
        </is>
      </c>
      <c r="B1909" s="57" t="n">
        <v>60</v>
      </c>
      <c r="C1909" s="57" t="inlineStr">
        <is>
          <t>Harvest</t>
        </is>
      </c>
      <c r="D1909" s="57" t="inlineStr"/>
      <c r="E1909" s="57" t="inlineStr">
        <is>
          <t>First</t>
        </is>
      </c>
      <c r="F1909" s="57" t="inlineStr">
        <is>
          <t>forced_from_sheet_name</t>
        </is>
      </c>
    </row>
    <row r="1910" ht="25" customHeight="1" s="55">
      <c r="A1910" s="57" t="inlineStr">
        <is>
          <t>RobinsonCenter</t>
        </is>
      </c>
      <c r="B1910" s="57" t="n">
        <v>60</v>
      </c>
      <c r="C1910" s="57" t="inlineStr">
        <is>
          <t>Date of harvest</t>
        </is>
      </c>
      <c r="D1910" s="57" t="inlineStr"/>
      <c r="E1910" s="57" t="inlineStr">
        <is>
          <t>2026-08-12</t>
        </is>
      </c>
      <c r="F1910" s="57" t="inlineStr">
        <is>
          <t>date_forced:SG Robinson first-harvest assays all dated 2026-08-12</t>
        </is>
      </c>
    </row>
    <row r="1911" ht="25" customHeight="1" s="55">
      <c r="A1911" s="57" t="inlineStr">
        <is>
          <t>RobinsonCenter</t>
        </is>
      </c>
      <c r="B1911" s="57" t="n">
        <v>61</v>
      </c>
      <c r="C1911" s="57" t="inlineStr">
        <is>
          <t>Genotypes</t>
        </is>
      </c>
      <c r="D1911" s="57" t="inlineStr"/>
      <c r="E1911" s="57" t="inlineStr">
        <is>
          <t>NC25230G</t>
        </is>
      </c>
      <c r="F1911" s="57" t="inlineStr">
        <is>
          <t>moved_from_SN</t>
        </is>
      </c>
    </row>
    <row r="1912" ht="25" customHeight="1" s="55">
      <c r="A1912" s="57" t="inlineStr">
        <is>
          <t>RobinsonCenter</t>
        </is>
      </c>
      <c r="B1912" s="57" t="n">
        <v>61</v>
      </c>
      <c r="C1912" s="57" t="inlineStr">
        <is>
          <t>Location</t>
        </is>
      </c>
      <c r="D1912" s="57" t="inlineStr"/>
      <c r="E1912" s="57" t="inlineStr">
        <is>
          <t>Robinson</t>
        </is>
      </c>
      <c r="F1912" s="57" t="inlineStr">
        <is>
          <t>forced_from_sheet_name</t>
        </is>
      </c>
    </row>
    <row r="1913" ht="25" customHeight="1" s="55">
      <c r="A1913" s="57" t="inlineStr">
        <is>
          <t>RobinsonCenter</t>
        </is>
      </c>
      <c r="B1913" s="57" t="n">
        <v>61</v>
      </c>
      <c r="C1913" s="57" t="inlineStr">
        <is>
          <t>Harvest</t>
        </is>
      </c>
      <c r="D1913" s="57" t="inlineStr"/>
      <c r="E1913" s="57" t="inlineStr">
        <is>
          <t>First</t>
        </is>
      </c>
      <c r="F1913" s="57" t="inlineStr">
        <is>
          <t>forced_from_sheet_name</t>
        </is>
      </c>
    </row>
    <row r="1914" ht="25" customHeight="1" s="55">
      <c r="A1914" s="57" t="inlineStr">
        <is>
          <t>RobinsonCenter</t>
        </is>
      </c>
      <c r="B1914" s="57" t="n">
        <v>61</v>
      </c>
      <c r="C1914" s="57" t="inlineStr">
        <is>
          <t>Date of harvest</t>
        </is>
      </c>
      <c r="D1914" s="57" t="inlineStr"/>
      <c r="E1914" s="57" t="inlineStr">
        <is>
          <t>2026-08-12</t>
        </is>
      </c>
      <c r="F1914" s="57" t="inlineStr">
        <is>
          <t>date_forced:SG Robinson first-harvest assays all dated 2026-08-12</t>
        </is>
      </c>
    </row>
    <row r="1915" ht="25" customHeight="1" s="55">
      <c r="A1915" s="57" t="inlineStr">
        <is>
          <t>RobinsonCenter</t>
        </is>
      </c>
      <c r="B1915" s="57" t="n">
        <v>62</v>
      </c>
      <c r="C1915" s="57" t="inlineStr">
        <is>
          <t>Genotypes</t>
        </is>
      </c>
      <c r="D1915" s="57" t="inlineStr"/>
      <c r="E1915" s="57" t="inlineStr">
        <is>
          <t>NC25217</t>
        </is>
      </c>
      <c r="F1915" s="57" t="inlineStr">
        <is>
          <t>moved_from_SN</t>
        </is>
      </c>
    </row>
    <row r="1916" ht="25" customHeight="1" s="55">
      <c r="A1916" s="57" t="inlineStr">
        <is>
          <t>RobinsonCenter</t>
        </is>
      </c>
      <c r="B1916" s="57" t="n">
        <v>62</v>
      </c>
      <c r="C1916" s="57" t="inlineStr">
        <is>
          <t>Location</t>
        </is>
      </c>
      <c r="D1916" s="57" t="inlineStr"/>
      <c r="E1916" s="57" t="inlineStr">
        <is>
          <t>Robinson</t>
        </is>
      </c>
      <c r="F1916" s="57" t="inlineStr">
        <is>
          <t>forced_from_sheet_name</t>
        </is>
      </c>
    </row>
    <row r="1917" ht="25" customHeight="1" s="55">
      <c r="A1917" s="57" t="inlineStr">
        <is>
          <t>RobinsonCenter</t>
        </is>
      </c>
      <c r="B1917" s="57" t="n">
        <v>62</v>
      </c>
      <c r="C1917" s="57" t="inlineStr">
        <is>
          <t>Harvest</t>
        </is>
      </c>
      <c r="D1917" s="57" t="inlineStr"/>
      <c r="E1917" s="57" t="inlineStr">
        <is>
          <t>First</t>
        </is>
      </c>
      <c r="F1917" s="57" t="inlineStr">
        <is>
          <t>forced_from_sheet_name</t>
        </is>
      </c>
    </row>
    <row r="1918" ht="25" customHeight="1" s="55">
      <c r="A1918" s="57" t="inlineStr">
        <is>
          <t>RobinsonCenter</t>
        </is>
      </c>
      <c r="B1918" s="57" t="n">
        <v>62</v>
      </c>
      <c r="C1918" s="57" t="inlineStr">
        <is>
          <t>Date of harvest</t>
        </is>
      </c>
      <c r="D1918" s="57" t="inlineStr"/>
      <c r="E1918" s="57" t="inlineStr">
        <is>
          <t>2026-08-12</t>
        </is>
      </c>
      <c r="F1918" s="57" t="inlineStr">
        <is>
          <t>date_forced:SG Robinson first-harvest assays all dated 2026-08-12</t>
        </is>
      </c>
    </row>
    <row r="1919" ht="25" customHeight="1" s="55">
      <c r="A1919" s="57" t="inlineStr">
        <is>
          <t>RobinsonCenter</t>
        </is>
      </c>
      <c r="B1919" s="57" t="n">
        <v>63</v>
      </c>
      <c r="C1919" s="57" t="inlineStr">
        <is>
          <t>Genotypes</t>
        </is>
      </c>
      <c r="D1919" s="57" t="inlineStr"/>
      <c r="E1919" s="57" t="inlineStr">
        <is>
          <t>252G</t>
        </is>
      </c>
      <c r="F1919" s="57" t="inlineStr">
        <is>
          <t>moved_from_SN</t>
        </is>
      </c>
    </row>
    <row r="1920" ht="25" customHeight="1" s="55">
      <c r="A1920" s="57" t="inlineStr">
        <is>
          <t>RobinsonCenter</t>
        </is>
      </c>
      <c r="B1920" s="57" t="n">
        <v>63</v>
      </c>
      <c r="C1920" s="57" t="inlineStr">
        <is>
          <t>Genotypes</t>
        </is>
      </c>
      <c r="D1920" s="57" t="inlineStr">
        <is>
          <t>252G</t>
        </is>
      </c>
      <c r="E1920" s="57" t="inlineStr">
        <is>
          <t>NC252G</t>
        </is>
      </c>
      <c r="F1920" s="57" t="inlineStr"/>
    </row>
    <row r="1921" ht="25" customHeight="1" s="55">
      <c r="A1921" s="57" t="inlineStr">
        <is>
          <t>RobinsonCenter</t>
        </is>
      </c>
      <c r="B1921" s="57" t="n">
        <v>63</v>
      </c>
      <c r="C1921" s="57" t="inlineStr">
        <is>
          <t>Location</t>
        </is>
      </c>
      <c r="D1921" s="57" t="inlineStr"/>
      <c r="E1921" s="57" t="inlineStr">
        <is>
          <t>Robinson</t>
        </is>
      </c>
      <c r="F1921" s="57" t="inlineStr">
        <is>
          <t>forced_from_sheet_name</t>
        </is>
      </c>
    </row>
    <row r="1922" ht="25" customHeight="1" s="55">
      <c r="A1922" s="57" t="inlineStr">
        <is>
          <t>RobinsonCenter</t>
        </is>
      </c>
      <c r="B1922" s="57" t="n">
        <v>63</v>
      </c>
      <c r="C1922" s="57" t="inlineStr">
        <is>
          <t>Harvest</t>
        </is>
      </c>
      <c r="D1922" s="57" t="inlineStr"/>
      <c r="E1922" s="57" t="inlineStr">
        <is>
          <t>First</t>
        </is>
      </c>
      <c r="F1922" s="57" t="inlineStr">
        <is>
          <t>forced_from_sheet_name</t>
        </is>
      </c>
    </row>
    <row r="1923" ht="25" customHeight="1" s="55">
      <c r="A1923" s="57" t="inlineStr">
        <is>
          <t>RobinsonCenter</t>
        </is>
      </c>
      <c r="B1923" s="57" t="n">
        <v>63</v>
      </c>
      <c r="C1923" s="57" t="inlineStr">
        <is>
          <t>Date of harvest</t>
        </is>
      </c>
      <c r="D1923" s="57" t="inlineStr"/>
      <c r="E1923" s="57" t="inlineStr">
        <is>
          <t>2026-08-12</t>
        </is>
      </c>
      <c r="F1923" s="57" t="inlineStr">
        <is>
          <t>date_forced:SG Robinson first-harvest assays all dated 2026-08-12</t>
        </is>
      </c>
    </row>
    <row r="1924" ht="25" customHeight="1" s="55">
      <c r="A1924" s="57" t="inlineStr">
        <is>
          <t>RobinsonCenter</t>
        </is>
      </c>
      <c r="B1924" s="57" t="n">
        <v>64</v>
      </c>
      <c r="C1924" s="57" t="inlineStr">
        <is>
          <t>Genotypes</t>
        </is>
      </c>
      <c r="D1924" s="57" t="inlineStr"/>
      <c r="E1924" s="57" t="inlineStr">
        <is>
          <t>NC23926G</t>
        </is>
      </c>
      <c r="F1924" s="57" t="inlineStr">
        <is>
          <t>moved_from_SN</t>
        </is>
      </c>
    </row>
    <row r="1925" ht="25" customHeight="1" s="55">
      <c r="A1925" s="57" t="inlineStr">
        <is>
          <t>RobinsonCenter</t>
        </is>
      </c>
      <c r="B1925" s="57" t="n">
        <v>64</v>
      </c>
      <c r="C1925" s="57" t="inlineStr">
        <is>
          <t>Location</t>
        </is>
      </c>
      <c r="D1925" s="57" t="inlineStr"/>
      <c r="E1925" s="57" t="inlineStr">
        <is>
          <t>Robinson</t>
        </is>
      </c>
      <c r="F1925" s="57" t="inlineStr">
        <is>
          <t>forced_from_sheet_name</t>
        </is>
      </c>
    </row>
    <row r="1926" ht="25" customHeight="1" s="55">
      <c r="A1926" s="57" t="inlineStr">
        <is>
          <t>RobinsonCenter</t>
        </is>
      </c>
      <c r="B1926" s="57" t="n">
        <v>64</v>
      </c>
      <c r="C1926" s="57" t="inlineStr">
        <is>
          <t>Harvest</t>
        </is>
      </c>
      <c r="D1926" s="57" t="inlineStr"/>
      <c r="E1926" s="57" t="inlineStr">
        <is>
          <t>First</t>
        </is>
      </c>
      <c r="F1926" s="57" t="inlineStr">
        <is>
          <t>forced_from_sheet_name</t>
        </is>
      </c>
    </row>
    <row r="1927" ht="25" customHeight="1" s="55">
      <c r="A1927" s="57" t="inlineStr">
        <is>
          <t>RobinsonCenter</t>
        </is>
      </c>
      <c r="B1927" s="57" t="n">
        <v>64</v>
      </c>
      <c r="C1927" s="57" t="inlineStr">
        <is>
          <t>Date of harvest</t>
        </is>
      </c>
      <c r="D1927" s="57" t="inlineStr"/>
      <c r="E1927" s="57" t="inlineStr">
        <is>
          <t>2026-08-12</t>
        </is>
      </c>
      <c r="F1927" s="57" t="inlineStr">
        <is>
          <t>date_forced:SG Robinson first-harvest assays all dated 2026-08-12</t>
        </is>
      </c>
    </row>
    <row r="1928" ht="25" customHeight="1" s="55">
      <c r="A1928" s="57" t="inlineStr">
        <is>
          <t>RobinsonCenter</t>
        </is>
      </c>
      <c r="B1928" s="57" t="n">
        <v>65</v>
      </c>
      <c r="C1928" s="57" t="inlineStr">
        <is>
          <t>Genotypes</t>
        </is>
      </c>
      <c r="D1928" s="57" t="inlineStr"/>
      <c r="E1928" s="57" t="inlineStr">
        <is>
          <t xml:space="preserve">NC25210G </t>
        </is>
      </c>
      <c r="F1928" s="57" t="inlineStr">
        <is>
          <t>moved_from_SN</t>
        </is>
      </c>
    </row>
    <row r="1929" ht="25" customHeight="1" s="55">
      <c r="A1929" s="57" t="inlineStr">
        <is>
          <t>RobinsonCenter</t>
        </is>
      </c>
      <c r="B1929" s="57" t="n">
        <v>65</v>
      </c>
      <c r="C1929" s="57" t="inlineStr">
        <is>
          <t>Genotypes</t>
        </is>
      </c>
      <c r="D1929" s="57" t="inlineStr">
        <is>
          <t xml:space="preserve">NC25210G </t>
        </is>
      </c>
      <c r="E1929" s="57" t="inlineStr">
        <is>
          <t>NC25210G</t>
        </is>
      </c>
      <c r="F1929" s="57" t="inlineStr"/>
    </row>
    <row r="1930" ht="25" customHeight="1" s="55">
      <c r="A1930" s="57" t="inlineStr">
        <is>
          <t>RobinsonCenter</t>
        </is>
      </c>
      <c r="B1930" s="57" t="n">
        <v>65</v>
      </c>
      <c r="C1930" s="57" t="inlineStr">
        <is>
          <t>Location</t>
        </is>
      </c>
      <c r="D1930" s="57" t="inlineStr"/>
      <c r="E1930" s="57" t="inlineStr">
        <is>
          <t>Robinson</t>
        </is>
      </c>
      <c r="F1930" s="57" t="inlineStr">
        <is>
          <t>forced_from_sheet_name</t>
        </is>
      </c>
    </row>
    <row r="1931" ht="25" customHeight="1" s="55">
      <c r="A1931" s="57" t="inlineStr">
        <is>
          <t>RobinsonCenter</t>
        </is>
      </c>
      <c r="B1931" s="57" t="n">
        <v>65</v>
      </c>
      <c r="C1931" s="57" t="inlineStr">
        <is>
          <t>Harvest</t>
        </is>
      </c>
      <c r="D1931" s="57" t="inlineStr"/>
      <c r="E1931" s="57" t="inlineStr">
        <is>
          <t>First</t>
        </is>
      </c>
      <c r="F1931" s="57" t="inlineStr">
        <is>
          <t>forced_from_sheet_name</t>
        </is>
      </c>
    </row>
    <row r="1932" ht="25" customHeight="1" s="55">
      <c r="A1932" s="57" t="inlineStr">
        <is>
          <t>RobinsonCenter</t>
        </is>
      </c>
      <c r="B1932" s="57" t="n">
        <v>65</v>
      </c>
      <c r="C1932" s="57" t="inlineStr">
        <is>
          <t>Date of harvest</t>
        </is>
      </c>
      <c r="D1932" s="57" t="inlineStr"/>
      <c r="E1932" s="57" t="inlineStr">
        <is>
          <t>2026-08-12</t>
        </is>
      </c>
      <c r="F1932" s="57" t="inlineStr">
        <is>
          <t>date_forced:SG Robinson first-harvest assays all dated 2026-08-12</t>
        </is>
      </c>
    </row>
    <row r="1933" ht="25" customHeight="1" s="55">
      <c r="A1933" s="57" t="inlineStr">
        <is>
          <t>RobinsonCenter</t>
        </is>
      </c>
      <c r="B1933" s="57" t="n">
        <v>66</v>
      </c>
      <c r="C1933" s="57" t="inlineStr">
        <is>
          <t>Genotypes</t>
        </is>
      </c>
      <c r="D1933" s="57" t="inlineStr"/>
      <c r="E1933" s="57" t="inlineStr">
        <is>
          <t>NC25208</t>
        </is>
      </c>
      <c r="F1933" s="57" t="inlineStr">
        <is>
          <t>moved_from_SN</t>
        </is>
      </c>
    </row>
    <row r="1934" ht="25" customHeight="1" s="55">
      <c r="A1934" s="57" t="inlineStr">
        <is>
          <t>RobinsonCenter</t>
        </is>
      </c>
      <c r="B1934" s="57" t="n">
        <v>66</v>
      </c>
      <c r="C1934" s="57" t="inlineStr">
        <is>
          <t>Location</t>
        </is>
      </c>
      <c r="D1934" s="57" t="inlineStr"/>
      <c r="E1934" s="57" t="inlineStr">
        <is>
          <t>Robinson</t>
        </is>
      </c>
      <c r="F1934" s="57" t="inlineStr">
        <is>
          <t>forced_from_sheet_name</t>
        </is>
      </c>
    </row>
    <row r="1935" ht="25" customHeight="1" s="55">
      <c r="A1935" s="57" t="inlineStr">
        <is>
          <t>RobinsonCenter</t>
        </is>
      </c>
      <c r="B1935" s="57" t="n">
        <v>66</v>
      </c>
      <c r="C1935" s="57" t="inlineStr">
        <is>
          <t>Harvest</t>
        </is>
      </c>
      <c r="D1935" s="57" t="inlineStr"/>
      <c r="E1935" s="57" t="inlineStr">
        <is>
          <t>First</t>
        </is>
      </c>
      <c r="F1935" s="57" t="inlineStr">
        <is>
          <t>forced_from_sheet_name</t>
        </is>
      </c>
    </row>
    <row r="1936" ht="25" customHeight="1" s="55">
      <c r="A1936" s="57" t="inlineStr">
        <is>
          <t>RobinsonCenter</t>
        </is>
      </c>
      <c r="B1936" s="57" t="n">
        <v>66</v>
      </c>
      <c r="C1936" s="57" t="inlineStr">
        <is>
          <t>Date of harvest</t>
        </is>
      </c>
      <c r="D1936" s="57" t="inlineStr"/>
      <c r="E1936" s="57" t="inlineStr">
        <is>
          <t>2026-08-12</t>
        </is>
      </c>
      <c r="F1936" s="57" t="inlineStr">
        <is>
          <t>date_forced:SG Robinson first-harvest assays all dated 2026-08-12</t>
        </is>
      </c>
    </row>
    <row r="1937" ht="25" customHeight="1" s="55">
      <c r="A1937" s="57" t="inlineStr">
        <is>
          <t>RobinsonCenter</t>
        </is>
      </c>
      <c r="B1937" s="57" t="n">
        <v>67</v>
      </c>
      <c r="C1937" s="57" t="inlineStr">
        <is>
          <t>Genotypes</t>
        </is>
      </c>
      <c r="D1937" s="57" t="inlineStr"/>
      <c r="E1937" s="57" t="inlineStr">
        <is>
          <t>NC25311G</t>
        </is>
      </c>
      <c r="F1937" s="57" t="inlineStr">
        <is>
          <t>moved_from_SN</t>
        </is>
      </c>
    </row>
    <row r="1938" ht="25" customHeight="1" s="55">
      <c r="A1938" s="57" t="inlineStr">
        <is>
          <t>RobinsonCenter</t>
        </is>
      </c>
      <c r="B1938" s="57" t="n">
        <v>67</v>
      </c>
      <c r="C1938" s="57" t="inlineStr">
        <is>
          <t>Location</t>
        </is>
      </c>
      <c r="D1938" s="57" t="inlineStr"/>
      <c r="E1938" s="57" t="inlineStr">
        <is>
          <t>Robinson</t>
        </is>
      </c>
      <c r="F1938" s="57" t="inlineStr">
        <is>
          <t>forced_from_sheet_name</t>
        </is>
      </c>
    </row>
    <row r="1939" ht="25" customHeight="1" s="55">
      <c r="A1939" s="57" t="inlineStr">
        <is>
          <t>RobinsonCenter</t>
        </is>
      </c>
      <c r="B1939" s="57" t="n">
        <v>67</v>
      </c>
      <c r="C1939" s="57" t="inlineStr">
        <is>
          <t>Harvest</t>
        </is>
      </c>
      <c r="D1939" s="57" t="inlineStr"/>
      <c r="E1939" s="57" t="inlineStr">
        <is>
          <t>First</t>
        </is>
      </c>
      <c r="F1939" s="57" t="inlineStr">
        <is>
          <t>forced_from_sheet_name</t>
        </is>
      </c>
    </row>
    <row r="1940" ht="25" customHeight="1" s="55">
      <c r="A1940" s="57" t="inlineStr">
        <is>
          <t>RobinsonCenter</t>
        </is>
      </c>
      <c r="B1940" s="57" t="n">
        <v>67</v>
      </c>
      <c r="C1940" s="57" t="inlineStr">
        <is>
          <t>Date of harvest</t>
        </is>
      </c>
      <c r="D1940" s="57" t="inlineStr"/>
      <c r="E1940" s="57" t="inlineStr">
        <is>
          <t>2026-08-12</t>
        </is>
      </c>
      <c r="F1940" s="57" t="inlineStr">
        <is>
          <t>date_forced:SG Robinson first-harvest assays all dated 2026-08-12</t>
        </is>
      </c>
    </row>
    <row r="1941" ht="25" customHeight="1" s="55">
      <c r="A1941" s="57" t="inlineStr">
        <is>
          <t>RobinsonCenter</t>
        </is>
      </c>
      <c r="B1941" s="57" t="n">
        <v>68</v>
      </c>
      <c r="C1941" s="57" t="inlineStr">
        <is>
          <t>Genotypes</t>
        </is>
      </c>
      <c r="D1941" s="57" t="inlineStr"/>
      <c r="E1941" s="57" t="inlineStr">
        <is>
          <t>NC25203</t>
        </is>
      </c>
      <c r="F1941" s="57" t="inlineStr">
        <is>
          <t>moved_from_SN</t>
        </is>
      </c>
    </row>
    <row r="1942" ht="25" customHeight="1" s="55">
      <c r="A1942" s="57" t="inlineStr">
        <is>
          <t>RobinsonCenter</t>
        </is>
      </c>
      <c r="B1942" s="57" t="n">
        <v>68</v>
      </c>
      <c r="C1942" s="57" t="inlineStr">
        <is>
          <t>Location</t>
        </is>
      </c>
      <c r="D1942" s="57" t="inlineStr"/>
      <c r="E1942" s="57" t="inlineStr">
        <is>
          <t>Robinson</t>
        </is>
      </c>
      <c r="F1942" s="57" t="inlineStr">
        <is>
          <t>forced_from_sheet_name</t>
        </is>
      </c>
    </row>
    <row r="1943" ht="25" customHeight="1" s="55">
      <c r="A1943" s="57" t="inlineStr">
        <is>
          <t>RobinsonCenter</t>
        </is>
      </c>
      <c r="B1943" s="57" t="n">
        <v>68</v>
      </c>
      <c r="C1943" s="57" t="inlineStr">
        <is>
          <t>Harvest</t>
        </is>
      </c>
      <c r="D1943" s="57" t="inlineStr"/>
      <c r="E1943" s="57" t="inlineStr">
        <is>
          <t>First</t>
        </is>
      </c>
      <c r="F1943" s="57" t="inlineStr">
        <is>
          <t>forced_from_sheet_name</t>
        </is>
      </c>
    </row>
    <row r="1944" ht="25" customHeight="1" s="55">
      <c r="A1944" s="57" t="inlineStr">
        <is>
          <t>RobinsonCenter</t>
        </is>
      </c>
      <c r="B1944" s="57" t="n">
        <v>68</v>
      </c>
      <c r="C1944" s="57" t="inlineStr">
        <is>
          <t>Date of harvest</t>
        </is>
      </c>
      <c r="D1944" s="57" t="inlineStr"/>
      <c r="E1944" s="57" t="inlineStr">
        <is>
          <t>2026-08-12</t>
        </is>
      </c>
      <c r="F1944" s="57" t="inlineStr">
        <is>
          <t>date_forced:SG Robinson first-harvest assays all dated 2026-08-12</t>
        </is>
      </c>
    </row>
    <row r="1945" ht="25" customHeight="1" s="55">
      <c r="A1945" s="57" t="inlineStr">
        <is>
          <t>RobinsonCenter</t>
        </is>
      </c>
      <c r="B1945" s="57" t="n">
        <v>69</v>
      </c>
      <c r="C1945" s="57" t="inlineStr">
        <is>
          <t>Genotypes</t>
        </is>
      </c>
      <c r="D1945" s="57" t="inlineStr"/>
      <c r="E1945" s="57" t="inlineStr">
        <is>
          <t>25218G</t>
        </is>
      </c>
      <c r="F1945" s="57" t="inlineStr">
        <is>
          <t>moved_from_SN</t>
        </is>
      </c>
    </row>
    <row r="1946" ht="25" customHeight="1" s="55">
      <c r="A1946" s="57" t="inlineStr">
        <is>
          <t>RobinsonCenter</t>
        </is>
      </c>
      <c r="B1946" s="57" t="n">
        <v>69</v>
      </c>
      <c r="C1946" s="57" t="inlineStr">
        <is>
          <t>Genotypes</t>
        </is>
      </c>
      <c r="D1946" s="57" t="inlineStr">
        <is>
          <t>25218G</t>
        </is>
      </c>
      <c r="E1946" s="57" t="inlineStr">
        <is>
          <t>NC25218G</t>
        </is>
      </c>
      <c r="F1946" s="57" t="inlineStr"/>
    </row>
    <row r="1947" ht="25" customHeight="1" s="55">
      <c r="A1947" s="57" t="inlineStr">
        <is>
          <t>RobinsonCenter</t>
        </is>
      </c>
      <c r="B1947" s="57" t="n">
        <v>69</v>
      </c>
      <c r="C1947" s="57" t="inlineStr">
        <is>
          <t>Location</t>
        </is>
      </c>
      <c r="D1947" s="57" t="inlineStr"/>
      <c r="E1947" s="57" t="inlineStr">
        <is>
          <t>Robinson</t>
        </is>
      </c>
      <c r="F1947" s="57" t="inlineStr">
        <is>
          <t>forced_from_sheet_name</t>
        </is>
      </c>
    </row>
    <row r="1948" ht="25" customHeight="1" s="55">
      <c r="A1948" s="57" t="inlineStr">
        <is>
          <t>RobinsonCenter</t>
        </is>
      </c>
      <c r="B1948" s="57" t="n">
        <v>69</v>
      </c>
      <c r="C1948" s="57" t="inlineStr">
        <is>
          <t>Harvest</t>
        </is>
      </c>
      <c r="D1948" s="57" t="inlineStr"/>
      <c r="E1948" s="57" t="inlineStr">
        <is>
          <t>First</t>
        </is>
      </c>
      <c r="F1948" s="57" t="inlineStr">
        <is>
          <t>forced_from_sheet_name</t>
        </is>
      </c>
    </row>
    <row r="1949" ht="25" customHeight="1" s="55">
      <c r="A1949" s="57" t="inlineStr">
        <is>
          <t>RobinsonCenter</t>
        </is>
      </c>
      <c r="B1949" s="57" t="n">
        <v>69</v>
      </c>
      <c r="C1949" s="57" t="inlineStr">
        <is>
          <t>Date of harvest</t>
        </is>
      </c>
      <c r="D1949" s="57" t="inlineStr"/>
      <c r="E1949" s="57" t="inlineStr">
        <is>
          <t>2026-08-12</t>
        </is>
      </c>
      <c r="F1949" s="57" t="inlineStr">
        <is>
          <t>date_forced:SG Robinson first-harvest assays all dated 2026-08-12</t>
        </is>
      </c>
    </row>
    <row r="1950" ht="25" customHeight="1" s="55">
      <c r="A1950" s="57" t="inlineStr">
        <is>
          <t>RobinsonCenter</t>
        </is>
      </c>
      <c r="B1950" s="57" t="n">
        <v>70</v>
      </c>
      <c r="C1950" s="57" t="inlineStr">
        <is>
          <t>Genotypes</t>
        </is>
      </c>
      <c r="D1950" s="57" t="inlineStr"/>
      <c r="E1950" s="57" t="inlineStr">
        <is>
          <t>MT GIRL</t>
        </is>
      </c>
      <c r="F1950" s="57" t="inlineStr">
        <is>
          <t>moved_from_SN</t>
        </is>
      </c>
    </row>
    <row r="1951" ht="25" customHeight="1" s="55">
      <c r="A1951" s="57" t="inlineStr">
        <is>
          <t>RobinsonCenter</t>
        </is>
      </c>
      <c r="B1951" s="57" t="n">
        <v>70</v>
      </c>
      <c r="C1951" s="57" t="inlineStr">
        <is>
          <t>Genotypes</t>
        </is>
      </c>
      <c r="D1951" s="57" t="inlineStr">
        <is>
          <t>MT GIRL</t>
        </is>
      </c>
      <c r="E1951" s="57" t="inlineStr">
        <is>
          <t>Mt. Girl</t>
        </is>
      </c>
      <c r="F1951" s="57" t="inlineStr"/>
    </row>
    <row r="1952" ht="25" customHeight="1" s="55">
      <c r="A1952" s="57" t="inlineStr">
        <is>
          <t>RobinsonCenter</t>
        </is>
      </c>
      <c r="B1952" s="57" t="n">
        <v>70</v>
      </c>
      <c r="C1952" s="57" t="inlineStr">
        <is>
          <t>Location</t>
        </is>
      </c>
      <c r="D1952" s="57" t="inlineStr"/>
      <c r="E1952" s="57" t="inlineStr">
        <is>
          <t>Robinson</t>
        </is>
      </c>
      <c r="F1952" s="57" t="inlineStr">
        <is>
          <t>forced_from_sheet_name</t>
        </is>
      </c>
    </row>
    <row r="1953" ht="25" customHeight="1" s="55">
      <c r="A1953" s="57" t="inlineStr">
        <is>
          <t>RobinsonCenter</t>
        </is>
      </c>
      <c r="B1953" s="57" t="n">
        <v>70</v>
      </c>
      <c r="C1953" s="57" t="inlineStr">
        <is>
          <t>Harvest</t>
        </is>
      </c>
      <c r="D1953" s="57" t="inlineStr"/>
      <c r="E1953" s="57" t="inlineStr">
        <is>
          <t>First</t>
        </is>
      </c>
      <c r="F1953" s="57" t="inlineStr">
        <is>
          <t>forced_from_sheet_name</t>
        </is>
      </c>
    </row>
    <row r="1954" ht="25" customHeight="1" s="55">
      <c r="A1954" s="57" t="inlineStr">
        <is>
          <t>RobinsonCenter</t>
        </is>
      </c>
      <c r="B1954" s="57" t="n">
        <v>70</v>
      </c>
      <c r="C1954" s="57" t="inlineStr">
        <is>
          <t>Date of harvest</t>
        </is>
      </c>
      <c r="D1954" s="57" t="inlineStr"/>
      <c r="E1954" s="57" t="inlineStr">
        <is>
          <t>2026-08-12</t>
        </is>
      </c>
      <c r="F1954" s="57" t="inlineStr">
        <is>
          <t>date_forced:SG Robinson first-harvest assays all dated 2026-08-12</t>
        </is>
      </c>
    </row>
    <row r="1955" ht="25" customHeight="1" s="55">
      <c r="A1955" s="57" t="inlineStr">
        <is>
          <t>RobinsonCenter</t>
        </is>
      </c>
      <c r="B1955" s="57" t="n">
        <v>71</v>
      </c>
      <c r="C1955" s="57" t="inlineStr">
        <is>
          <t>Genotypes</t>
        </is>
      </c>
      <c r="D1955" s="57" t="inlineStr"/>
      <c r="E1955" s="57" t="inlineStr">
        <is>
          <t>255G</t>
        </is>
      </c>
      <c r="F1955" s="57" t="inlineStr">
        <is>
          <t>moved_from_SN</t>
        </is>
      </c>
    </row>
    <row r="1956" ht="25" customHeight="1" s="55">
      <c r="A1956" s="57" t="inlineStr">
        <is>
          <t>RobinsonCenter</t>
        </is>
      </c>
      <c r="B1956" s="57" t="n">
        <v>71</v>
      </c>
      <c r="C1956" s="57" t="inlineStr">
        <is>
          <t>Genotypes</t>
        </is>
      </c>
      <c r="D1956" s="57" t="inlineStr">
        <is>
          <t>255G</t>
        </is>
      </c>
      <c r="E1956" s="57" t="inlineStr">
        <is>
          <t>NC255G</t>
        </is>
      </c>
      <c r="F1956" s="57" t="inlineStr"/>
    </row>
    <row r="1957" ht="25" customHeight="1" s="55">
      <c r="A1957" s="57" t="inlineStr">
        <is>
          <t>RobinsonCenter</t>
        </is>
      </c>
      <c r="B1957" s="57" t="n">
        <v>71</v>
      </c>
      <c r="C1957" s="57" t="inlineStr">
        <is>
          <t>Location</t>
        </is>
      </c>
      <c r="D1957" s="57" t="inlineStr"/>
      <c r="E1957" s="57" t="inlineStr">
        <is>
          <t>Robinson</t>
        </is>
      </c>
      <c r="F1957" s="57" t="inlineStr">
        <is>
          <t>forced_from_sheet_name</t>
        </is>
      </c>
    </row>
    <row r="1958" ht="25" customHeight="1" s="55">
      <c r="A1958" s="57" t="inlineStr">
        <is>
          <t>RobinsonCenter</t>
        </is>
      </c>
      <c r="B1958" s="57" t="n">
        <v>71</v>
      </c>
      <c r="C1958" s="57" t="inlineStr">
        <is>
          <t>Harvest</t>
        </is>
      </c>
      <c r="D1958" s="57" t="inlineStr"/>
      <c r="E1958" s="57" t="inlineStr">
        <is>
          <t>First</t>
        </is>
      </c>
      <c r="F1958" s="57" t="inlineStr">
        <is>
          <t>forced_from_sheet_name</t>
        </is>
      </c>
    </row>
    <row r="1959" ht="25" customHeight="1" s="55">
      <c r="A1959" s="57" t="inlineStr">
        <is>
          <t>RobinsonCenter</t>
        </is>
      </c>
      <c r="B1959" s="57" t="n">
        <v>71</v>
      </c>
      <c r="C1959" s="57" t="inlineStr">
        <is>
          <t>Date of harvest</t>
        </is>
      </c>
      <c r="D1959" s="57" t="inlineStr"/>
      <c r="E1959" s="57" t="inlineStr">
        <is>
          <t>2026-08-12</t>
        </is>
      </c>
      <c r="F1959" s="57" t="inlineStr">
        <is>
          <t>date_forced:SG Robinson first-harvest assays all dated 2026-08-12</t>
        </is>
      </c>
    </row>
    <row r="1960" ht="25" customHeight="1" s="55">
      <c r="A1960" s="57" t="inlineStr">
        <is>
          <t>RobinsonCenter</t>
        </is>
      </c>
      <c r="B1960" s="57" t="n">
        <v>72</v>
      </c>
      <c r="C1960" s="57" t="inlineStr">
        <is>
          <t>Genotypes</t>
        </is>
      </c>
      <c r="D1960" s="57" t="inlineStr"/>
      <c r="E1960" s="57" t="inlineStr">
        <is>
          <t xml:space="preserve">MOUNTAIN HERITAGE </t>
        </is>
      </c>
      <c r="F1960" s="57" t="inlineStr">
        <is>
          <t>moved_from_SN</t>
        </is>
      </c>
    </row>
    <row r="1961" ht="25" customHeight="1" s="55">
      <c r="A1961" s="57" t="inlineStr">
        <is>
          <t>RobinsonCenter</t>
        </is>
      </c>
      <c r="B1961" s="57" t="n">
        <v>72</v>
      </c>
      <c r="C1961" s="57" t="inlineStr">
        <is>
          <t>Genotypes</t>
        </is>
      </c>
      <c r="D1961" s="57" t="inlineStr">
        <is>
          <t xml:space="preserve">MOUNTAIN HERITAGE </t>
        </is>
      </c>
      <c r="E1961" s="57" t="inlineStr">
        <is>
          <t>Mt. Heritage</t>
        </is>
      </c>
      <c r="F1961" s="57" t="inlineStr"/>
    </row>
    <row r="1962" ht="25" customHeight="1" s="55">
      <c r="A1962" s="57" t="inlineStr">
        <is>
          <t>RobinsonCenter</t>
        </is>
      </c>
      <c r="B1962" s="57" t="n">
        <v>72</v>
      </c>
      <c r="C1962" s="57" t="inlineStr">
        <is>
          <t>Location</t>
        </is>
      </c>
      <c r="D1962" s="57" t="inlineStr"/>
      <c r="E1962" s="57" t="inlineStr">
        <is>
          <t>Robinson</t>
        </is>
      </c>
      <c r="F1962" s="57" t="inlineStr">
        <is>
          <t>forced_from_sheet_name</t>
        </is>
      </c>
    </row>
    <row r="1963" ht="25" customHeight="1" s="55">
      <c r="A1963" s="57" t="inlineStr">
        <is>
          <t>RobinsonCenter</t>
        </is>
      </c>
      <c r="B1963" s="57" t="n">
        <v>72</v>
      </c>
      <c r="C1963" s="57" t="inlineStr">
        <is>
          <t>Harvest</t>
        </is>
      </c>
      <c r="D1963" s="57" t="inlineStr"/>
      <c r="E1963" s="57" t="inlineStr">
        <is>
          <t>First</t>
        </is>
      </c>
      <c r="F1963" s="57" t="inlineStr">
        <is>
          <t>forced_from_sheet_name</t>
        </is>
      </c>
    </row>
    <row r="1964" ht="25" customHeight="1" s="55">
      <c r="A1964" s="57" t="inlineStr">
        <is>
          <t>RobinsonCenter</t>
        </is>
      </c>
      <c r="B1964" s="57" t="n">
        <v>72</v>
      </c>
      <c r="C1964" s="57" t="inlineStr">
        <is>
          <t>Date of harvest</t>
        </is>
      </c>
      <c r="D1964" s="57" t="inlineStr"/>
      <c r="E1964" s="57" t="inlineStr">
        <is>
          <t>2026-08-12</t>
        </is>
      </c>
      <c r="F1964" s="57" t="inlineStr">
        <is>
          <t>date_forced:SG Robinson first-harvest assays all dated 2026-08-12</t>
        </is>
      </c>
    </row>
    <row r="1965" ht="25" customHeight="1" s="55">
      <c r="A1965" s="57" t="inlineStr">
        <is>
          <t>RobinsonCenter</t>
        </is>
      </c>
      <c r="B1965" s="57" t="n">
        <v>73</v>
      </c>
      <c r="C1965" s="57" t="inlineStr">
        <is>
          <t>Genotypes</t>
        </is>
      </c>
      <c r="D1965" s="57" t="inlineStr"/>
      <c r="E1965" s="57" t="inlineStr">
        <is>
          <t>MOUNTAIN GEM</t>
        </is>
      </c>
      <c r="F1965" s="57" t="inlineStr">
        <is>
          <t>moved_from_SN</t>
        </is>
      </c>
    </row>
    <row r="1966" ht="25" customHeight="1" s="55">
      <c r="A1966" s="57" t="inlineStr">
        <is>
          <t>RobinsonCenter</t>
        </is>
      </c>
      <c r="B1966" s="57" t="n">
        <v>73</v>
      </c>
      <c r="C1966" s="57" t="inlineStr">
        <is>
          <t>Genotypes</t>
        </is>
      </c>
      <c r="D1966" s="57" t="inlineStr">
        <is>
          <t>MOUNTAIN GEM</t>
        </is>
      </c>
      <c r="E1966" s="57" t="inlineStr">
        <is>
          <t>Mt. Gem</t>
        </is>
      </c>
      <c r="F1966" s="57" t="inlineStr"/>
    </row>
    <row r="1967" ht="25" customHeight="1" s="55">
      <c r="A1967" s="57" t="inlineStr">
        <is>
          <t>RobinsonCenter</t>
        </is>
      </c>
      <c r="B1967" s="57" t="n">
        <v>73</v>
      </c>
      <c r="C1967" s="57" t="inlineStr">
        <is>
          <t>Location</t>
        </is>
      </c>
      <c r="D1967" s="57" t="inlineStr"/>
      <c r="E1967" s="57" t="inlineStr">
        <is>
          <t>Robinson</t>
        </is>
      </c>
      <c r="F1967" s="57" t="inlineStr">
        <is>
          <t>forced_from_sheet_name</t>
        </is>
      </c>
    </row>
    <row r="1968" ht="25" customHeight="1" s="55">
      <c r="A1968" s="57" t="inlineStr">
        <is>
          <t>RobinsonCenter</t>
        </is>
      </c>
      <c r="B1968" s="57" t="n">
        <v>73</v>
      </c>
      <c r="C1968" s="57" t="inlineStr">
        <is>
          <t>Harvest</t>
        </is>
      </c>
      <c r="D1968" s="57" t="inlineStr"/>
      <c r="E1968" s="57" t="inlineStr">
        <is>
          <t>First</t>
        </is>
      </c>
      <c r="F1968" s="57" t="inlineStr">
        <is>
          <t>forced_from_sheet_name</t>
        </is>
      </c>
    </row>
    <row r="1969" ht="25" customHeight="1" s="55">
      <c r="A1969" s="57" t="inlineStr">
        <is>
          <t>RobinsonCenter</t>
        </is>
      </c>
      <c r="B1969" s="57" t="n">
        <v>73</v>
      </c>
      <c r="C1969" s="57" t="inlineStr">
        <is>
          <t>Date of harvest</t>
        </is>
      </c>
      <c r="D1969" s="57" t="inlineStr"/>
      <c r="E1969" s="57" t="inlineStr">
        <is>
          <t>2026-08-12</t>
        </is>
      </c>
      <c r="F1969" s="57" t="inlineStr">
        <is>
          <t>date_forced:SG Robinson first-harvest assays all dated 2026-08-12</t>
        </is>
      </c>
    </row>
    <row r="1970" ht="25" customHeight="1" s="55">
      <c r="A1970" s="57" t="inlineStr">
        <is>
          <t>RobinsonCenter</t>
        </is>
      </c>
      <c r="B1970" s="57" t="n">
        <v>74</v>
      </c>
      <c r="C1970" s="57" t="inlineStr">
        <is>
          <t>Genotypes</t>
        </is>
      </c>
      <c r="D1970" s="57" t="inlineStr"/>
      <c r="E1970" s="57" t="inlineStr">
        <is>
          <t>NC25317G</t>
        </is>
      </c>
      <c r="F1970" s="57" t="inlineStr">
        <is>
          <t>moved_from_SN</t>
        </is>
      </c>
    </row>
    <row r="1971" ht="25" customHeight="1" s="55">
      <c r="A1971" s="57" t="inlineStr">
        <is>
          <t>RobinsonCenter</t>
        </is>
      </c>
      <c r="B1971" s="57" t="n">
        <v>74</v>
      </c>
      <c r="C1971" s="57" t="inlineStr">
        <is>
          <t>Location</t>
        </is>
      </c>
      <c r="D1971" s="57" t="inlineStr"/>
      <c r="E1971" s="57" t="inlineStr">
        <is>
          <t>Robinson</t>
        </is>
      </c>
      <c r="F1971" s="57" t="inlineStr">
        <is>
          <t>forced_from_sheet_name</t>
        </is>
      </c>
    </row>
    <row r="1972" ht="25" customHeight="1" s="55">
      <c r="A1972" s="57" t="inlineStr">
        <is>
          <t>RobinsonCenter</t>
        </is>
      </c>
      <c r="B1972" s="57" t="n">
        <v>74</v>
      </c>
      <c r="C1972" s="57" t="inlineStr">
        <is>
          <t>Harvest</t>
        </is>
      </c>
      <c r="D1972" s="57" t="inlineStr"/>
      <c r="E1972" s="57" t="inlineStr">
        <is>
          <t>First</t>
        </is>
      </c>
      <c r="F1972" s="57" t="inlineStr">
        <is>
          <t>forced_from_sheet_name</t>
        </is>
      </c>
    </row>
    <row r="1973" ht="25" customHeight="1" s="55">
      <c r="A1973" s="57" t="inlineStr">
        <is>
          <t>RobinsonCenter</t>
        </is>
      </c>
      <c r="B1973" s="57" t="n">
        <v>74</v>
      </c>
      <c r="C1973" s="57" t="inlineStr">
        <is>
          <t>Date of harvest</t>
        </is>
      </c>
      <c r="D1973" s="57" t="inlineStr"/>
      <c r="E1973" s="57" t="inlineStr">
        <is>
          <t>2026-08-12</t>
        </is>
      </c>
      <c r="F1973" s="57" t="inlineStr">
        <is>
          <t>date_forced:SG Robinson first-harvest assays all dated 2026-08-12</t>
        </is>
      </c>
    </row>
    <row r="1974" ht="25" customHeight="1" s="55">
      <c r="A1974" s="57" t="inlineStr">
        <is>
          <t>RobinsonCenter</t>
        </is>
      </c>
      <c r="B1974" s="57" t="n">
        <v>75</v>
      </c>
      <c r="C1974" s="57" t="inlineStr">
        <is>
          <t>Genotypes</t>
        </is>
      </c>
      <c r="D1974" s="57" t="inlineStr"/>
      <c r="E1974" s="57" t="inlineStr">
        <is>
          <t>261G</t>
        </is>
      </c>
      <c r="F1974" s="57" t="inlineStr">
        <is>
          <t>moved_from_SN</t>
        </is>
      </c>
    </row>
    <row r="1975" ht="25" customHeight="1" s="55">
      <c r="A1975" s="57" t="inlineStr">
        <is>
          <t>RobinsonCenter</t>
        </is>
      </c>
      <c r="B1975" s="57" t="n">
        <v>75</v>
      </c>
      <c r="C1975" s="57" t="inlineStr">
        <is>
          <t>Genotypes</t>
        </is>
      </c>
      <c r="D1975" s="57" t="inlineStr">
        <is>
          <t>261G</t>
        </is>
      </c>
      <c r="E1975" s="57" t="inlineStr">
        <is>
          <t>NC261G</t>
        </is>
      </c>
      <c r="F1975" s="57" t="inlineStr"/>
    </row>
    <row r="1976" ht="25" customHeight="1" s="55">
      <c r="A1976" s="57" t="inlineStr">
        <is>
          <t>RobinsonCenter</t>
        </is>
      </c>
      <c r="B1976" s="57" t="n">
        <v>75</v>
      </c>
      <c r="C1976" s="57" t="inlineStr">
        <is>
          <t>Location</t>
        </is>
      </c>
      <c r="D1976" s="57" t="inlineStr"/>
      <c r="E1976" s="57" t="inlineStr">
        <is>
          <t>Robinson</t>
        </is>
      </c>
      <c r="F1976" s="57" t="inlineStr">
        <is>
          <t>forced_from_sheet_name</t>
        </is>
      </c>
    </row>
    <row r="1977" ht="25" customHeight="1" s="55">
      <c r="A1977" s="57" t="inlineStr">
        <is>
          <t>RobinsonCenter</t>
        </is>
      </c>
      <c r="B1977" s="57" t="n">
        <v>75</v>
      </c>
      <c r="C1977" s="57" t="inlineStr">
        <is>
          <t>Harvest</t>
        </is>
      </c>
      <c r="D1977" s="57" t="inlineStr"/>
      <c r="E1977" s="57" t="inlineStr">
        <is>
          <t>First</t>
        </is>
      </c>
      <c r="F1977" s="57" t="inlineStr">
        <is>
          <t>forced_from_sheet_name</t>
        </is>
      </c>
    </row>
    <row r="1978" ht="25" customHeight="1" s="55">
      <c r="A1978" s="57" t="inlineStr">
        <is>
          <t>RobinsonCenter</t>
        </is>
      </c>
      <c r="B1978" s="57" t="n">
        <v>75</v>
      </c>
      <c r="C1978" s="57" t="inlineStr">
        <is>
          <t>Date of harvest</t>
        </is>
      </c>
      <c r="D1978" s="57" t="inlineStr"/>
      <c r="E1978" s="57" t="inlineStr">
        <is>
          <t>2026-08-12</t>
        </is>
      </c>
      <c r="F1978" s="57" t="inlineStr">
        <is>
          <t>date_forced:SG Robinson first-harvest assays all dated 2026-08-12</t>
        </is>
      </c>
    </row>
    <row r="1979" ht="25" customHeight="1" s="55">
      <c r="A1979" s="57" t="inlineStr">
        <is>
          <t>RobinsonCenter</t>
        </is>
      </c>
      <c r="B1979" s="57" t="n">
        <v>76</v>
      </c>
      <c r="C1979" s="57" t="inlineStr">
        <is>
          <t>Genotypes</t>
        </is>
      </c>
      <c r="D1979" s="57" t="inlineStr"/>
      <c r="E1979" s="57" t="inlineStr">
        <is>
          <t>25306G</t>
        </is>
      </c>
      <c r="F1979" s="57" t="inlineStr">
        <is>
          <t>moved_from_SN</t>
        </is>
      </c>
    </row>
    <row r="1980" ht="25" customHeight="1" s="55">
      <c r="A1980" s="57" t="inlineStr">
        <is>
          <t>RobinsonCenter</t>
        </is>
      </c>
      <c r="B1980" s="57" t="n">
        <v>76</v>
      </c>
      <c r="C1980" s="57" t="inlineStr">
        <is>
          <t>Genotypes</t>
        </is>
      </c>
      <c r="D1980" s="57" t="inlineStr">
        <is>
          <t>25306G</t>
        </is>
      </c>
      <c r="E1980" s="57" t="inlineStr">
        <is>
          <t>NC25306G</t>
        </is>
      </c>
      <c r="F1980" s="57" t="inlineStr"/>
    </row>
    <row r="1981" ht="25" customHeight="1" s="55">
      <c r="A1981" s="57" t="inlineStr">
        <is>
          <t>RobinsonCenter</t>
        </is>
      </c>
      <c r="B1981" s="57" t="n">
        <v>76</v>
      </c>
      <c r="C1981" s="57" t="inlineStr">
        <is>
          <t>Location</t>
        </is>
      </c>
      <c r="D1981" s="57" t="inlineStr"/>
      <c r="E1981" s="57" t="inlineStr">
        <is>
          <t>Robinson</t>
        </is>
      </c>
      <c r="F1981" s="57" t="inlineStr">
        <is>
          <t>forced_from_sheet_name</t>
        </is>
      </c>
    </row>
    <row r="1982" ht="25" customHeight="1" s="55">
      <c r="A1982" s="57" t="inlineStr">
        <is>
          <t>RobinsonCenter</t>
        </is>
      </c>
      <c r="B1982" s="57" t="n">
        <v>76</v>
      </c>
      <c r="C1982" s="57" t="inlineStr">
        <is>
          <t>Harvest</t>
        </is>
      </c>
      <c r="D1982" s="57" t="inlineStr"/>
      <c r="E1982" s="57" t="inlineStr">
        <is>
          <t>First</t>
        </is>
      </c>
      <c r="F1982" s="57" t="inlineStr">
        <is>
          <t>forced_from_sheet_name</t>
        </is>
      </c>
    </row>
    <row r="1983" ht="25" customHeight="1" s="55">
      <c r="A1983" s="57" t="inlineStr">
        <is>
          <t>RobinsonCenter</t>
        </is>
      </c>
      <c r="B1983" s="57" t="n">
        <v>76</v>
      </c>
      <c r="C1983" s="57" t="inlineStr">
        <is>
          <t>Date of harvest</t>
        </is>
      </c>
      <c r="D1983" s="57" t="inlineStr"/>
      <c r="E1983" s="57" t="inlineStr">
        <is>
          <t>2026-08-12</t>
        </is>
      </c>
      <c r="F1983" s="57" t="inlineStr">
        <is>
          <t>date_forced:SG Robinson first-harvest assays all dated 2026-08-12</t>
        </is>
      </c>
    </row>
    <row r="1984" ht="25" customHeight="1" s="55">
      <c r="A1984" s="57" t="inlineStr">
        <is>
          <t>RobinsonCenter</t>
        </is>
      </c>
      <c r="B1984" s="57" t="n">
        <v>77</v>
      </c>
      <c r="C1984" s="57" t="inlineStr">
        <is>
          <t>Genotypes</t>
        </is>
      </c>
      <c r="D1984" s="57" t="inlineStr"/>
      <c r="E1984" s="57" t="inlineStr">
        <is>
          <t>263G</t>
        </is>
      </c>
      <c r="F1984" s="57" t="inlineStr">
        <is>
          <t>moved_from_SN</t>
        </is>
      </c>
    </row>
    <row r="1985" ht="25" customHeight="1" s="55">
      <c r="A1985" s="57" t="inlineStr">
        <is>
          <t>RobinsonCenter</t>
        </is>
      </c>
      <c r="B1985" s="57" t="n">
        <v>77</v>
      </c>
      <c r="C1985" s="57" t="inlineStr">
        <is>
          <t>Genotypes</t>
        </is>
      </c>
      <c r="D1985" s="57" t="inlineStr">
        <is>
          <t>263G</t>
        </is>
      </c>
      <c r="E1985" s="57" t="inlineStr">
        <is>
          <t>NC263G</t>
        </is>
      </c>
      <c r="F1985" s="57" t="inlineStr"/>
    </row>
    <row r="1986" ht="25" customHeight="1" s="55">
      <c r="A1986" s="57" t="inlineStr">
        <is>
          <t>RobinsonCenter</t>
        </is>
      </c>
      <c r="B1986" s="57" t="n">
        <v>77</v>
      </c>
      <c r="C1986" s="57" t="inlineStr">
        <is>
          <t>Location</t>
        </is>
      </c>
      <c r="D1986" s="57" t="inlineStr"/>
      <c r="E1986" s="57" t="inlineStr">
        <is>
          <t>Robinson</t>
        </is>
      </c>
      <c r="F1986" s="57" t="inlineStr">
        <is>
          <t>forced_from_sheet_name</t>
        </is>
      </c>
    </row>
    <row r="1987" ht="25" customHeight="1" s="55">
      <c r="A1987" s="57" t="inlineStr">
        <is>
          <t>RobinsonCenter</t>
        </is>
      </c>
      <c r="B1987" s="57" t="n">
        <v>77</v>
      </c>
      <c r="C1987" s="57" t="inlineStr">
        <is>
          <t>Harvest</t>
        </is>
      </c>
      <c r="D1987" s="57" t="inlineStr"/>
      <c r="E1987" s="57" t="inlineStr">
        <is>
          <t>First</t>
        </is>
      </c>
      <c r="F1987" s="57" t="inlineStr">
        <is>
          <t>forced_from_sheet_name</t>
        </is>
      </c>
    </row>
    <row r="1988" ht="25" customHeight="1" s="55">
      <c r="A1988" s="57" t="inlineStr">
        <is>
          <t>RobinsonCenter</t>
        </is>
      </c>
      <c r="B1988" s="57" t="n">
        <v>77</v>
      </c>
      <c r="C1988" s="57" t="inlineStr">
        <is>
          <t>Date of harvest</t>
        </is>
      </c>
      <c r="D1988" s="57" t="inlineStr"/>
      <c r="E1988" s="57" t="inlineStr">
        <is>
          <t>2026-08-12</t>
        </is>
      </c>
      <c r="F1988" s="57" t="inlineStr">
        <is>
          <t>date_forced:SG Robinson first-harvest assays all dated 2026-08-12</t>
        </is>
      </c>
    </row>
    <row r="1989" ht="25" customHeight="1" s="55">
      <c r="A1989" s="57" t="inlineStr">
        <is>
          <t>RobinsonCenter</t>
        </is>
      </c>
      <c r="B1989" s="57" t="n">
        <v>78</v>
      </c>
      <c r="C1989" s="57" t="inlineStr">
        <is>
          <t>Genotypes</t>
        </is>
      </c>
      <c r="D1989" s="57" t="inlineStr"/>
      <c r="E1989" s="57" t="inlineStr">
        <is>
          <t>264G</t>
        </is>
      </c>
      <c r="F1989" s="57" t="inlineStr">
        <is>
          <t>moved_from_SN</t>
        </is>
      </c>
    </row>
    <row r="1990" ht="25" customHeight="1" s="55">
      <c r="A1990" s="57" t="inlineStr">
        <is>
          <t>RobinsonCenter</t>
        </is>
      </c>
      <c r="B1990" s="57" t="n">
        <v>78</v>
      </c>
      <c r="C1990" s="57" t="inlineStr">
        <is>
          <t>Genotypes</t>
        </is>
      </c>
      <c r="D1990" s="57" t="inlineStr">
        <is>
          <t>264G</t>
        </is>
      </c>
      <c r="E1990" s="57" t="inlineStr">
        <is>
          <t>NC264G</t>
        </is>
      </c>
      <c r="F1990" s="57" t="inlineStr"/>
    </row>
    <row r="1991" ht="25" customHeight="1" s="55">
      <c r="A1991" s="57" t="inlineStr">
        <is>
          <t>RobinsonCenter</t>
        </is>
      </c>
      <c r="B1991" s="57" t="n">
        <v>78</v>
      </c>
      <c r="C1991" s="57" t="inlineStr">
        <is>
          <t>Location</t>
        </is>
      </c>
      <c r="D1991" s="57" t="inlineStr"/>
      <c r="E1991" s="57" t="inlineStr">
        <is>
          <t>Robinson</t>
        </is>
      </c>
      <c r="F1991" s="57" t="inlineStr">
        <is>
          <t>forced_from_sheet_name</t>
        </is>
      </c>
    </row>
    <row r="1992" ht="25" customHeight="1" s="55">
      <c r="A1992" s="57" t="inlineStr">
        <is>
          <t>RobinsonCenter</t>
        </is>
      </c>
      <c r="B1992" s="57" t="n">
        <v>78</v>
      </c>
      <c r="C1992" s="57" t="inlineStr">
        <is>
          <t>Harvest</t>
        </is>
      </c>
      <c r="D1992" s="57" t="inlineStr"/>
      <c r="E1992" s="57" t="inlineStr">
        <is>
          <t>First</t>
        </is>
      </c>
      <c r="F1992" s="57" t="inlineStr">
        <is>
          <t>forced_from_sheet_name</t>
        </is>
      </c>
    </row>
    <row r="1993" ht="25" customHeight="1" s="55">
      <c r="A1993" s="57" t="inlineStr">
        <is>
          <t>RobinsonCenter</t>
        </is>
      </c>
      <c r="B1993" s="57" t="n">
        <v>78</v>
      </c>
      <c r="C1993" s="57" t="inlineStr">
        <is>
          <t>Date of harvest</t>
        </is>
      </c>
      <c r="D1993" s="57" t="inlineStr"/>
      <c r="E1993" s="57" t="inlineStr">
        <is>
          <t>2026-08-12</t>
        </is>
      </c>
      <c r="F1993" s="57" t="inlineStr">
        <is>
          <t>date_forced:SG Robinson first-harvest assays all dated 2026-08-12</t>
        </is>
      </c>
    </row>
    <row r="1994" ht="25" customHeight="1" s="55">
      <c r="A1994" s="57" t="inlineStr">
        <is>
          <t>RobinsonCenter</t>
        </is>
      </c>
      <c r="B1994" s="57" t="n">
        <v>79</v>
      </c>
      <c r="C1994" s="57" t="inlineStr">
        <is>
          <t>Genotypes</t>
        </is>
      </c>
      <c r="D1994" s="57" t="inlineStr"/>
      <c r="E1994" s="57" t="inlineStr">
        <is>
          <t>262G</t>
        </is>
      </c>
      <c r="F1994" s="57" t="inlineStr">
        <is>
          <t>moved_from_SN</t>
        </is>
      </c>
    </row>
    <row r="1995" ht="25" customHeight="1" s="55">
      <c r="A1995" s="57" t="inlineStr">
        <is>
          <t>RobinsonCenter</t>
        </is>
      </c>
      <c r="B1995" s="57" t="n">
        <v>79</v>
      </c>
      <c r="C1995" s="57" t="inlineStr">
        <is>
          <t>Genotypes</t>
        </is>
      </c>
      <c r="D1995" s="57" t="inlineStr">
        <is>
          <t>262G</t>
        </is>
      </c>
      <c r="E1995" s="57" t="inlineStr">
        <is>
          <t>NC262G</t>
        </is>
      </c>
      <c r="F1995" s="57" t="inlineStr"/>
    </row>
    <row r="1996" ht="25" customHeight="1" s="55">
      <c r="A1996" s="57" t="inlineStr">
        <is>
          <t>RobinsonCenter</t>
        </is>
      </c>
      <c r="B1996" s="57" t="n">
        <v>79</v>
      </c>
      <c r="C1996" s="57" t="inlineStr">
        <is>
          <t>Location</t>
        </is>
      </c>
      <c r="D1996" s="57" t="inlineStr"/>
      <c r="E1996" s="57" t="inlineStr">
        <is>
          <t>Robinson</t>
        </is>
      </c>
      <c r="F1996" s="57" t="inlineStr">
        <is>
          <t>forced_from_sheet_name</t>
        </is>
      </c>
    </row>
    <row r="1997" ht="25" customHeight="1" s="55">
      <c r="A1997" s="57" t="inlineStr">
        <is>
          <t>RobinsonCenter</t>
        </is>
      </c>
      <c r="B1997" s="57" t="n">
        <v>79</v>
      </c>
      <c r="C1997" s="57" t="inlineStr">
        <is>
          <t>Harvest</t>
        </is>
      </c>
      <c r="D1997" s="57" t="inlineStr"/>
      <c r="E1997" s="57" t="inlineStr">
        <is>
          <t>First</t>
        </is>
      </c>
      <c r="F1997" s="57" t="inlineStr">
        <is>
          <t>forced_from_sheet_name</t>
        </is>
      </c>
    </row>
    <row r="1998" ht="25" customHeight="1" s="55">
      <c r="A1998" s="57" t="inlineStr">
        <is>
          <t>RobinsonCenter</t>
        </is>
      </c>
      <c r="B1998" s="57" t="n">
        <v>79</v>
      </c>
      <c r="C1998" s="57" t="inlineStr">
        <is>
          <t>Date of harvest</t>
        </is>
      </c>
      <c r="D1998" s="57" t="inlineStr"/>
      <c r="E1998" s="57" t="inlineStr">
        <is>
          <t>2026-08-12</t>
        </is>
      </c>
      <c r="F1998" s="57" t="inlineStr">
        <is>
          <t>date_forced:SG Robinson first-harvest assays all dated 2026-08-12</t>
        </is>
      </c>
    </row>
    <row r="1999" ht="25" customHeight="1" s="55">
      <c r="A1999" s="57" t="inlineStr">
        <is>
          <t>RobinsonCenter</t>
        </is>
      </c>
      <c r="B1999" s="57" t="n">
        <v>80</v>
      </c>
      <c r="C1999" s="57" t="inlineStr">
        <is>
          <t>Genotypes</t>
        </is>
      </c>
      <c r="D1999" s="57" t="inlineStr"/>
      <c r="E1999" s="57" t="inlineStr">
        <is>
          <t>NC23706G</t>
        </is>
      </c>
      <c r="F1999" s="57" t="inlineStr">
        <is>
          <t>moved_from_SN</t>
        </is>
      </c>
    </row>
    <row r="2000" ht="25" customHeight="1" s="55">
      <c r="A2000" s="57" t="inlineStr">
        <is>
          <t>RobinsonCenter</t>
        </is>
      </c>
      <c r="B2000" s="57" t="n">
        <v>80</v>
      </c>
      <c r="C2000" s="57" t="inlineStr">
        <is>
          <t>Location</t>
        </is>
      </c>
      <c r="D2000" s="57" t="inlineStr"/>
      <c r="E2000" s="57" t="inlineStr">
        <is>
          <t>Robinson</t>
        </is>
      </c>
      <c r="F2000" s="57" t="inlineStr">
        <is>
          <t>forced_from_sheet_name</t>
        </is>
      </c>
    </row>
    <row r="2001" ht="25" customHeight="1" s="55">
      <c r="A2001" s="57" t="inlineStr">
        <is>
          <t>RobinsonCenter</t>
        </is>
      </c>
      <c r="B2001" s="57" t="n">
        <v>80</v>
      </c>
      <c r="C2001" s="57" t="inlineStr">
        <is>
          <t>Harvest</t>
        </is>
      </c>
      <c r="D2001" s="57" t="inlineStr"/>
      <c r="E2001" s="57" t="inlineStr">
        <is>
          <t>First</t>
        </is>
      </c>
      <c r="F2001" s="57" t="inlineStr">
        <is>
          <t>forced_from_sheet_name</t>
        </is>
      </c>
    </row>
    <row r="2002" ht="25" customHeight="1" s="55">
      <c r="A2002" s="57" t="inlineStr">
        <is>
          <t>RobinsonCenter</t>
        </is>
      </c>
      <c r="B2002" s="57" t="n">
        <v>80</v>
      </c>
      <c r="C2002" s="57" t="inlineStr">
        <is>
          <t>Date of harvest</t>
        </is>
      </c>
      <c r="D2002" s="57" t="inlineStr"/>
      <c r="E2002" s="57" t="inlineStr">
        <is>
          <t>2026-08-12</t>
        </is>
      </c>
      <c r="F2002" s="57" t="inlineStr">
        <is>
          <t>date_forced:SG Robinson first-harvest assays all dated 2026-08-12</t>
        </is>
      </c>
    </row>
    <row r="2003" ht="25" customHeight="1" s="55">
      <c r="A2003" s="57" t="inlineStr">
        <is>
          <t>RobinsonCenter</t>
        </is>
      </c>
      <c r="B2003" s="57" t="n">
        <v>81</v>
      </c>
      <c r="C2003" s="57" t="inlineStr">
        <is>
          <t>Genotypes</t>
        </is>
      </c>
      <c r="D2003" s="57" t="inlineStr"/>
      <c r="E2003" s="57" t="inlineStr">
        <is>
          <t>25315G</t>
        </is>
      </c>
      <c r="F2003" s="57" t="inlineStr">
        <is>
          <t>moved_from_SN</t>
        </is>
      </c>
    </row>
    <row r="2004" ht="25" customHeight="1" s="55">
      <c r="A2004" s="57" t="inlineStr">
        <is>
          <t>RobinsonCenter</t>
        </is>
      </c>
      <c r="B2004" s="57" t="n">
        <v>81</v>
      </c>
      <c r="C2004" s="57" t="inlineStr">
        <is>
          <t>Genotypes</t>
        </is>
      </c>
      <c r="D2004" s="57" t="inlineStr">
        <is>
          <t>25315G</t>
        </is>
      </c>
      <c r="E2004" s="57" t="inlineStr">
        <is>
          <t>NC25315G</t>
        </is>
      </c>
      <c r="F2004" s="57" t="inlineStr"/>
    </row>
    <row r="2005" ht="25" customHeight="1" s="55">
      <c r="A2005" s="57" t="inlineStr">
        <is>
          <t>RobinsonCenter</t>
        </is>
      </c>
      <c r="B2005" s="57" t="n">
        <v>81</v>
      </c>
      <c r="C2005" s="57" t="inlineStr">
        <is>
          <t>Location</t>
        </is>
      </c>
      <c r="D2005" s="57" t="inlineStr"/>
      <c r="E2005" s="57" t="inlineStr">
        <is>
          <t>Robinson</t>
        </is>
      </c>
      <c r="F2005" s="57" t="inlineStr">
        <is>
          <t>forced_from_sheet_name</t>
        </is>
      </c>
    </row>
    <row r="2006" ht="25" customHeight="1" s="55">
      <c r="A2006" s="57" t="inlineStr">
        <is>
          <t>RobinsonCenter</t>
        </is>
      </c>
      <c r="B2006" s="57" t="n">
        <v>81</v>
      </c>
      <c r="C2006" s="57" t="inlineStr">
        <is>
          <t>Harvest</t>
        </is>
      </c>
      <c r="D2006" s="57" t="inlineStr"/>
      <c r="E2006" s="57" t="inlineStr">
        <is>
          <t>First</t>
        </is>
      </c>
      <c r="F2006" s="57" t="inlineStr">
        <is>
          <t>forced_from_sheet_name</t>
        </is>
      </c>
    </row>
    <row r="2007" ht="25" customHeight="1" s="55">
      <c r="A2007" s="57" t="inlineStr">
        <is>
          <t>RobinsonCenter</t>
        </is>
      </c>
      <c r="B2007" s="57" t="n">
        <v>81</v>
      </c>
      <c r="C2007" s="57" t="inlineStr">
        <is>
          <t>Date of harvest</t>
        </is>
      </c>
      <c r="D2007" s="57" t="inlineStr"/>
      <c r="E2007" s="57" t="inlineStr">
        <is>
          <t>2026-08-12</t>
        </is>
      </c>
      <c r="F2007" s="57" t="inlineStr">
        <is>
          <t>date_forced:SG Robinson first-harvest assays all dated 2026-08-12</t>
        </is>
      </c>
    </row>
    <row r="2008" ht="25" customHeight="1" s="55">
      <c r="A2008" s="57" t="inlineStr">
        <is>
          <t>RobinsonCenter</t>
        </is>
      </c>
      <c r="B2008" s="57" t="n">
        <v>82</v>
      </c>
      <c r="C2008" s="57" t="inlineStr">
        <is>
          <t>Genotypes</t>
        </is>
      </c>
      <c r="D2008" s="57" t="inlineStr"/>
      <c r="E2008" s="57" t="inlineStr">
        <is>
          <t xml:space="preserve">25313G </t>
        </is>
      </c>
      <c r="F2008" s="57" t="inlineStr">
        <is>
          <t>moved_from_SN</t>
        </is>
      </c>
    </row>
    <row r="2009" ht="25" customHeight="1" s="55">
      <c r="A2009" s="57" t="inlineStr">
        <is>
          <t>RobinsonCenter</t>
        </is>
      </c>
      <c r="B2009" s="57" t="n">
        <v>82</v>
      </c>
      <c r="C2009" s="57" t="inlineStr">
        <is>
          <t>Genotypes</t>
        </is>
      </c>
      <c r="D2009" s="57" t="inlineStr">
        <is>
          <t xml:space="preserve">25313G </t>
        </is>
      </c>
      <c r="E2009" s="57" t="inlineStr">
        <is>
          <t>NC25313G</t>
        </is>
      </c>
      <c r="F2009" s="57" t="inlineStr"/>
    </row>
    <row r="2010" ht="25" customHeight="1" s="55">
      <c r="A2010" s="57" t="inlineStr">
        <is>
          <t>RobinsonCenter</t>
        </is>
      </c>
      <c r="B2010" s="57" t="n">
        <v>82</v>
      </c>
      <c r="C2010" s="57" t="inlineStr">
        <is>
          <t>Location</t>
        </is>
      </c>
      <c r="D2010" s="57" t="inlineStr"/>
      <c r="E2010" s="57" t="inlineStr">
        <is>
          <t>Robinson</t>
        </is>
      </c>
      <c r="F2010" s="57" t="inlineStr">
        <is>
          <t>forced_from_sheet_name</t>
        </is>
      </c>
    </row>
    <row r="2011" ht="25" customHeight="1" s="55">
      <c r="A2011" s="57" t="inlineStr">
        <is>
          <t>RobinsonCenter</t>
        </is>
      </c>
      <c r="B2011" s="57" t="n">
        <v>82</v>
      </c>
      <c r="C2011" s="57" t="inlineStr">
        <is>
          <t>Harvest</t>
        </is>
      </c>
      <c r="D2011" s="57" t="inlineStr"/>
      <c r="E2011" s="57" t="inlineStr">
        <is>
          <t>First</t>
        </is>
      </c>
      <c r="F2011" s="57" t="inlineStr">
        <is>
          <t>forced_from_sheet_name</t>
        </is>
      </c>
    </row>
    <row r="2012" ht="25" customHeight="1" s="55">
      <c r="A2012" s="57" t="inlineStr">
        <is>
          <t>RobinsonCenter</t>
        </is>
      </c>
      <c r="B2012" s="57" t="n">
        <v>82</v>
      </c>
      <c r="C2012" s="57" t="inlineStr">
        <is>
          <t>Date of harvest</t>
        </is>
      </c>
      <c r="D2012" s="57" t="inlineStr"/>
      <c r="E2012" s="57" t="inlineStr">
        <is>
          <t>2026-08-12</t>
        </is>
      </c>
      <c r="F2012" s="57" t="inlineStr">
        <is>
          <t>date_forced:SG Robinson first-harvest assays all dated 2026-08-12</t>
        </is>
      </c>
    </row>
    <row r="2013" ht="25" customHeight="1" s="55">
      <c r="A2013" s="57" t="inlineStr">
        <is>
          <t>RobinsonCenter</t>
        </is>
      </c>
      <c r="B2013" s="57" t="n">
        <v>83</v>
      </c>
      <c r="C2013" s="57" t="inlineStr">
        <is>
          <t>Genotypes</t>
        </is>
      </c>
      <c r="D2013" s="57" t="inlineStr"/>
      <c r="E2013" s="57" t="inlineStr">
        <is>
          <t xml:space="preserve">MT MAGIC </t>
        </is>
      </c>
      <c r="F2013" s="57" t="inlineStr">
        <is>
          <t>moved_from_SN</t>
        </is>
      </c>
    </row>
    <row r="2014" ht="25" customHeight="1" s="55">
      <c r="A2014" s="57" t="inlineStr">
        <is>
          <t>RobinsonCenter</t>
        </is>
      </c>
      <c r="B2014" s="57" t="n">
        <v>83</v>
      </c>
      <c r="C2014" s="57" t="inlineStr">
        <is>
          <t>Genotypes</t>
        </is>
      </c>
      <c r="D2014" s="57" t="inlineStr">
        <is>
          <t xml:space="preserve">MT MAGIC </t>
        </is>
      </c>
      <c r="E2014" s="57" t="inlineStr">
        <is>
          <t>Mt. Magic</t>
        </is>
      </c>
      <c r="F2014" s="57" t="inlineStr"/>
    </row>
    <row r="2015" ht="25" customHeight="1" s="55">
      <c r="A2015" s="57" t="inlineStr">
        <is>
          <t>RobinsonCenter</t>
        </is>
      </c>
      <c r="B2015" s="57" t="n">
        <v>83</v>
      </c>
      <c r="C2015" s="57" t="inlineStr">
        <is>
          <t>Location</t>
        </is>
      </c>
      <c r="D2015" s="57" t="inlineStr"/>
      <c r="E2015" s="57" t="inlineStr">
        <is>
          <t>Robinson</t>
        </is>
      </c>
      <c r="F2015" s="57" t="inlineStr">
        <is>
          <t>forced_from_sheet_name</t>
        </is>
      </c>
    </row>
    <row r="2016" ht="25" customHeight="1" s="55">
      <c r="A2016" s="57" t="inlineStr">
        <is>
          <t>RobinsonCenter</t>
        </is>
      </c>
      <c r="B2016" s="57" t="n">
        <v>83</v>
      </c>
      <c r="C2016" s="57" t="inlineStr">
        <is>
          <t>Harvest</t>
        </is>
      </c>
      <c r="D2016" s="57" t="inlineStr"/>
      <c r="E2016" s="57" t="inlineStr">
        <is>
          <t>First</t>
        </is>
      </c>
      <c r="F2016" s="57" t="inlineStr">
        <is>
          <t>forced_from_sheet_name</t>
        </is>
      </c>
    </row>
    <row r="2017" ht="25" customHeight="1" s="55">
      <c r="A2017" s="57" t="inlineStr">
        <is>
          <t>RobinsonCenter</t>
        </is>
      </c>
      <c r="B2017" s="57" t="n">
        <v>83</v>
      </c>
      <c r="C2017" s="57" t="inlineStr">
        <is>
          <t>Date of harvest</t>
        </is>
      </c>
      <c r="D2017" s="57" t="inlineStr"/>
      <c r="E2017" s="57" t="inlineStr">
        <is>
          <t>2026-08-12</t>
        </is>
      </c>
      <c r="F2017" s="57" t="inlineStr">
        <is>
          <t>date_forced:SG Robinson first-harvest assays all dated 2026-08-12</t>
        </is>
      </c>
    </row>
    <row r="2018" ht="25" customHeight="1" s="55">
      <c r="A2018" s="57" t="inlineStr">
        <is>
          <t>RobinsonCenter</t>
        </is>
      </c>
      <c r="B2018" s="57" t="n">
        <v>84</v>
      </c>
      <c r="C2018" s="57" t="inlineStr">
        <is>
          <t>Genotypes</t>
        </is>
      </c>
      <c r="D2018" s="57" t="inlineStr"/>
      <c r="E2018" s="57" t="inlineStr">
        <is>
          <t>25304</t>
        </is>
      </c>
      <c r="F2018" s="57" t="inlineStr">
        <is>
          <t>moved_from_SN</t>
        </is>
      </c>
    </row>
    <row r="2019" ht="25" customHeight="1" s="55">
      <c r="A2019" s="57" t="inlineStr">
        <is>
          <t>RobinsonCenter</t>
        </is>
      </c>
      <c r="B2019" s="57" t="n">
        <v>84</v>
      </c>
      <c r="C2019" s="57" t="inlineStr">
        <is>
          <t>Genotypes</t>
        </is>
      </c>
      <c r="D2019" s="57" t="inlineStr">
        <is>
          <t>25304</t>
        </is>
      </c>
      <c r="E2019" s="57" t="inlineStr">
        <is>
          <t>UKYT-25-304</t>
        </is>
      </c>
      <c r="F2019" s="57" t="inlineStr"/>
    </row>
    <row r="2020" ht="25" customHeight="1" s="55">
      <c r="A2020" s="57" t="inlineStr">
        <is>
          <t>RobinsonCenter</t>
        </is>
      </c>
      <c r="B2020" s="57" t="n">
        <v>84</v>
      </c>
      <c r="C2020" s="57" t="inlineStr">
        <is>
          <t>Location</t>
        </is>
      </c>
      <c r="D2020" s="57" t="inlineStr"/>
      <c r="E2020" s="57" t="inlineStr">
        <is>
          <t>Robinson</t>
        </is>
      </c>
      <c r="F2020" s="57" t="inlineStr">
        <is>
          <t>forced_from_sheet_name</t>
        </is>
      </c>
    </row>
    <row r="2021" ht="25" customHeight="1" s="55">
      <c r="A2021" s="57" t="inlineStr">
        <is>
          <t>RobinsonCenter</t>
        </is>
      </c>
      <c r="B2021" s="57" t="n">
        <v>84</v>
      </c>
      <c r="C2021" s="57" t="inlineStr">
        <is>
          <t>Harvest</t>
        </is>
      </c>
      <c r="D2021" s="57" t="inlineStr"/>
      <c r="E2021" s="57" t="inlineStr">
        <is>
          <t>First</t>
        </is>
      </c>
      <c r="F2021" s="57" t="inlineStr">
        <is>
          <t>forced_from_sheet_name</t>
        </is>
      </c>
    </row>
    <row r="2022" ht="25" customHeight="1" s="55">
      <c r="A2022" s="57" t="inlineStr">
        <is>
          <t>RobinsonCenter</t>
        </is>
      </c>
      <c r="B2022" s="57" t="n">
        <v>84</v>
      </c>
      <c r="C2022" s="57" t="inlineStr">
        <is>
          <t>Date of harvest</t>
        </is>
      </c>
      <c r="D2022" s="57" t="inlineStr"/>
      <c r="E2022" s="57" t="inlineStr">
        <is>
          <t>2026-08-12</t>
        </is>
      </c>
      <c r="F2022" s="57" t="inlineStr">
        <is>
          <t>date_forced:SG Robinson first-harvest assays all dated 2026-08-12</t>
        </is>
      </c>
    </row>
    <row r="2023" ht="25" customHeight="1" s="55">
      <c r="A2023" s="57" t="inlineStr">
        <is>
          <t>RobinsonCenter</t>
        </is>
      </c>
      <c r="B2023" s="57" t="n">
        <v>1</v>
      </c>
      <c r="C2023" s="57" t="inlineStr">
        <is>
          <t>column_removed</t>
        </is>
      </c>
      <c r="D2023" s="57" t="inlineStr">
        <is>
          <t>WEIGHT(20 SAMPLES UM)</t>
        </is>
      </c>
      <c r="E2023" s="57" t="inlineStr"/>
      <c r="F2023" s="57" t="inlineStr">
        <is>
          <t>empty_or_duplicate</t>
        </is>
      </c>
    </row>
    <row r="2024" ht="25" customHeight="1" s="55">
      <c r="A2024" s="57" t="inlineStr">
        <is>
          <t>RobinsonCenter</t>
        </is>
      </c>
      <c r="B2024" s="57" t="n">
        <v>1</v>
      </c>
      <c r="C2024" s="57" t="inlineStr">
        <is>
          <t>header</t>
        </is>
      </c>
      <c r="D2024" s="57" t="inlineStr">
        <is>
          <t xml:space="preserve">WEIGHT(20 SAMPLES M) </t>
        </is>
      </c>
      <c r="E2024" s="57" t="inlineStr">
        <is>
          <t>Weight of 20 marketable (g)</t>
        </is>
      </c>
      <c r="F2024" s="57" t="inlineStr">
        <is>
          <t>standardized</t>
        </is>
      </c>
    </row>
    <row r="2025" ht="25" customHeight="1" s="55">
      <c r="A2025" s="57" t="inlineStr">
        <is>
          <t>RobinsonCenter</t>
        </is>
      </c>
      <c r="B2025" s="57" t="n">
        <v>1</v>
      </c>
      <c r="C2025" s="57" t="inlineStr">
        <is>
          <t>header</t>
        </is>
      </c>
      <c r="D2025" s="57" t="inlineStr">
        <is>
          <t>TOTAL WEIGHT</t>
        </is>
      </c>
      <c r="E2025" s="57" t="inlineStr">
        <is>
          <t>Total Weight (g)</t>
        </is>
      </c>
      <c r="F2025" s="57" t="inlineStr">
        <is>
          <t>standardized</t>
        </is>
      </c>
    </row>
    <row r="2026" ht="25" customHeight="1" s="55">
      <c r="A2026" s="57" t="inlineStr">
        <is>
          <t>Specific Gravity</t>
        </is>
      </c>
      <c r="B2026" s="57" t="n">
        <v>3</v>
      </c>
      <c r="C2026" s="57" t="inlineStr">
        <is>
          <t>Genotypes</t>
        </is>
      </c>
      <c r="D2026" s="57" t="inlineStr">
        <is>
          <t>25-001</t>
        </is>
      </c>
      <c r="E2026" s="57" t="inlineStr">
        <is>
          <t>UKYT-25-001</t>
        </is>
      </c>
      <c r="F2026" s="57" t="inlineStr"/>
    </row>
    <row r="2027" ht="25" customHeight="1" s="55">
      <c r="A2027" s="57" t="inlineStr">
        <is>
          <t>Specific Gravity</t>
        </is>
      </c>
      <c r="B2027" s="57" t="n">
        <v>3</v>
      </c>
      <c r="C2027" s="57" t="inlineStr">
        <is>
          <t>Location</t>
        </is>
      </c>
      <c r="D2027" s="57" t="inlineStr">
        <is>
          <t>Hightunnel</t>
        </is>
      </c>
      <c r="E2027" s="57" t="inlineStr">
        <is>
          <t>High tunnel</t>
        </is>
      </c>
      <c r="F2027" s="57" t="inlineStr"/>
    </row>
    <row r="2028" ht="25" customHeight="1" s="55">
      <c r="A2028" s="57" t="inlineStr">
        <is>
          <t>Specific Gravity</t>
        </is>
      </c>
      <c r="B2028" s="57" t="n">
        <v>3</v>
      </c>
      <c r="C2028" s="57" t="inlineStr">
        <is>
          <t>Harvest</t>
        </is>
      </c>
      <c r="D2028" s="57" t="inlineStr">
        <is>
          <t>first</t>
        </is>
      </c>
      <c r="E2028" s="57" t="inlineStr">
        <is>
          <t>First</t>
        </is>
      </c>
      <c r="F2028" s="57" t="inlineStr"/>
    </row>
    <row r="2029" ht="25" customHeight="1" s="55">
      <c r="A2029" s="57" t="inlineStr">
        <is>
          <t>Specific Gravity</t>
        </is>
      </c>
      <c r="B2029" s="57" t="n">
        <v>4</v>
      </c>
      <c r="C2029" s="57" t="inlineStr">
        <is>
          <t>Genotypes</t>
        </is>
      </c>
      <c r="D2029" s="57" t="inlineStr">
        <is>
          <t>25-002</t>
        </is>
      </c>
      <c r="E2029" s="57" t="inlineStr">
        <is>
          <t>UKYT-25-002</t>
        </is>
      </c>
      <c r="F2029" s="57" t="inlineStr"/>
    </row>
    <row r="2030" ht="25" customHeight="1" s="55">
      <c r="A2030" s="57" t="inlineStr">
        <is>
          <t>Specific Gravity</t>
        </is>
      </c>
      <c r="B2030" s="57" t="n">
        <v>4</v>
      </c>
      <c r="C2030" s="57" t="inlineStr">
        <is>
          <t>Location</t>
        </is>
      </c>
      <c r="D2030" s="57" t="inlineStr">
        <is>
          <t>Hightunnel</t>
        </is>
      </c>
      <c r="E2030" s="57" t="inlineStr">
        <is>
          <t>High tunnel</t>
        </is>
      </c>
      <c r="F2030" s="57" t="inlineStr"/>
    </row>
    <row r="2031" ht="25" customHeight="1" s="55">
      <c r="A2031" s="57" t="inlineStr">
        <is>
          <t>Specific Gravity</t>
        </is>
      </c>
      <c r="B2031" s="57" t="n">
        <v>4</v>
      </c>
      <c r="C2031" s="57" t="inlineStr">
        <is>
          <t>Harvest</t>
        </is>
      </c>
      <c r="D2031" s="57" t="inlineStr">
        <is>
          <t>first</t>
        </is>
      </c>
      <c r="E2031" s="57" t="inlineStr">
        <is>
          <t>First</t>
        </is>
      </c>
      <c r="F2031" s="57" t="inlineStr"/>
    </row>
    <row r="2032" ht="25" customHeight="1" s="55">
      <c r="A2032" s="57" t="inlineStr">
        <is>
          <t>Specific Gravity</t>
        </is>
      </c>
      <c r="B2032" s="57" t="n">
        <v>5</v>
      </c>
      <c r="C2032" s="57" t="inlineStr">
        <is>
          <t>Genotypes</t>
        </is>
      </c>
      <c r="D2032" s="57" t="inlineStr">
        <is>
          <t>25-003</t>
        </is>
      </c>
      <c r="E2032" s="57" t="inlineStr">
        <is>
          <t>UKYT-25-003</t>
        </is>
      </c>
      <c r="F2032" s="57" t="inlineStr"/>
    </row>
    <row r="2033" ht="25" customHeight="1" s="55">
      <c r="A2033" s="57" t="inlineStr">
        <is>
          <t>Specific Gravity</t>
        </is>
      </c>
      <c r="B2033" s="57" t="n">
        <v>5</v>
      </c>
      <c r="C2033" s="57" t="inlineStr">
        <is>
          <t>Location</t>
        </is>
      </c>
      <c r="D2033" s="57" t="inlineStr">
        <is>
          <t>Hightunnel</t>
        </is>
      </c>
      <c r="E2033" s="57" t="inlineStr">
        <is>
          <t>High tunnel</t>
        </is>
      </c>
      <c r="F2033" s="57" t="inlineStr"/>
    </row>
    <row r="2034" ht="25" customHeight="1" s="55">
      <c r="A2034" s="57" t="inlineStr">
        <is>
          <t>Specific Gravity</t>
        </is>
      </c>
      <c r="B2034" s="57" t="n">
        <v>5</v>
      </c>
      <c r="C2034" s="57" t="inlineStr">
        <is>
          <t>Harvest</t>
        </is>
      </c>
      <c r="D2034" s="57" t="inlineStr">
        <is>
          <t>first</t>
        </is>
      </c>
      <c r="E2034" s="57" t="inlineStr">
        <is>
          <t>First</t>
        </is>
      </c>
      <c r="F2034" s="57" t="inlineStr"/>
    </row>
    <row r="2035" ht="25" customHeight="1" s="55">
      <c r="A2035" s="57" t="inlineStr">
        <is>
          <t>Specific Gravity</t>
        </is>
      </c>
      <c r="B2035" s="57" t="n">
        <v>6</v>
      </c>
      <c r="C2035" s="57" t="inlineStr">
        <is>
          <t>Genotypes</t>
        </is>
      </c>
      <c r="D2035" s="57" t="inlineStr">
        <is>
          <t>25-004</t>
        </is>
      </c>
      <c r="E2035" s="57" t="inlineStr">
        <is>
          <t>UKYT-25-004</t>
        </is>
      </c>
      <c r="F2035" s="57" t="inlineStr"/>
    </row>
    <row r="2036" ht="25" customHeight="1" s="55">
      <c r="A2036" s="57" t="inlineStr">
        <is>
          <t>Specific Gravity</t>
        </is>
      </c>
      <c r="B2036" s="57" t="n">
        <v>6</v>
      </c>
      <c r="C2036" s="57" t="inlineStr">
        <is>
          <t>Location</t>
        </is>
      </c>
      <c r="D2036" s="57" t="inlineStr">
        <is>
          <t>Hightunnel</t>
        </is>
      </c>
      <c r="E2036" s="57" t="inlineStr">
        <is>
          <t>High tunnel</t>
        </is>
      </c>
      <c r="F2036" s="57" t="inlineStr"/>
    </row>
    <row r="2037" ht="25" customHeight="1" s="55">
      <c r="A2037" s="57" t="inlineStr">
        <is>
          <t>Specific Gravity</t>
        </is>
      </c>
      <c r="B2037" s="57" t="n">
        <v>6</v>
      </c>
      <c r="C2037" s="57" t="inlineStr">
        <is>
          <t>Harvest</t>
        </is>
      </c>
      <c r="D2037" s="57" t="inlineStr">
        <is>
          <t>first</t>
        </is>
      </c>
      <c r="E2037" s="57" t="inlineStr">
        <is>
          <t>First</t>
        </is>
      </c>
      <c r="F2037" s="57" t="inlineStr"/>
    </row>
    <row r="2038" ht="25" customHeight="1" s="55">
      <c r="A2038" s="57" t="inlineStr">
        <is>
          <t>Specific Gravity</t>
        </is>
      </c>
      <c r="B2038" s="57" t="n">
        <v>7</v>
      </c>
      <c r="C2038" s="57" t="inlineStr">
        <is>
          <t>Genotypes</t>
        </is>
      </c>
      <c r="D2038" s="57" t="inlineStr">
        <is>
          <t>25-006</t>
        </is>
      </c>
      <c r="E2038" s="57" t="inlineStr">
        <is>
          <t>UKYT-25-006</t>
        </is>
      </c>
      <c r="F2038" s="57" t="inlineStr"/>
    </row>
    <row r="2039" ht="25" customHeight="1" s="55">
      <c r="A2039" s="57" t="inlineStr">
        <is>
          <t>Specific Gravity</t>
        </is>
      </c>
      <c r="B2039" s="57" t="n">
        <v>7</v>
      </c>
      <c r="C2039" s="57" t="inlineStr">
        <is>
          <t>Location</t>
        </is>
      </c>
      <c r="D2039" s="57" t="inlineStr">
        <is>
          <t>Hightunnel</t>
        </is>
      </c>
      <c r="E2039" s="57" t="inlineStr">
        <is>
          <t>High tunnel</t>
        </is>
      </c>
      <c r="F2039" s="57" t="inlineStr"/>
    </row>
    <row r="2040" ht="25" customHeight="1" s="55">
      <c r="A2040" s="57" t="inlineStr">
        <is>
          <t>Specific Gravity</t>
        </is>
      </c>
      <c r="B2040" s="57" t="n">
        <v>7</v>
      </c>
      <c r="C2040" s="57" t="inlineStr">
        <is>
          <t>Harvest</t>
        </is>
      </c>
      <c r="D2040" s="57" t="inlineStr">
        <is>
          <t>first</t>
        </is>
      </c>
      <c r="E2040" s="57" t="inlineStr">
        <is>
          <t>First</t>
        </is>
      </c>
      <c r="F2040" s="57" t="inlineStr"/>
    </row>
    <row r="2041" ht="25" customHeight="1" s="55">
      <c r="A2041" s="57" t="inlineStr">
        <is>
          <t>Specific Gravity</t>
        </is>
      </c>
      <c r="B2041" s="57" t="n">
        <v>8</v>
      </c>
      <c r="C2041" s="57" t="inlineStr">
        <is>
          <t>Genotypes</t>
        </is>
      </c>
      <c r="D2041" s="57" t="inlineStr">
        <is>
          <t>25-007</t>
        </is>
      </c>
      <c r="E2041" s="57" t="inlineStr">
        <is>
          <t>UKYT-25-007</t>
        </is>
      </c>
      <c r="F2041" s="57" t="inlineStr"/>
    </row>
    <row r="2042" ht="25" customHeight="1" s="55">
      <c r="A2042" s="57" t="inlineStr">
        <is>
          <t>Specific Gravity</t>
        </is>
      </c>
      <c r="B2042" s="57" t="n">
        <v>8</v>
      </c>
      <c r="C2042" s="57" t="inlineStr">
        <is>
          <t>Location</t>
        </is>
      </c>
      <c r="D2042" s="57" t="inlineStr">
        <is>
          <t>Hightunnel</t>
        </is>
      </c>
      <c r="E2042" s="57" t="inlineStr">
        <is>
          <t>High tunnel</t>
        </is>
      </c>
      <c r="F2042" s="57" t="inlineStr"/>
    </row>
    <row r="2043" ht="25" customHeight="1" s="55">
      <c r="A2043" s="57" t="inlineStr">
        <is>
          <t>Specific Gravity</t>
        </is>
      </c>
      <c r="B2043" s="57" t="n">
        <v>8</v>
      </c>
      <c r="C2043" s="57" t="inlineStr">
        <is>
          <t>Harvest</t>
        </is>
      </c>
      <c r="D2043" s="57" t="inlineStr">
        <is>
          <t>first</t>
        </is>
      </c>
      <c r="E2043" s="57" t="inlineStr">
        <is>
          <t>First</t>
        </is>
      </c>
      <c r="F2043" s="57" t="inlineStr"/>
    </row>
    <row r="2044" ht="25" customHeight="1" s="55">
      <c r="A2044" s="57" t="inlineStr">
        <is>
          <t>Specific Gravity</t>
        </is>
      </c>
      <c r="B2044" s="57" t="n">
        <v>9</v>
      </c>
      <c r="C2044" s="57" t="inlineStr">
        <is>
          <t>Genotypes</t>
        </is>
      </c>
      <c r="D2044" s="57" t="inlineStr">
        <is>
          <t>25-008</t>
        </is>
      </c>
      <c r="E2044" s="57" t="inlineStr">
        <is>
          <t>UKYT-25-008</t>
        </is>
      </c>
      <c r="F2044" s="57" t="inlineStr"/>
    </row>
    <row r="2045" ht="25" customHeight="1" s="55">
      <c r="A2045" s="57" t="inlineStr">
        <is>
          <t>Specific Gravity</t>
        </is>
      </c>
      <c r="B2045" s="57" t="n">
        <v>9</v>
      </c>
      <c r="C2045" s="57" t="inlineStr">
        <is>
          <t>Location</t>
        </is>
      </c>
      <c r="D2045" s="57" t="inlineStr">
        <is>
          <t>Hightunnel</t>
        </is>
      </c>
      <c r="E2045" s="57" t="inlineStr">
        <is>
          <t>High tunnel</t>
        </is>
      </c>
      <c r="F2045" s="57" t="inlineStr"/>
    </row>
    <row r="2046" ht="25" customHeight="1" s="55">
      <c r="A2046" s="57" t="inlineStr">
        <is>
          <t>Specific Gravity</t>
        </is>
      </c>
      <c r="B2046" s="57" t="n">
        <v>9</v>
      </c>
      <c r="C2046" s="57" t="inlineStr">
        <is>
          <t>Harvest</t>
        </is>
      </c>
      <c r="D2046" s="57" t="inlineStr">
        <is>
          <t>first</t>
        </is>
      </c>
      <c r="E2046" s="57" t="inlineStr">
        <is>
          <t>First</t>
        </is>
      </c>
      <c r="F2046" s="57" t="inlineStr"/>
    </row>
    <row r="2047" ht="25" customHeight="1" s="55">
      <c r="A2047" s="57" t="inlineStr">
        <is>
          <t>Specific Gravity</t>
        </is>
      </c>
      <c r="B2047" s="57" t="n">
        <v>10</v>
      </c>
      <c r="C2047" s="57" t="inlineStr">
        <is>
          <t>Genotypes</t>
        </is>
      </c>
      <c r="D2047" s="57" t="inlineStr">
        <is>
          <t>25-009</t>
        </is>
      </c>
      <c r="E2047" s="57" t="inlineStr">
        <is>
          <t>UKYT-25-009</t>
        </is>
      </c>
      <c r="F2047" s="57" t="inlineStr"/>
    </row>
    <row r="2048" ht="25" customHeight="1" s="55">
      <c r="A2048" s="57" t="inlineStr">
        <is>
          <t>Specific Gravity</t>
        </is>
      </c>
      <c r="B2048" s="57" t="n">
        <v>10</v>
      </c>
      <c r="C2048" s="57" t="inlineStr">
        <is>
          <t>Location</t>
        </is>
      </c>
      <c r="D2048" s="57" t="inlineStr">
        <is>
          <t>Hightunnel</t>
        </is>
      </c>
      <c r="E2048" s="57" t="inlineStr">
        <is>
          <t>High tunnel</t>
        </is>
      </c>
      <c r="F2048" s="57" t="inlineStr"/>
    </row>
    <row r="2049" ht="25" customHeight="1" s="55">
      <c r="A2049" s="57" t="inlineStr">
        <is>
          <t>Specific Gravity</t>
        </is>
      </c>
      <c r="B2049" s="57" t="n">
        <v>10</v>
      </c>
      <c r="C2049" s="57" t="inlineStr">
        <is>
          <t>Harvest</t>
        </is>
      </c>
      <c r="D2049" s="57" t="inlineStr">
        <is>
          <t>first</t>
        </is>
      </c>
      <c r="E2049" s="57" t="inlineStr">
        <is>
          <t>First</t>
        </is>
      </c>
      <c r="F2049" s="57" t="inlineStr"/>
    </row>
    <row r="2050" ht="25" customHeight="1" s="55">
      <c r="A2050" s="57" t="inlineStr">
        <is>
          <t>Specific Gravity</t>
        </is>
      </c>
      <c r="B2050" s="57" t="n">
        <v>11</v>
      </c>
      <c r="C2050" s="57" t="inlineStr">
        <is>
          <t>Genotypes</t>
        </is>
      </c>
      <c r="D2050" s="57" t="inlineStr">
        <is>
          <t>25-010</t>
        </is>
      </c>
      <c r="E2050" s="57" t="inlineStr">
        <is>
          <t>UKYT-25-010</t>
        </is>
      </c>
      <c r="F2050" s="57" t="inlineStr"/>
    </row>
    <row r="2051" ht="25" customHeight="1" s="55">
      <c r="A2051" s="57" t="inlineStr">
        <is>
          <t>Specific Gravity</t>
        </is>
      </c>
      <c r="B2051" s="57" t="n">
        <v>11</v>
      </c>
      <c r="C2051" s="57" t="inlineStr">
        <is>
          <t>Location</t>
        </is>
      </c>
      <c r="D2051" s="57" t="inlineStr">
        <is>
          <t>Hightunnel</t>
        </is>
      </c>
      <c r="E2051" s="57" t="inlineStr">
        <is>
          <t>High tunnel</t>
        </is>
      </c>
      <c r="F2051" s="57" t="inlineStr"/>
    </row>
    <row r="2052" ht="25" customHeight="1" s="55">
      <c r="A2052" s="57" t="inlineStr">
        <is>
          <t>Specific Gravity</t>
        </is>
      </c>
      <c r="B2052" s="57" t="n">
        <v>11</v>
      </c>
      <c r="C2052" s="57" t="inlineStr">
        <is>
          <t>Harvest</t>
        </is>
      </c>
      <c r="D2052" s="57" t="inlineStr">
        <is>
          <t>first</t>
        </is>
      </c>
      <c r="E2052" s="57" t="inlineStr">
        <is>
          <t>First</t>
        </is>
      </c>
      <c r="F2052" s="57" t="inlineStr"/>
    </row>
    <row r="2053" ht="25" customHeight="1" s="55">
      <c r="A2053" s="57" t="inlineStr">
        <is>
          <t>Specific Gravity</t>
        </is>
      </c>
      <c r="B2053" s="57" t="n">
        <v>12</v>
      </c>
      <c r="C2053" s="57" t="inlineStr">
        <is>
          <t>Genotypes</t>
        </is>
      </c>
      <c r="D2053" s="57" t="inlineStr">
        <is>
          <t>25-011</t>
        </is>
      </c>
      <c r="E2053" s="57" t="inlineStr">
        <is>
          <t>UKYT-25-011</t>
        </is>
      </c>
      <c r="F2053" s="57" t="inlineStr"/>
    </row>
    <row r="2054" ht="25" customHeight="1" s="55">
      <c r="A2054" s="57" t="inlineStr">
        <is>
          <t>Specific Gravity</t>
        </is>
      </c>
      <c r="B2054" s="57" t="n">
        <v>12</v>
      </c>
      <c r="C2054" s="57" t="inlineStr">
        <is>
          <t>Location</t>
        </is>
      </c>
      <c r="D2054" s="57" t="inlineStr">
        <is>
          <t>Hightunnel</t>
        </is>
      </c>
      <c r="E2054" s="57" t="inlineStr">
        <is>
          <t>High tunnel</t>
        </is>
      </c>
      <c r="F2054" s="57" t="inlineStr"/>
    </row>
    <row r="2055" ht="25" customHeight="1" s="55">
      <c r="A2055" s="57" t="inlineStr">
        <is>
          <t>Specific Gravity</t>
        </is>
      </c>
      <c r="B2055" s="57" t="n">
        <v>12</v>
      </c>
      <c r="C2055" s="57" t="inlineStr">
        <is>
          <t>Harvest</t>
        </is>
      </c>
      <c r="D2055" s="57" t="inlineStr">
        <is>
          <t>first</t>
        </is>
      </c>
      <c r="E2055" s="57" t="inlineStr">
        <is>
          <t>First</t>
        </is>
      </c>
      <c r="F2055" s="57" t="inlineStr"/>
    </row>
    <row r="2056" ht="25" customHeight="1" s="55">
      <c r="A2056" s="57" t="inlineStr">
        <is>
          <t>Specific Gravity</t>
        </is>
      </c>
      <c r="B2056" s="57" t="n">
        <v>13</v>
      </c>
      <c r="C2056" s="57" t="inlineStr">
        <is>
          <t>Genotypes</t>
        </is>
      </c>
      <c r="D2056" s="57" t="inlineStr">
        <is>
          <t>25-012</t>
        </is>
      </c>
      <c r="E2056" s="57" t="inlineStr">
        <is>
          <t>UKYT-25-012</t>
        </is>
      </c>
      <c r="F2056" s="57" t="inlineStr"/>
    </row>
    <row r="2057" ht="25" customHeight="1" s="55">
      <c r="A2057" s="57" t="inlineStr">
        <is>
          <t>Specific Gravity</t>
        </is>
      </c>
      <c r="B2057" s="57" t="n">
        <v>13</v>
      </c>
      <c r="C2057" s="57" t="inlineStr">
        <is>
          <t>Location</t>
        </is>
      </c>
      <c r="D2057" s="57" t="inlineStr">
        <is>
          <t>Hightunnel</t>
        </is>
      </c>
      <c r="E2057" s="57" t="inlineStr">
        <is>
          <t>High tunnel</t>
        </is>
      </c>
      <c r="F2057" s="57" t="inlineStr"/>
    </row>
    <row r="2058" ht="25" customHeight="1" s="55">
      <c r="A2058" s="57" t="inlineStr">
        <is>
          <t>Specific Gravity</t>
        </is>
      </c>
      <c r="B2058" s="57" t="n">
        <v>13</v>
      </c>
      <c r="C2058" s="57" t="inlineStr">
        <is>
          <t>Harvest</t>
        </is>
      </c>
      <c r="D2058" s="57" t="inlineStr">
        <is>
          <t>first</t>
        </is>
      </c>
      <c r="E2058" s="57" t="inlineStr">
        <is>
          <t>First</t>
        </is>
      </c>
      <c r="F2058" s="57" t="inlineStr"/>
    </row>
    <row r="2059" ht="25" customHeight="1" s="55">
      <c r="A2059" s="57" t="inlineStr">
        <is>
          <t>Specific Gravity</t>
        </is>
      </c>
      <c r="B2059" s="57" t="n">
        <v>14</v>
      </c>
      <c r="C2059" s="57" t="inlineStr">
        <is>
          <t>Genotypes</t>
        </is>
      </c>
      <c r="D2059" s="57" t="inlineStr">
        <is>
          <t>25-013</t>
        </is>
      </c>
      <c r="E2059" s="57" t="inlineStr">
        <is>
          <t>UKYT-25-013</t>
        </is>
      </c>
      <c r="F2059" s="57" t="inlineStr"/>
    </row>
    <row r="2060" ht="25" customHeight="1" s="55">
      <c r="A2060" s="57" t="inlineStr">
        <is>
          <t>Specific Gravity</t>
        </is>
      </c>
      <c r="B2060" s="57" t="n">
        <v>14</v>
      </c>
      <c r="C2060" s="57" t="inlineStr">
        <is>
          <t>Location</t>
        </is>
      </c>
      <c r="D2060" s="57" t="inlineStr">
        <is>
          <t>Hightunnel</t>
        </is>
      </c>
      <c r="E2060" s="57" t="inlineStr">
        <is>
          <t>High tunnel</t>
        </is>
      </c>
      <c r="F2060" s="57" t="inlineStr"/>
    </row>
    <row r="2061" ht="25" customHeight="1" s="55">
      <c r="A2061" s="57" t="inlineStr">
        <is>
          <t>Specific Gravity</t>
        </is>
      </c>
      <c r="B2061" s="57" t="n">
        <v>14</v>
      </c>
      <c r="C2061" s="57" t="inlineStr">
        <is>
          <t>Harvest</t>
        </is>
      </c>
      <c r="D2061" s="57" t="inlineStr">
        <is>
          <t>first</t>
        </is>
      </c>
      <c r="E2061" s="57" t="inlineStr">
        <is>
          <t>First</t>
        </is>
      </c>
      <c r="F2061" s="57" t="inlineStr"/>
    </row>
    <row r="2062" ht="25" customHeight="1" s="55">
      <c r="A2062" s="57" t="inlineStr">
        <is>
          <t>Specific Gravity</t>
        </is>
      </c>
      <c r="B2062" s="57" t="n">
        <v>15</v>
      </c>
      <c r="C2062" s="57" t="inlineStr">
        <is>
          <t>Genotypes</t>
        </is>
      </c>
      <c r="D2062" s="57" t="inlineStr">
        <is>
          <t>25-014</t>
        </is>
      </c>
      <c r="E2062" s="57" t="inlineStr">
        <is>
          <t>UKYT-25-014</t>
        </is>
      </c>
      <c r="F2062" s="57" t="inlineStr"/>
    </row>
    <row r="2063" ht="25" customHeight="1" s="55">
      <c r="A2063" s="57" t="inlineStr">
        <is>
          <t>Specific Gravity</t>
        </is>
      </c>
      <c r="B2063" s="57" t="n">
        <v>15</v>
      </c>
      <c r="C2063" s="57" t="inlineStr">
        <is>
          <t>Location</t>
        </is>
      </c>
      <c r="D2063" s="57" t="inlineStr">
        <is>
          <t>Hightunnel</t>
        </is>
      </c>
      <c r="E2063" s="57" t="inlineStr">
        <is>
          <t>High tunnel</t>
        </is>
      </c>
      <c r="F2063" s="57" t="inlineStr"/>
    </row>
    <row r="2064" ht="25" customHeight="1" s="55">
      <c r="A2064" s="57" t="inlineStr">
        <is>
          <t>Specific Gravity</t>
        </is>
      </c>
      <c r="B2064" s="57" t="n">
        <v>15</v>
      </c>
      <c r="C2064" s="57" t="inlineStr">
        <is>
          <t>Harvest</t>
        </is>
      </c>
      <c r="D2064" s="57" t="inlineStr">
        <is>
          <t>first</t>
        </is>
      </c>
      <c r="E2064" s="57" t="inlineStr">
        <is>
          <t>First</t>
        </is>
      </c>
      <c r="F2064" s="57" t="inlineStr"/>
    </row>
    <row r="2065" ht="25" customHeight="1" s="55">
      <c r="A2065" s="57" t="inlineStr">
        <is>
          <t>Specific Gravity</t>
        </is>
      </c>
      <c r="B2065" s="57" t="n">
        <v>16</v>
      </c>
      <c r="C2065" s="57" t="inlineStr">
        <is>
          <t>Genotypes</t>
        </is>
      </c>
      <c r="D2065" s="57" t="inlineStr">
        <is>
          <t>25-015</t>
        </is>
      </c>
      <c r="E2065" s="57" t="inlineStr">
        <is>
          <t>UKYT-25-015</t>
        </is>
      </c>
      <c r="F2065" s="57" t="inlineStr"/>
    </row>
    <row r="2066" ht="25" customHeight="1" s="55">
      <c r="A2066" s="57" t="inlineStr">
        <is>
          <t>Specific Gravity</t>
        </is>
      </c>
      <c r="B2066" s="57" t="n">
        <v>16</v>
      </c>
      <c r="C2066" s="57" t="inlineStr">
        <is>
          <t>Location</t>
        </is>
      </c>
      <c r="D2066" s="57" t="inlineStr">
        <is>
          <t>Hightunnel</t>
        </is>
      </c>
      <c r="E2066" s="57" t="inlineStr">
        <is>
          <t>High tunnel</t>
        </is>
      </c>
      <c r="F2066" s="57" t="inlineStr"/>
    </row>
    <row r="2067" ht="25" customHeight="1" s="55">
      <c r="A2067" s="57" t="inlineStr">
        <is>
          <t>Specific Gravity</t>
        </is>
      </c>
      <c r="B2067" s="57" t="n">
        <v>16</v>
      </c>
      <c r="C2067" s="57" t="inlineStr">
        <is>
          <t>Harvest</t>
        </is>
      </c>
      <c r="D2067" s="57" t="inlineStr">
        <is>
          <t>first</t>
        </is>
      </c>
      <c r="E2067" s="57" t="inlineStr">
        <is>
          <t>First</t>
        </is>
      </c>
      <c r="F2067" s="57" t="inlineStr"/>
    </row>
    <row r="2068" ht="25" customHeight="1" s="55">
      <c r="A2068" s="57" t="inlineStr">
        <is>
          <t>Specific Gravity</t>
        </is>
      </c>
      <c r="B2068" s="57" t="n">
        <v>17</v>
      </c>
      <c r="C2068" s="57" t="inlineStr">
        <is>
          <t>Genotypes</t>
        </is>
      </c>
      <c r="D2068" s="57" t="inlineStr">
        <is>
          <t>25-017</t>
        </is>
      </c>
      <c r="E2068" s="57" t="inlineStr">
        <is>
          <t>UKYT-25-017</t>
        </is>
      </c>
      <c r="F2068" s="57" t="inlineStr"/>
    </row>
    <row r="2069" ht="25" customHeight="1" s="55">
      <c r="A2069" s="57" t="inlineStr">
        <is>
          <t>Specific Gravity</t>
        </is>
      </c>
      <c r="B2069" s="57" t="n">
        <v>17</v>
      </c>
      <c r="C2069" s="57" t="inlineStr">
        <is>
          <t>Location</t>
        </is>
      </c>
      <c r="D2069" s="57" t="inlineStr">
        <is>
          <t>Hightunnel</t>
        </is>
      </c>
      <c r="E2069" s="57" t="inlineStr">
        <is>
          <t>High tunnel</t>
        </is>
      </c>
      <c r="F2069" s="57" t="inlineStr"/>
    </row>
    <row r="2070" ht="25" customHeight="1" s="55">
      <c r="A2070" s="57" t="inlineStr">
        <is>
          <t>Specific Gravity</t>
        </is>
      </c>
      <c r="B2070" s="57" t="n">
        <v>17</v>
      </c>
      <c r="C2070" s="57" t="inlineStr">
        <is>
          <t>Harvest</t>
        </is>
      </c>
      <c r="D2070" s="57" t="inlineStr">
        <is>
          <t>first</t>
        </is>
      </c>
      <c r="E2070" s="57" t="inlineStr">
        <is>
          <t>First</t>
        </is>
      </c>
      <c r="F2070" s="57" t="inlineStr"/>
    </row>
    <row r="2071" ht="25" customHeight="1" s="55">
      <c r="A2071" s="57" t="inlineStr">
        <is>
          <t>Specific Gravity</t>
        </is>
      </c>
      <c r="B2071" s="57" t="n">
        <v>18</v>
      </c>
      <c r="C2071" s="57" t="inlineStr">
        <is>
          <t>Genotypes</t>
        </is>
      </c>
      <c r="D2071" s="57" t="inlineStr">
        <is>
          <t>26-006</t>
        </is>
      </c>
      <c r="E2071" s="57" t="inlineStr">
        <is>
          <t>UKYT-26-006</t>
        </is>
      </c>
      <c r="F2071" s="57" t="inlineStr"/>
    </row>
    <row r="2072" ht="25" customHeight="1" s="55">
      <c r="A2072" s="57" t="inlineStr">
        <is>
          <t>Specific Gravity</t>
        </is>
      </c>
      <c r="B2072" s="57" t="n">
        <v>18</v>
      </c>
      <c r="C2072" s="57" t="inlineStr">
        <is>
          <t>Location</t>
        </is>
      </c>
      <c r="D2072" s="57" t="inlineStr">
        <is>
          <t>Hightunnel</t>
        </is>
      </c>
      <c r="E2072" s="57" t="inlineStr">
        <is>
          <t>High tunnel</t>
        </is>
      </c>
      <c r="F2072" s="57" t="inlineStr"/>
    </row>
    <row r="2073" ht="25" customHeight="1" s="55">
      <c r="A2073" s="57" t="inlineStr">
        <is>
          <t>Specific Gravity</t>
        </is>
      </c>
      <c r="B2073" s="57" t="n">
        <v>18</v>
      </c>
      <c r="C2073" s="57" t="inlineStr">
        <is>
          <t>Harvest</t>
        </is>
      </c>
      <c r="D2073" s="57" t="inlineStr">
        <is>
          <t>first</t>
        </is>
      </c>
      <c r="E2073" s="57" t="inlineStr">
        <is>
          <t>First</t>
        </is>
      </c>
      <c r="F2073" s="57" t="inlineStr"/>
    </row>
    <row r="2074" ht="25" customHeight="1" s="55">
      <c r="A2074" s="57" t="inlineStr">
        <is>
          <t>Specific Gravity</t>
        </is>
      </c>
      <c r="B2074" s="57" t="n">
        <v>19</v>
      </c>
      <c r="C2074" s="57" t="inlineStr">
        <is>
          <t>Genotypes</t>
        </is>
      </c>
      <c r="D2074" s="57" t="inlineStr">
        <is>
          <t>25-001</t>
        </is>
      </c>
      <c r="E2074" s="57" t="inlineStr">
        <is>
          <t>UKYT-25-001</t>
        </is>
      </c>
      <c r="F2074" s="57" t="inlineStr"/>
    </row>
    <row r="2075" ht="25" customHeight="1" s="55">
      <c r="A2075" s="57" t="inlineStr">
        <is>
          <t>Specific Gravity</t>
        </is>
      </c>
      <c r="B2075" s="57" t="n">
        <v>19</v>
      </c>
      <c r="C2075" s="57" t="inlineStr">
        <is>
          <t>Location</t>
        </is>
      </c>
      <c r="D2075" s="57" t="inlineStr">
        <is>
          <t>Hightunnel</t>
        </is>
      </c>
      <c r="E2075" s="57" t="inlineStr">
        <is>
          <t>High tunnel</t>
        </is>
      </c>
      <c r="F2075" s="57" t="inlineStr"/>
    </row>
    <row r="2076" ht="25" customHeight="1" s="55">
      <c r="A2076" s="57" t="inlineStr">
        <is>
          <t>Specific Gravity</t>
        </is>
      </c>
      <c r="B2076" s="57" t="n">
        <v>19</v>
      </c>
      <c r="C2076" s="57" t="inlineStr">
        <is>
          <t>Harvest</t>
        </is>
      </c>
      <c r="D2076" s="57" t="inlineStr">
        <is>
          <t>second</t>
        </is>
      </c>
      <c r="E2076" s="57" t="inlineStr">
        <is>
          <t>Second</t>
        </is>
      </c>
      <c r="F2076" s="57" t="inlineStr"/>
    </row>
    <row r="2077" ht="25" customHeight="1" s="55">
      <c r="A2077" s="57" t="inlineStr">
        <is>
          <t>Specific Gravity</t>
        </is>
      </c>
      <c r="B2077" s="57" t="n">
        <v>20</v>
      </c>
      <c r="C2077" s="57" t="inlineStr">
        <is>
          <t>Genotypes</t>
        </is>
      </c>
      <c r="D2077" s="57" t="inlineStr">
        <is>
          <t>25-002</t>
        </is>
      </c>
      <c r="E2077" s="57" t="inlineStr">
        <is>
          <t>UKYT-25-002</t>
        </is>
      </c>
      <c r="F2077" s="57" t="inlineStr"/>
    </row>
    <row r="2078" ht="25" customHeight="1" s="55">
      <c r="A2078" s="57" t="inlineStr">
        <is>
          <t>Specific Gravity</t>
        </is>
      </c>
      <c r="B2078" s="57" t="n">
        <v>20</v>
      </c>
      <c r="C2078" s="57" t="inlineStr">
        <is>
          <t>Location</t>
        </is>
      </c>
      <c r="D2078" s="57" t="inlineStr">
        <is>
          <t>Hightunnel</t>
        </is>
      </c>
      <c r="E2078" s="57" t="inlineStr">
        <is>
          <t>High tunnel</t>
        </is>
      </c>
      <c r="F2078" s="57" t="inlineStr"/>
    </row>
    <row r="2079" ht="25" customHeight="1" s="55">
      <c r="A2079" s="57" t="inlineStr">
        <is>
          <t>Specific Gravity</t>
        </is>
      </c>
      <c r="B2079" s="57" t="n">
        <v>20</v>
      </c>
      <c r="C2079" s="57" t="inlineStr">
        <is>
          <t>Harvest</t>
        </is>
      </c>
      <c r="D2079" s="57" t="inlineStr">
        <is>
          <t>second</t>
        </is>
      </c>
      <c r="E2079" s="57" t="inlineStr">
        <is>
          <t>Second</t>
        </is>
      </c>
      <c r="F2079" s="57" t="inlineStr"/>
    </row>
    <row r="2080" ht="25" customHeight="1" s="55">
      <c r="A2080" s="57" t="inlineStr">
        <is>
          <t>Specific Gravity</t>
        </is>
      </c>
      <c r="B2080" s="57" t="n">
        <v>21</v>
      </c>
      <c r="C2080" s="57" t="inlineStr">
        <is>
          <t>Genotypes</t>
        </is>
      </c>
      <c r="D2080" s="57" t="inlineStr">
        <is>
          <t>25-003</t>
        </is>
      </c>
      <c r="E2080" s="57" t="inlineStr">
        <is>
          <t>UKYT-25-003</t>
        </is>
      </c>
      <c r="F2080" s="57" t="inlineStr"/>
    </row>
    <row r="2081" ht="25" customHeight="1" s="55">
      <c r="A2081" s="57" t="inlineStr">
        <is>
          <t>Specific Gravity</t>
        </is>
      </c>
      <c r="B2081" s="57" t="n">
        <v>21</v>
      </c>
      <c r="C2081" s="57" t="inlineStr">
        <is>
          <t>Location</t>
        </is>
      </c>
      <c r="D2081" s="57" t="inlineStr">
        <is>
          <t>Hightunnel</t>
        </is>
      </c>
      <c r="E2081" s="57" t="inlineStr">
        <is>
          <t>High tunnel</t>
        </is>
      </c>
      <c r="F2081" s="57" t="inlineStr"/>
    </row>
    <row r="2082" ht="25" customHeight="1" s="55">
      <c r="A2082" s="57" t="inlineStr">
        <is>
          <t>Specific Gravity</t>
        </is>
      </c>
      <c r="B2082" s="57" t="n">
        <v>21</v>
      </c>
      <c r="C2082" s="57" t="inlineStr">
        <is>
          <t>Harvest</t>
        </is>
      </c>
      <c r="D2082" s="57" t="inlineStr">
        <is>
          <t>second</t>
        </is>
      </c>
      <c r="E2082" s="57" t="inlineStr">
        <is>
          <t>Second</t>
        </is>
      </c>
      <c r="F2082" s="57" t="inlineStr"/>
    </row>
    <row r="2083" ht="25" customHeight="1" s="55">
      <c r="A2083" s="57" t="inlineStr">
        <is>
          <t>Specific Gravity</t>
        </is>
      </c>
      <c r="B2083" s="57" t="n">
        <v>22</v>
      </c>
      <c r="C2083" s="57" t="inlineStr">
        <is>
          <t>Genotypes</t>
        </is>
      </c>
      <c r="D2083" s="57" t="inlineStr">
        <is>
          <t>25-004</t>
        </is>
      </c>
      <c r="E2083" s="57" t="inlineStr">
        <is>
          <t>UKYT-25-004</t>
        </is>
      </c>
      <c r="F2083" s="57" t="inlineStr"/>
    </row>
    <row r="2084" ht="25" customHeight="1" s="55">
      <c r="A2084" s="57" t="inlineStr">
        <is>
          <t>Specific Gravity</t>
        </is>
      </c>
      <c r="B2084" s="57" t="n">
        <v>22</v>
      </c>
      <c r="C2084" s="57" t="inlineStr">
        <is>
          <t>Location</t>
        </is>
      </c>
      <c r="D2084" s="57" t="inlineStr">
        <is>
          <t>Hightunnel</t>
        </is>
      </c>
      <c r="E2084" s="57" t="inlineStr">
        <is>
          <t>High tunnel</t>
        </is>
      </c>
      <c r="F2084" s="57" t="inlineStr"/>
    </row>
    <row r="2085" ht="25" customHeight="1" s="55">
      <c r="A2085" s="57" t="inlineStr">
        <is>
          <t>Specific Gravity</t>
        </is>
      </c>
      <c r="B2085" s="57" t="n">
        <v>22</v>
      </c>
      <c r="C2085" s="57" t="inlineStr">
        <is>
          <t>Harvest</t>
        </is>
      </c>
      <c r="D2085" s="57" t="inlineStr">
        <is>
          <t>second</t>
        </is>
      </c>
      <c r="E2085" s="57" t="inlineStr">
        <is>
          <t>Second</t>
        </is>
      </c>
      <c r="F2085" s="57" t="inlineStr"/>
    </row>
    <row r="2086" ht="25" customHeight="1" s="55">
      <c r="A2086" s="57" t="inlineStr">
        <is>
          <t>Specific Gravity</t>
        </is>
      </c>
      <c r="B2086" s="57" t="n">
        <v>23</v>
      </c>
      <c r="C2086" s="57" t="inlineStr">
        <is>
          <t>Genotypes</t>
        </is>
      </c>
      <c r="D2086" s="57" t="inlineStr">
        <is>
          <t>25-005</t>
        </is>
      </c>
      <c r="E2086" s="57" t="inlineStr">
        <is>
          <t>UKYT-25-005</t>
        </is>
      </c>
      <c r="F2086" s="57" t="inlineStr"/>
    </row>
    <row r="2087" ht="25" customHeight="1" s="55">
      <c r="A2087" s="57" t="inlineStr">
        <is>
          <t>Specific Gravity</t>
        </is>
      </c>
      <c r="B2087" s="57" t="n">
        <v>23</v>
      </c>
      <c r="C2087" s="57" t="inlineStr">
        <is>
          <t>Location</t>
        </is>
      </c>
      <c r="D2087" s="57" t="inlineStr">
        <is>
          <t>Hightunnel</t>
        </is>
      </c>
      <c r="E2087" s="57" t="inlineStr">
        <is>
          <t>High tunnel</t>
        </is>
      </c>
      <c r="F2087" s="57" t="inlineStr"/>
    </row>
    <row r="2088" ht="25" customHeight="1" s="55">
      <c r="A2088" s="57" t="inlineStr">
        <is>
          <t>Specific Gravity</t>
        </is>
      </c>
      <c r="B2088" s="57" t="n">
        <v>23</v>
      </c>
      <c r="C2088" s="57" t="inlineStr">
        <is>
          <t>Harvest</t>
        </is>
      </c>
      <c r="D2088" s="57" t="inlineStr">
        <is>
          <t>second</t>
        </is>
      </c>
      <c r="E2088" s="57" t="inlineStr">
        <is>
          <t>Second</t>
        </is>
      </c>
      <c r="F2088" s="57" t="inlineStr"/>
    </row>
    <row r="2089" ht="25" customHeight="1" s="55">
      <c r="A2089" s="57" t="inlineStr">
        <is>
          <t>Specific Gravity</t>
        </is>
      </c>
      <c r="B2089" s="57" t="n">
        <v>24</v>
      </c>
      <c r="C2089" s="57" t="inlineStr">
        <is>
          <t>Genotypes</t>
        </is>
      </c>
      <c r="D2089" s="57" t="inlineStr">
        <is>
          <t>25-006</t>
        </is>
      </c>
      <c r="E2089" s="57" t="inlineStr">
        <is>
          <t>UKYT-25-006</t>
        </is>
      </c>
      <c r="F2089" s="57" t="inlineStr"/>
    </row>
    <row r="2090" ht="25" customHeight="1" s="55">
      <c r="A2090" s="57" t="inlineStr">
        <is>
          <t>Specific Gravity</t>
        </is>
      </c>
      <c r="B2090" s="57" t="n">
        <v>24</v>
      </c>
      <c r="C2090" s="57" t="inlineStr">
        <is>
          <t>Location</t>
        </is>
      </c>
      <c r="D2090" s="57" t="inlineStr">
        <is>
          <t>Hightunnel</t>
        </is>
      </c>
      <c r="E2090" s="57" t="inlineStr">
        <is>
          <t>High tunnel</t>
        </is>
      </c>
      <c r="F2090" s="57" t="inlineStr"/>
    </row>
    <row r="2091" ht="25" customHeight="1" s="55">
      <c r="A2091" s="57" t="inlineStr">
        <is>
          <t>Specific Gravity</t>
        </is>
      </c>
      <c r="B2091" s="57" t="n">
        <v>24</v>
      </c>
      <c r="C2091" s="57" t="inlineStr">
        <is>
          <t>Harvest</t>
        </is>
      </c>
      <c r="D2091" s="57" t="inlineStr">
        <is>
          <t>second</t>
        </is>
      </c>
      <c r="E2091" s="57" t="inlineStr">
        <is>
          <t>Second</t>
        </is>
      </c>
      <c r="F2091" s="57" t="inlineStr"/>
    </row>
    <row r="2092" ht="25" customHeight="1" s="55">
      <c r="A2092" s="57" t="inlineStr">
        <is>
          <t>Specific Gravity</t>
        </is>
      </c>
      <c r="B2092" s="57" t="n">
        <v>25</v>
      </c>
      <c r="C2092" s="57" t="inlineStr">
        <is>
          <t>Genotypes</t>
        </is>
      </c>
      <c r="D2092" s="57" t="inlineStr">
        <is>
          <t>25-007</t>
        </is>
      </c>
      <c r="E2092" s="57" t="inlineStr">
        <is>
          <t>UKYT-25-007</t>
        </is>
      </c>
      <c r="F2092" s="57" t="inlineStr"/>
    </row>
    <row r="2093" ht="25" customHeight="1" s="55">
      <c r="A2093" s="57" t="inlineStr">
        <is>
          <t>Specific Gravity</t>
        </is>
      </c>
      <c r="B2093" s="57" t="n">
        <v>25</v>
      </c>
      <c r="C2093" s="57" t="inlineStr">
        <is>
          <t>Location</t>
        </is>
      </c>
      <c r="D2093" s="57" t="inlineStr">
        <is>
          <t>Hightunnel</t>
        </is>
      </c>
      <c r="E2093" s="57" t="inlineStr">
        <is>
          <t>High tunnel</t>
        </is>
      </c>
      <c r="F2093" s="57" t="inlineStr"/>
    </row>
    <row r="2094" ht="25" customHeight="1" s="55">
      <c r="A2094" s="57" t="inlineStr">
        <is>
          <t>Specific Gravity</t>
        </is>
      </c>
      <c r="B2094" s="57" t="n">
        <v>25</v>
      </c>
      <c r="C2094" s="57" t="inlineStr">
        <is>
          <t>Harvest</t>
        </is>
      </c>
      <c r="D2094" s="57" t="inlineStr">
        <is>
          <t>second</t>
        </is>
      </c>
      <c r="E2094" s="57" t="inlineStr">
        <is>
          <t>Second</t>
        </is>
      </c>
      <c r="F2094" s="57" t="inlineStr"/>
    </row>
    <row r="2095" ht="25" customHeight="1" s="55">
      <c r="A2095" s="57" t="inlineStr">
        <is>
          <t>Specific Gravity</t>
        </is>
      </c>
      <c r="B2095" s="57" t="n">
        <v>26</v>
      </c>
      <c r="C2095" s="57" t="inlineStr">
        <is>
          <t>Genotypes</t>
        </is>
      </c>
      <c r="D2095" s="57" t="inlineStr">
        <is>
          <t>25-008</t>
        </is>
      </c>
      <c r="E2095" s="57" t="inlineStr">
        <is>
          <t>UKYT-25-008</t>
        </is>
      </c>
      <c r="F2095" s="57" t="inlineStr"/>
    </row>
    <row r="2096" ht="25" customHeight="1" s="55">
      <c r="A2096" s="57" t="inlineStr">
        <is>
          <t>Specific Gravity</t>
        </is>
      </c>
      <c r="B2096" s="57" t="n">
        <v>26</v>
      </c>
      <c r="C2096" s="57" t="inlineStr">
        <is>
          <t>Location</t>
        </is>
      </c>
      <c r="D2096" s="57" t="inlineStr">
        <is>
          <t>Hightunnel</t>
        </is>
      </c>
      <c r="E2096" s="57" t="inlineStr">
        <is>
          <t>High tunnel</t>
        </is>
      </c>
      <c r="F2096" s="57" t="inlineStr"/>
    </row>
    <row r="2097" ht="25" customHeight="1" s="55">
      <c r="A2097" s="57" t="inlineStr">
        <is>
          <t>Specific Gravity</t>
        </is>
      </c>
      <c r="B2097" s="57" t="n">
        <v>26</v>
      </c>
      <c r="C2097" s="57" t="inlineStr">
        <is>
          <t>Harvest</t>
        </is>
      </c>
      <c r="D2097" s="57" t="inlineStr">
        <is>
          <t>second</t>
        </is>
      </c>
      <c r="E2097" s="57" t="inlineStr">
        <is>
          <t>Second</t>
        </is>
      </c>
      <c r="F2097" s="57" t="inlineStr"/>
    </row>
    <row r="2098" ht="25" customHeight="1" s="55">
      <c r="A2098" s="57" t="inlineStr">
        <is>
          <t>Specific Gravity</t>
        </is>
      </c>
      <c r="B2098" s="57" t="n">
        <v>27</v>
      </c>
      <c r="C2098" s="57" t="inlineStr">
        <is>
          <t>Genotypes</t>
        </is>
      </c>
      <c r="D2098" s="57" t="inlineStr">
        <is>
          <t>25-009</t>
        </is>
      </c>
      <c r="E2098" s="57" t="inlineStr">
        <is>
          <t>UKYT-25-009</t>
        </is>
      </c>
      <c r="F2098" s="57" t="inlineStr"/>
    </row>
    <row r="2099" ht="25" customHeight="1" s="55">
      <c r="A2099" s="57" t="inlineStr">
        <is>
          <t>Specific Gravity</t>
        </is>
      </c>
      <c r="B2099" s="57" t="n">
        <v>27</v>
      </c>
      <c r="C2099" s="57" t="inlineStr">
        <is>
          <t>Location</t>
        </is>
      </c>
      <c r="D2099" s="57" t="inlineStr">
        <is>
          <t>Hightunnel</t>
        </is>
      </c>
      <c r="E2099" s="57" t="inlineStr">
        <is>
          <t>High tunnel</t>
        </is>
      </c>
      <c r="F2099" s="57" t="inlineStr"/>
    </row>
    <row r="2100" ht="25" customHeight="1" s="55">
      <c r="A2100" s="57" t="inlineStr">
        <is>
          <t>Specific Gravity</t>
        </is>
      </c>
      <c r="B2100" s="57" t="n">
        <v>27</v>
      </c>
      <c r="C2100" s="57" t="inlineStr">
        <is>
          <t>Harvest</t>
        </is>
      </c>
      <c r="D2100" s="57" t="inlineStr">
        <is>
          <t>second</t>
        </is>
      </c>
      <c r="E2100" s="57" t="inlineStr">
        <is>
          <t>Second</t>
        </is>
      </c>
      <c r="F2100" s="57" t="inlineStr"/>
    </row>
    <row r="2101" ht="25" customHeight="1" s="55">
      <c r="A2101" s="57" t="inlineStr">
        <is>
          <t>Specific Gravity</t>
        </is>
      </c>
      <c r="B2101" s="57" t="n">
        <v>28</v>
      </c>
      <c r="C2101" s="57" t="inlineStr">
        <is>
          <t>Genotypes</t>
        </is>
      </c>
      <c r="D2101" s="57" t="inlineStr">
        <is>
          <t>25-010</t>
        </is>
      </c>
      <c r="E2101" s="57" t="inlineStr">
        <is>
          <t>UKYT-25-010</t>
        </is>
      </c>
      <c r="F2101" s="57" t="inlineStr"/>
    </row>
    <row r="2102" ht="25" customHeight="1" s="55">
      <c r="A2102" s="57" t="inlineStr">
        <is>
          <t>Specific Gravity</t>
        </is>
      </c>
      <c r="B2102" s="57" t="n">
        <v>28</v>
      </c>
      <c r="C2102" s="57" t="inlineStr">
        <is>
          <t>Location</t>
        </is>
      </c>
      <c r="D2102" s="57" t="inlineStr">
        <is>
          <t>Hightunnel</t>
        </is>
      </c>
      <c r="E2102" s="57" t="inlineStr">
        <is>
          <t>High tunnel</t>
        </is>
      </c>
      <c r="F2102" s="57" t="inlineStr"/>
    </row>
    <row r="2103" ht="25" customHeight="1" s="55">
      <c r="A2103" s="57" t="inlineStr">
        <is>
          <t>Specific Gravity</t>
        </is>
      </c>
      <c r="B2103" s="57" t="n">
        <v>28</v>
      </c>
      <c r="C2103" s="57" t="inlineStr">
        <is>
          <t>Harvest</t>
        </is>
      </c>
      <c r="D2103" s="57" t="inlineStr">
        <is>
          <t>second</t>
        </is>
      </c>
      <c r="E2103" s="57" t="inlineStr">
        <is>
          <t>Second</t>
        </is>
      </c>
      <c r="F2103" s="57" t="inlineStr"/>
    </row>
    <row r="2104" ht="25" customHeight="1" s="55">
      <c r="A2104" s="57" t="inlineStr">
        <is>
          <t>Specific Gravity</t>
        </is>
      </c>
      <c r="B2104" s="57" t="n">
        <v>29</v>
      </c>
      <c r="C2104" s="57" t="inlineStr">
        <is>
          <t>Genotypes</t>
        </is>
      </c>
      <c r="D2104" s="57" t="inlineStr">
        <is>
          <t>25-011</t>
        </is>
      </c>
      <c r="E2104" s="57" t="inlineStr">
        <is>
          <t>UKYT-25-011</t>
        </is>
      </c>
      <c r="F2104" s="57" t="inlineStr"/>
    </row>
    <row r="2105" ht="25" customHeight="1" s="55">
      <c r="A2105" s="57" t="inlineStr">
        <is>
          <t>Specific Gravity</t>
        </is>
      </c>
      <c r="B2105" s="57" t="n">
        <v>29</v>
      </c>
      <c r="C2105" s="57" t="inlineStr">
        <is>
          <t>Location</t>
        </is>
      </c>
      <c r="D2105" s="57" t="inlineStr">
        <is>
          <t>Hightunnel</t>
        </is>
      </c>
      <c r="E2105" s="57" t="inlineStr">
        <is>
          <t>High tunnel</t>
        </is>
      </c>
      <c r="F2105" s="57" t="inlineStr"/>
    </row>
    <row r="2106" ht="25" customHeight="1" s="55">
      <c r="A2106" s="57" t="inlineStr">
        <is>
          <t>Specific Gravity</t>
        </is>
      </c>
      <c r="B2106" s="57" t="n">
        <v>29</v>
      </c>
      <c r="C2106" s="57" t="inlineStr">
        <is>
          <t>Harvest</t>
        </is>
      </c>
      <c r="D2106" s="57" t="inlineStr">
        <is>
          <t>second</t>
        </is>
      </c>
      <c r="E2106" s="57" t="inlineStr">
        <is>
          <t>Second</t>
        </is>
      </c>
      <c r="F2106" s="57" t="inlineStr"/>
    </row>
    <row r="2107" ht="25" customHeight="1" s="55">
      <c r="A2107" s="57" t="inlineStr">
        <is>
          <t>Specific Gravity</t>
        </is>
      </c>
      <c r="B2107" s="57" t="n">
        <v>30</v>
      </c>
      <c r="C2107" s="57" t="inlineStr">
        <is>
          <t>Genotypes</t>
        </is>
      </c>
      <c r="D2107" s="57" t="inlineStr">
        <is>
          <t>25-012</t>
        </is>
      </c>
      <c r="E2107" s="57" t="inlineStr">
        <is>
          <t>UKYT-25-012</t>
        </is>
      </c>
      <c r="F2107" s="57" t="inlineStr"/>
    </row>
    <row r="2108" ht="25" customHeight="1" s="55">
      <c r="A2108" s="57" t="inlineStr">
        <is>
          <t>Specific Gravity</t>
        </is>
      </c>
      <c r="B2108" s="57" t="n">
        <v>30</v>
      </c>
      <c r="C2108" s="57" t="inlineStr">
        <is>
          <t>Location</t>
        </is>
      </c>
      <c r="D2108" s="57" t="inlineStr">
        <is>
          <t>Hightunnel</t>
        </is>
      </c>
      <c r="E2108" s="57" t="inlineStr">
        <is>
          <t>High tunnel</t>
        </is>
      </c>
      <c r="F2108" s="57" t="inlineStr"/>
    </row>
    <row r="2109" ht="25" customHeight="1" s="55">
      <c r="A2109" s="57" t="inlineStr">
        <is>
          <t>Specific Gravity</t>
        </is>
      </c>
      <c r="B2109" s="57" t="n">
        <v>30</v>
      </c>
      <c r="C2109" s="57" t="inlineStr">
        <is>
          <t>Harvest</t>
        </is>
      </c>
      <c r="D2109" s="57" t="inlineStr">
        <is>
          <t>second</t>
        </is>
      </c>
      <c r="E2109" s="57" t="inlineStr">
        <is>
          <t>Second</t>
        </is>
      </c>
      <c r="F2109" s="57" t="inlineStr"/>
    </row>
    <row r="2110" ht="25" customHeight="1" s="55">
      <c r="A2110" s="57" t="inlineStr">
        <is>
          <t>Specific Gravity</t>
        </is>
      </c>
      <c r="B2110" s="57" t="n">
        <v>31</v>
      </c>
      <c r="C2110" s="57" t="inlineStr">
        <is>
          <t>Genotypes</t>
        </is>
      </c>
      <c r="D2110" s="57" t="inlineStr">
        <is>
          <t>25-013</t>
        </is>
      </c>
      <c r="E2110" s="57" t="inlineStr">
        <is>
          <t>UKYT-25-013</t>
        </is>
      </c>
      <c r="F2110" s="57" t="inlineStr"/>
    </row>
    <row r="2111" ht="25" customHeight="1" s="55">
      <c r="A2111" s="57" t="inlineStr">
        <is>
          <t>Specific Gravity</t>
        </is>
      </c>
      <c r="B2111" s="57" t="n">
        <v>31</v>
      </c>
      <c r="C2111" s="57" t="inlineStr">
        <is>
          <t>Location</t>
        </is>
      </c>
      <c r="D2111" s="57" t="inlineStr">
        <is>
          <t>Hightunnel</t>
        </is>
      </c>
      <c r="E2111" s="57" t="inlineStr">
        <is>
          <t>High tunnel</t>
        </is>
      </c>
      <c r="F2111" s="57" t="inlineStr"/>
    </row>
    <row r="2112" ht="25" customHeight="1" s="55">
      <c r="A2112" s="57" t="inlineStr">
        <is>
          <t>Specific Gravity</t>
        </is>
      </c>
      <c r="B2112" s="57" t="n">
        <v>31</v>
      </c>
      <c r="C2112" s="57" t="inlineStr">
        <is>
          <t>Harvest</t>
        </is>
      </c>
      <c r="D2112" s="57" t="inlineStr">
        <is>
          <t>second</t>
        </is>
      </c>
      <c r="E2112" s="57" t="inlineStr">
        <is>
          <t>Second</t>
        </is>
      </c>
      <c r="F2112" s="57" t="inlineStr"/>
    </row>
    <row r="2113" ht="25" customHeight="1" s="55">
      <c r="A2113" s="57" t="inlineStr">
        <is>
          <t>Specific Gravity</t>
        </is>
      </c>
      <c r="B2113" s="57" t="n">
        <v>32</v>
      </c>
      <c r="C2113" s="57" t="inlineStr">
        <is>
          <t>Genotypes</t>
        </is>
      </c>
      <c r="D2113" s="57" t="inlineStr">
        <is>
          <t>25-014</t>
        </is>
      </c>
      <c r="E2113" s="57" t="inlineStr">
        <is>
          <t>UKYT-25-014</t>
        </is>
      </c>
      <c r="F2113" s="57" t="inlineStr"/>
    </row>
    <row r="2114" ht="25" customHeight="1" s="55">
      <c r="A2114" s="57" t="inlineStr">
        <is>
          <t>Specific Gravity</t>
        </is>
      </c>
      <c r="B2114" s="57" t="n">
        <v>32</v>
      </c>
      <c r="C2114" s="57" t="inlineStr">
        <is>
          <t>Location</t>
        </is>
      </c>
      <c r="D2114" s="57" t="inlineStr">
        <is>
          <t>Hightunnel</t>
        </is>
      </c>
      <c r="E2114" s="57" t="inlineStr">
        <is>
          <t>High tunnel</t>
        </is>
      </c>
      <c r="F2114" s="57" t="inlineStr"/>
    </row>
    <row r="2115" ht="25" customHeight="1" s="55">
      <c r="A2115" s="57" t="inlineStr">
        <is>
          <t>Specific Gravity</t>
        </is>
      </c>
      <c r="B2115" s="57" t="n">
        <v>32</v>
      </c>
      <c r="C2115" s="57" t="inlineStr">
        <is>
          <t>Harvest</t>
        </is>
      </c>
      <c r="D2115" s="57" t="inlineStr">
        <is>
          <t>second</t>
        </is>
      </c>
      <c r="E2115" s="57" t="inlineStr">
        <is>
          <t>Second</t>
        </is>
      </c>
      <c r="F2115" s="57" t="inlineStr"/>
    </row>
    <row r="2116" ht="25" customHeight="1" s="55">
      <c r="A2116" s="57" t="inlineStr">
        <is>
          <t>Specific Gravity</t>
        </is>
      </c>
      <c r="B2116" s="57" t="n">
        <v>33</v>
      </c>
      <c r="C2116" s="57" t="inlineStr">
        <is>
          <t>Genotypes</t>
        </is>
      </c>
      <c r="D2116" s="57" t="inlineStr">
        <is>
          <t>25-017</t>
        </is>
      </c>
      <c r="E2116" s="57" t="inlineStr">
        <is>
          <t>UKYT-25-017</t>
        </is>
      </c>
      <c r="F2116" s="57" t="inlineStr"/>
    </row>
    <row r="2117" ht="25" customHeight="1" s="55">
      <c r="A2117" s="57" t="inlineStr">
        <is>
          <t>Specific Gravity</t>
        </is>
      </c>
      <c r="B2117" s="57" t="n">
        <v>33</v>
      </c>
      <c r="C2117" s="57" t="inlineStr">
        <is>
          <t>Location</t>
        </is>
      </c>
      <c r="D2117" s="57" t="inlineStr">
        <is>
          <t>Hightunnel</t>
        </is>
      </c>
      <c r="E2117" s="57" t="inlineStr">
        <is>
          <t>High tunnel</t>
        </is>
      </c>
      <c r="F2117" s="57" t="inlineStr"/>
    </row>
    <row r="2118" ht="25" customHeight="1" s="55">
      <c r="A2118" s="57" t="inlineStr">
        <is>
          <t>Specific Gravity</t>
        </is>
      </c>
      <c r="B2118" s="57" t="n">
        <v>33</v>
      </c>
      <c r="C2118" s="57" t="inlineStr">
        <is>
          <t>Harvest</t>
        </is>
      </c>
      <c r="D2118" s="57" t="inlineStr">
        <is>
          <t>second</t>
        </is>
      </c>
      <c r="E2118" s="57" t="inlineStr">
        <is>
          <t>Second</t>
        </is>
      </c>
      <c r="F2118" s="57" t="inlineStr"/>
    </row>
    <row r="2119" ht="25" customHeight="1" s="55">
      <c r="A2119" s="57" t="inlineStr">
        <is>
          <t>Specific Gravity</t>
        </is>
      </c>
      <c r="B2119" s="57" t="n">
        <v>34</v>
      </c>
      <c r="C2119" s="57" t="inlineStr">
        <is>
          <t>Genotypes</t>
        </is>
      </c>
      <c r="D2119" s="57" t="inlineStr">
        <is>
          <t>26-001</t>
        </is>
      </c>
      <c r="E2119" s="57" t="inlineStr">
        <is>
          <t>UKYT-26-001</t>
        </is>
      </c>
      <c r="F2119" s="57" t="inlineStr"/>
    </row>
    <row r="2120" ht="25" customHeight="1" s="55">
      <c r="A2120" s="57" t="inlineStr">
        <is>
          <t>Specific Gravity</t>
        </is>
      </c>
      <c r="B2120" s="57" t="n">
        <v>34</v>
      </c>
      <c r="C2120" s="57" t="inlineStr">
        <is>
          <t>Location</t>
        </is>
      </c>
      <c r="D2120" s="57" t="inlineStr">
        <is>
          <t>Hightunnel</t>
        </is>
      </c>
      <c r="E2120" s="57" t="inlineStr">
        <is>
          <t>High tunnel</t>
        </is>
      </c>
      <c r="F2120" s="57" t="inlineStr"/>
    </row>
    <row r="2121" ht="25" customHeight="1" s="55">
      <c r="A2121" s="57" t="inlineStr">
        <is>
          <t>Specific Gravity</t>
        </is>
      </c>
      <c r="B2121" s="57" t="n">
        <v>34</v>
      </c>
      <c r="C2121" s="57" t="inlineStr">
        <is>
          <t>Harvest</t>
        </is>
      </c>
      <c r="D2121" s="57" t="inlineStr">
        <is>
          <t>second</t>
        </is>
      </c>
      <c r="E2121" s="57" t="inlineStr">
        <is>
          <t>Second</t>
        </is>
      </c>
      <c r="F2121" s="57" t="inlineStr"/>
    </row>
    <row r="2122" ht="25" customHeight="1" s="55">
      <c r="A2122" s="57" t="inlineStr">
        <is>
          <t>Specific Gravity</t>
        </is>
      </c>
      <c r="B2122" s="57" t="n">
        <v>35</v>
      </c>
      <c r="C2122" s="57" t="inlineStr">
        <is>
          <t>Genotypes</t>
        </is>
      </c>
      <c r="D2122" s="57" t="inlineStr">
        <is>
          <t>26-006</t>
        </is>
      </c>
      <c r="E2122" s="57" t="inlineStr">
        <is>
          <t>UKYT-26-006</t>
        </is>
      </c>
      <c r="F2122" s="57" t="inlineStr"/>
    </row>
    <row r="2123" ht="25" customHeight="1" s="55">
      <c r="A2123" s="57" t="inlineStr">
        <is>
          <t>Specific Gravity</t>
        </is>
      </c>
      <c r="B2123" s="57" t="n">
        <v>35</v>
      </c>
      <c r="C2123" s="57" t="inlineStr">
        <is>
          <t>Location</t>
        </is>
      </c>
      <c r="D2123" s="57" t="inlineStr">
        <is>
          <t>Hightunnel</t>
        </is>
      </c>
      <c r="E2123" s="57" t="inlineStr">
        <is>
          <t>High tunnel</t>
        </is>
      </c>
      <c r="F2123" s="57" t="inlineStr"/>
    </row>
    <row r="2124" ht="25" customHeight="1" s="55">
      <c r="A2124" s="57" t="inlineStr">
        <is>
          <t>Specific Gravity</t>
        </is>
      </c>
      <c r="B2124" s="57" t="n">
        <v>35</v>
      </c>
      <c r="C2124" s="57" t="inlineStr">
        <is>
          <t>Harvest</t>
        </is>
      </c>
      <c r="D2124" s="57" t="inlineStr">
        <is>
          <t>second</t>
        </is>
      </c>
      <c r="E2124" s="57" t="inlineStr">
        <is>
          <t>Second</t>
        </is>
      </c>
      <c r="F2124" s="57" t="inlineStr"/>
    </row>
    <row r="2125" ht="25" customHeight="1" s="55">
      <c r="A2125" s="57" t="inlineStr">
        <is>
          <t>Specific Gravity</t>
        </is>
      </c>
      <c r="B2125" s="57" t="n">
        <v>36</v>
      </c>
      <c r="C2125" s="57" t="inlineStr">
        <is>
          <t>Genotypes</t>
        </is>
      </c>
      <c r="D2125" s="57" t="inlineStr">
        <is>
          <t>26-011</t>
        </is>
      </c>
      <c r="E2125" s="57" t="inlineStr">
        <is>
          <t>UKYT-26-011</t>
        </is>
      </c>
      <c r="F2125" s="57" t="inlineStr"/>
    </row>
    <row r="2126" ht="25" customHeight="1" s="55">
      <c r="A2126" s="57" t="inlineStr">
        <is>
          <t>Specific Gravity</t>
        </is>
      </c>
      <c r="B2126" s="57" t="n">
        <v>36</v>
      </c>
      <c r="C2126" s="57" t="inlineStr">
        <is>
          <t>Location</t>
        </is>
      </c>
      <c r="D2126" s="57" t="inlineStr">
        <is>
          <t>Hightunnel</t>
        </is>
      </c>
      <c r="E2126" s="57" t="inlineStr">
        <is>
          <t>High tunnel</t>
        </is>
      </c>
      <c r="F2126" s="57" t="inlineStr"/>
    </row>
    <row r="2127" ht="25" customHeight="1" s="55">
      <c r="A2127" s="57" t="inlineStr">
        <is>
          <t>Specific Gravity</t>
        </is>
      </c>
      <c r="B2127" s="57" t="n">
        <v>36</v>
      </c>
      <c r="C2127" s="57" t="inlineStr">
        <is>
          <t>Harvest</t>
        </is>
      </c>
      <c r="D2127" s="57" t="inlineStr">
        <is>
          <t>second</t>
        </is>
      </c>
      <c r="E2127" s="57" t="inlineStr">
        <is>
          <t>Second</t>
        </is>
      </c>
      <c r="F2127" s="57" t="inlineStr"/>
    </row>
    <row r="2128" ht="25" customHeight="1" s="55">
      <c r="A2128" s="57" t="inlineStr">
        <is>
          <t>Specific Gravity</t>
        </is>
      </c>
      <c r="B2128" s="57" t="n">
        <v>37</v>
      </c>
      <c r="C2128" s="57" t="inlineStr">
        <is>
          <t>Genotypes</t>
        </is>
      </c>
      <c r="D2128" s="57" t="inlineStr">
        <is>
          <t>26-014</t>
        </is>
      </c>
      <c r="E2128" s="57" t="inlineStr">
        <is>
          <t>UKYT-26-014</t>
        </is>
      </c>
      <c r="F2128" s="57" t="inlineStr"/>
    </row>
    <row r="2129" ht="25" customHeight="1" s="55">
      <c r="A2129" s="57" t="inlineStr">
        <is>
          <t>Specific Gravity</t>
        </is>
      </c>
      <c r="B2129" s="57" t="n">
        <v>37</v>
      </c>
      <c r="C2129" s="57" t="inlineStr">
        <is>
          <t>Location</t>
        </is>
      </c>
      <c r="D2129" s="57" t="inlineStr">
        <is>
          <t>Hightunnel</t>
        </is>
      </c>
      <c r="E2129" s="57" t="inlineStr">
        <is>
          <t>High tunnel</t>
        </is>
      </c>
      <c r="F2129" s="57" t="inlineStr"/>
    </row>
    <row r="2130" ht="25" customHeight="1" s="55">
      <c r="A2130" s="57" t="inlineStr">
        <is>
          <t>Specific Gravity</t>
        </is>
      </c>
      <c r="B2130" s="57" t="n">
        <v>37</v>
      </c>
      <c r="C2130" s="57" t="inlineStr">
        <is>
          <t>Harvest</t>
        </is>
      </c>
      <c r="D2130" s="57" t="inlineStr">
        <is>
          <t>second</t>
        </is>
      </c>
      <c r="E2130" s="57" t="inlineStr">
        <is>
          <t>Second</t>
        </is>
      </c>
      <c r="F2130" s="57" t="inlineStr"/>
    </row>
    <row r="2131" ht="25" customHeight="1" s="55">
      <c r="A2131" s="57" t="inlineStr">
        <is>
          <t>Specific Gravity</t>
        </is>
      </c>
      <c r="B2131" s="57" t="n">
        <v>38</v>
      </c>
      <c r="C2131" s="57" t="inlineStr">
        <is>
          <t>Genotypes</t>
        </is>
      </c>
      <c r="D2131" s="57" t="inlineStr">
        <is>
          <t>25-002</t>
        </is>
      </c>
      <c r="E2131" s="57" t="inlineStr">
        <is>
          <t>UKYT-25-002</t>
        </is>
      </c>
      <c r="F2131" s="57" t="inlineStr"/>
    </row>
    <row r="2132" ht="25" customHeight="1" s="55">
      <c r="A2132" s="57" t="inlineStr">
        <is>
          <t>Specific Gravity</t>
        </is>
      </c>
      <c r="B2132" s="57" t="n">
        <v>39</v>
      </c>
      <c r="C2132" s="57" t="inlineStr">
        <is>
          <t>Genotypes</t>
        </is>
      </c>
      <c r="D2132" s="57" t="inlineStr">
        <is>
          <t>25-003</t>
        </is>
      </c>
      <c r="E2132" s="57" t="inlineStr">
        <is>
          <t>UKYT-25-003</t>
        </is>
      </c>
      <c r="F2132" s="57" t="inlineStr"/>
    </row>
    <row r="2133" ht="25" customHeight="1" s="55">
      <c r="A2133" s="57" t="inlineStr">
        <is>
          <t>Specific Gravity</t>
        </is>
      </c>
      <c r="B2133" s="57" t="n">
        <v>40</v>
      </c>
      <c r="C2133" s="57" t="inlineStr">
        <is>
          <t>Genotypes</t>
        </is>
      </c>
      <c r="D2133" s="57" t="inlineStr">
        <is>
          <t>25-004</t>
        </is>
      </c>
      <c r="E2133" s="57" t="inlineStr">
        <is>
          <t>UKYT-25-004</t>
        </is>
      </c>
      <c r="F2133" s="57" t="inlineStr"/>
    </row>
    <row r="2134" ht="25" customHeight="1" s="55">
      <c r="A2134" s="57" t="inlineStr">
        <is>
          <t>Specific Gravity</t>
        </is>
      </c>
      <c r="B2134" s="57" t="n">
        <v>41</v>
      </c>
      <c r="C2134" s="57" t="inlineStr">
        <is>
          <t>Genotypes</t>
        </is>
      </c>
      <c r="D2134" s="57" t="inlineStr">
        <is>
          <t>25-005</t>
        </is>
      </c>
      <c r="E2134" s="57" t="inlineStr">
        <is>
          <t>UKYT-25-005</t>
        </is>
      </c>
      <c r="F2134" s="57" t="inlineStr"/>
    </row>
    <row r="2135" ht="25" customHeight="1" s="55">
      <c r="A2135" s="57" t="inlineStr">
        <is>
          <t>Specific Gravity</t>
        </is>
      </c>
      <c r="B2135" s="57" t="n">
        <v>42</v>
      </c>
      <c r="C2135" s="57" t="inlineStr">
        <is>
          <t>Genotypes</t>
        </is>
      </c>
      <c r="D2135" s="57" t="inlineStr">
        <is>
          <t>25-006</t>
        </is>
      </c>
      <c r="E2135" s="57" t="inlineStr">
        <is>
          <t>UKYT-25-006</t>
        </is>
      </c>
      <c r="F2135" s="57" t="inlineStr"/>
    </row>
    <row r="2136" ht="25" customHeight="1" s="55">
      <c r="A2136" s="57" t="inlineStr">
        <is>
          <t>Specific Gravity</t>
        </is>
      </c>
      <c r="B2136" s="57" t="n">
        <v>43</v>
      </c>
      <c r="C2136" s="57" t="inlineStr">
        <is>
          <t>Genotypes</t>
        </is>
      </c>
      <c r="D2136" s="57" t="inlineStr">
        <is>
          <t>25-007</t>
        </is>
      </c>
      <c r="E2136" s="57" t="inlineStr">
        <is>
          <t>UKYT-25-007</t>
        </is>
      </c>
      <c r="F2136" s="57" t="inlineStr"/>
    </row>
    <row r="2137" ht="25" customHeight="1" s="55">
      <c r="A2137" s="57" t="inlineStr">
        <is>
          <t>Specific Gravity</t>
        </is>
      </c>
      <c r="B2137" s="57" t="n">
        <v>44</v>
      </c>
      <c r="C2137" s="57" t="inlineStr">
        <is>
          <t>Genotypes</t>
        </is>
      </c>
      <c r="D2137" s="57" t="inlineStr">
        <is>
          <t>25-008</t>
        </is>
      </c>
      <c r="E2137" s="57" t="inlineStr">
        <is>
          <t>UKYT-25-008</t>
        </is>
      </c>
      <c r="F2137" s="57" t="inlineStr"/>
    </row>
    <row r="2138" ht="25" customHeight="1" s="55">
      <c r="A2138" s="57" t="inlineStr">
        <is>
          <t>Specific Gravity</t>
        </is>
      </c>
      <c r="B2138" s="57" t="n">
        <v>45</v>
      </c>
      <c r="C2138" s="57" t="inlineStr">
        <is>
          <t>Genotypes</t>
        </is>
      </c>
      <c r="D2138" s="57" t="inlineStr">
        <is>
          <t>25-009</t>
        </is>
      </c>
      <c r="E2138" s="57" t="inlineStr">
        <is>
          <t>UKYT-25-009</t>
        </is>
      </c>
      <c r="F2138" s="57" t="inlineStr"/>
    </row>
    <row r="2139" ht="25" customHeight="1" s="55">
      <c r="A2139" s="57" t="inlineStr">
        <is>
          <t>Specific Gravity</t>
        </is>
      </c>
      <c r="B2139" s="57" t="n">
        <v>46</v>
      </c>
      <c r="C2139" s="57" t="inlineStr">
        <is>
          <t>Genotypes</t>
        </is>
      </c>
      <c r="D2139" s="57" t="inlineStr">
        <is>
          <t>25-010</t>
        </is>
      </c>
      <c r="E2139" s="57" t="inlineStr">
        <is>
          <t>UKYT-25-010</t>
        </is>
      </c>
      <c r="F2139" s="57" t="inlineStr"/>
    </row>
    <row r="2140" ht="25" customHeight="1" s="55">
      <c r="A2140" s="57" t="inlineStr">
        <is>
          <t>Specific Gravity</t>
        </is>
      </c>
      <c r="B2140" s="57" t="n">
        <v>47</v>
      </c>
      <c r="C2140" s="57" t="inlineStr">
        <is>
          <t>Genotypes</t>
        </is>
      </c>
      <c r="D2140" s="57" t="inlineStr">
        <is>
          <t>25-011</t>
        </is>
      </c>
      <c r="E2140" s="57" t="inlineStr">
        <is>
          <t>UKYT-25-011</t>
        </is>
      </c>
      <c r="F2140" s="57" t="inlineStr"/>
    </row>
    <row r="2141" ht="25" customHeight="1" s="55">
      <c r="A2141" s="57" t="inlineStr">
        <is>
          <t>Specific Gravity</t>
        </is>
      </c>
      <c r="B2141" s="57" t="n">
        <v>48</v>
      </c>
      <c r="C2141" s="57" t="inlineStr">
        <is>
          <t>Genotypes</t>
        </is>
      </c>
      <c r="D2141" s="57" t="inlineStr">
        <is>
          <t>25-012</t>
        </is>
      </c>
      <c r="E2141" s="57" t="inlineStr">
        <is>
          <t>UKYT-25-012</t>
        </is>
      </c>
      <c r="F2141" s="57" t="inlineStr"/>
    </row>
    <row r="2142" ht="25" customHeight="1" s="55">
      <c r="A2142" s="57" t="inlineStr">
        <is>
          <t>Specific Gravity</t>
        </is>
      </c>
      <c r="B2142" s="57" t="n">
        <v>48</v>
      </c>
      <c r="C2142" s="57" t="inlineStr">
        <is>
          <t>Date of harvest</t>
        </is>
      </c>
      <c r="D2142" s="57" t="inlineStr"/>
      <c r="E2142" s="57" t="inlineStr">
        <is>
          <t>2026-07-27</t>
        </is>
      </c>
      <c r="F2142" s="57" t="inlineStr">
        <is>
          <t>forward_filled</t>
        </is>
      </c>
    </row>
    <row r="2143" ht="25" customHeight="1" s="55">
      <c r="A2143" s="57" t="inlineStr">
        <is>
          <t>Specific Gravity</t>
        </is>
      </c>
      <c r="B2143" s="57" t="n">
        <v>49</v>
      </c>
      <c r="C2143" s="57" t="inlineStr">
        <is>
          <t>Genotypes</t>
        </is>
      </c>
      <c r="D2143" s="57" t="inlineStr">
        <is>
          <t>25-013</t>
        </is>
      </c>
      <c r="E2143" s="57" t="inlineStr">
        <is>
          <t>UKYT-25-013</t>
        </is>
      </c>
      <c r="F2143" s="57" t="inlineStr"/>
    </row>
    <row r="2144" ht="25" customHeight="1" s="55">
      <c r="A2144" s="57" t="inlineStr">
        <is>
          <t>Specific Gravity</t>
        </is>
      </c>
      <c r="B2144" s="57" t="n">
        <v>50</v>
      </c>
      <c r="C2144" s="57" t="inlineStr">
        <is>
          <t>Genotypes</t>
        </is>
      </c>
      <c r="D2144" s="57" t="inlineStr">
        <is>
          <t>25-014</t>
        </is>
      </c>
      <c r="E2144" s="57" t="inlineStr">
        <is>
          <t>UKYT-25-014</t>
        </is>
      </c>
      <c r="F2144" s="57" t="inlineStr"/>
    </row>
    <row r="2145" ht="25" customHeight="1" s="55">
      <c r="A2145" s="57" t="inlineStr">
        <is>
          <t>Specific Gravity</t>
        </is>
      </c>
      <c r="B2145" s="57" t="n">
        <v>50</v>
      </c>
      <c r="C2145" s="57" t="inlineStr">
        <is>
          <t>Date of harvest</t>
        </is>
      </c>
      <c r="D2145" s="57" t="inlineStr"/>
      <c r="E2145" s="57" t="inlineStr">
        <is>
          <t>2026-07-27</t>
        </is>
      </c>
      <c r="F2145" s="57" t="inlineStr">
        <is>
          <t>forward_filled</t>
        </is>
      </c>
    </row>
    <row r="2146" ht="25" customHeight="1" s="55">
      <c r="A2146" s="57" t="inlineStr">
        <is>
          <t>Specific Gravity</t>
        </is>
      </c>
      <c r="B2146" s="57" t="n">
        <v>51</v>
      </c>
      <c r="C2146" s="57" t="inlineStr">
        <is>
          <t>Genotypes</t>
        </is>
      </c>
      <c r="D2146" s="57" t="inlineStr">
        <is>
          <t>25-015</t>
        </is>
      </c>
      <c r="E2146" s="57" t="inlineStr">
        <is>
          <t>UKYT-25-015</t>
        </is>
      </c>
      <c r="F2146" s="57" t="inlineStr"/>
    </row>
    <row r="2147" ht="25" customHeight="1" s="55">
      <c r="A2147" s="57" t="inlineStr">
        <is>
          <t>Specific Gravity</t>
        </is>
      </c>
      <c r="B2147" s="57" t="n">
        <v>51</v>
      </c>
      <c r="C2147" s="57" t="inlineStr">
        <is>
          <t>Harvest</t>
        </is>
      </c>
      <c r="D2147" s="57" t="inlineStr">
        <is>
          <t>second</t>
        </is>
      </c>
      <c r="E2147" s="57" t="inlineStr">
        <is>
          <t>Second</t>
        </is>
      </c>
      <c r="F2147" s="57" t="inlineStr"/>
    </row>
    <row r="2148" ht="25" customHeight="1" s="55">
      <c r="A2148" s="57" t="inlineStr">
        <is>
          <t>Specific Gravity</t>
        </is>
      </c>
      <c r="B2148" s="57" t="n">
        <v>52</v>
      </c>
      <c r="C2148" s="57" t="inlineStr">
        <is>
          <t>Genotypes</t>
        </is>
      </c>
      <c r="D2148" s="57" t="inlineStr">
        <is>
          <t>26-016</t>
        </is>
      </c>
      <c r="E2148" s="57" t="inlineStr">
        <is>
          <t>UKYT-26-016</t>
        </is>
      </c>
      <c r="F2148" s="57" t="inlineStr"/>
    </row>
    <row r="2149" ht="25" customHeight="1" s="55">
      <c r="A2149" s="57" t="inlineStr">
        <is>
          <t>Specific Gravity</t>
        </is>
      </c>
      <c r="B2149" s="57" t="n">
        <v>52</v>
      </c>
      <c r="C2149" s="57" t="inlineStr">
        <is>
          <t>Harvest</t>
        </is>
      </c>
      <c r="D2149" s="57" t="inlineStr">
        <is>
          <t>first</t>
        </is>
      </c>
      <c r="E2149" s="57" t="inlineStr">
        <is>
          <t>First</t>
        </is>
      </c>
      <c r="F2149" s="57" t="inlineStr"/>
    </row>
    <row r="2150" ht="25" customHeight="1" s="55">
      <c r="A2150" s="57" t="inlineStr">
        <is>
          <t>Specific Gravity</t>
        </is>
      </c>
      <c r="B2150" s="57" t="n">
        <v>53</v>
      </c>
      <c r="C2150" s="57" t="inlineStr">
        <is>
          <t>Genotypes</t>
        </is>
      </c>
      <c r="D2150" s="57" t="inlineStr">
        <is>
          <t>26-017</t>
        </is>
      </c>
      <c r="E2150" s="57" t="inlineStr">
        <is>
          <t>UKYT-26-017</t>
        </is>
      </c>
      <c r="F2150" s="57" t="inlineStr"/>
    </row>
    <row r="2151" ht="25" customHeight="1" s="55">
      <c r="A2151" s="57" t="inlineStr">
        <is>
          <t>Specific Gravity</t>
        </is>
      </c>
      <c r="B2151" s="57" t="n">
        <v>53</v>
      </c>
      <c r="C2151" s="57" t="inlineStr">
        <is>
          <t>Harvest</t>
        </is>
      </c>
      <c r="D2151" s="57" t="inlineStr">
        <is>
          <t>first</t>
        </is>
      </c>
      <c r="E2151" s="57" t="inlineStr">
        <is>
          <t>First</t>
        </is>
      </c>
      <c r="F2151" s="57" t="inlineStr"/>
    </row>
    <row r="2152" ht="25" customHeight="1" s="55">
      <c r="A2152" s="57" t="inlineStr">
        <is>
          <t>Specific Gravity</t>
        </is>
      </c>
      <c r="B2152" s="57" t="n">
        <v>54</v>
      </c>
      <c r="C2152" s="57" t="inlineStr">
        <is>
          <t>Genotypes</t>
        </is>
      </c>
      <c r="D2152" s="57" t="inlineStr">
        <is>
          <t>25-011 R1</t>
        </is>
      </c>
      <c r="E2152" s="57" t="inlineStr">
        <is>
          <t>UKYT-25-011</t>
        </is>
      </c>
      <c r="F2152" s="57" t="inlineStr"/>
    </row>
    <row r="2153" ht="25" customHeight="1" s="55">
      <c r="A2153" s="57" t="inlineStr">
        <is>
          <t>Specific Gravity</t>
        </is>
      </c>
      <c r="B2153" s="57" t="n">
        <v>54</v>
      </c>
      <c r="C2153" s="57" t="inlineStr">
        <is>
          <t>Location</t>
        </is>
      </c>
      <c r="D2153" s="57" t="inlineStr">
        <is>
          <t>open field</t>
        </is>
      </c>
      <c r="E2153" s="57" t="inlineStr">
        <is>
          <t>Open field</t>
        </is>
      </c>
      <c r="F2153" s="57" t="inlineStr"/>
    </row>
    <row r="2154" ht="25" customHeight="1" s="55">
      <c r="A2154" s="57" t="inlineStr">
        <is>
          <t>Specific Gravity</t>
        </is>
      </c>
      <c r="B2154" s="57" t="n">
        <v>54</v>
      </c>
      <c r="C2154" s="57" t="inlineStr">
        <is>
          <t>Harvest</t>
        </is>
      </c>
      <c r="D2154" s="57" t="inlineStr">
        <is>
          <t>first</t>
        </is>
      </c>
      <c r="E2154" s="57" t="inlineStr">
        <is>
          <t>First</t>
        </is>
      </c>
      <c r="F2154" s="57" t="inlineStr"/>
    </row>
    <row r="2155" ht="25" customHeight="1" s="55">
      <c r="A2155" s="57" t="inlineStr">
        <is>
          <t>Specific Gravity</t>
        </is>
      </c>
      <c r="B2155" s="57" t="n">
        <v>55</v>
      </c>
      <c r="C2155" s="57" t="inlineStr">
        <is>
          <t>Genotypes</t>
        </is>
      </c>
      <c r="D2155" s="57" t="inlineStr">
        <is>
          <t>25-010 R1</t>
        </is>
      </c>
      <c r="E2155" s="57" t="inlineStr">
        <is>
          <t>UKYT-25-010</t>
        </is>
      </c>
      <c r="F2155" s="57" t="inlineStr"/>
    </row>
    <row r="2156" ht="25" customHeight="1" s="55">
      <c r="A2156" s="57" t="inlineStr">
        <is>
          <t>Specific Gravity</t>
        </is>
      </c>
      <c r="B2156" s="57" t="n">
        <v>55</v>
      </c>
      <c r="C2156" s="57" t="inlineStr">
        <is>
          <t>Location</t>
        </is>
      </c>
      <c r="D2156" s="57" t="inlineStr">
        <is>
          <t>open field</t>
        </is>
      </c>
      <c r="E2156" s="57" t="inlineStr">
        <is>
          <t>Open field</t>
        </is>
      </c>
      <c r="F2156" s="57" t="inlineStr"/>
    </row>
    <row r="2157" ht="25" customHeight="1" s="55">
      <c r="A2157" s="57" t="inlineStr">
        <is>
          <t>Specific Gravity</t>
        </is>
      </c>
      <c r="B2157" s="57" t="n">
        <v>55</v>
      </c>
      <c r="C2157" s="57" t="inlineStr">
        <is>
          <t>Harvest</t>
        </is>
      </c>
      <c r="D2157" s="57" t="inlineStr">
        <is>
          <t>first</t>
        </is>
      </c>
      <c r="E2157" s="57" t="inlineStr">
        <is>
          <t>First</t>
        </is>
      </c>
      <c r="F2157" s="57" t="inlineStr"/>
    </row>
    <row r="2158" ht="25" customHeight="1" s="55">
      <c r="A2158" s="57" t="inlineStr">
        <is>
          <t>Specific Gravity</t>
        </is>
      </c>
      <c r="B2158" s="57" t="n">
        <v>56</v>
      </c>
      <c r="C2158" s="57" t="inlineStr">
        <is>
          <t>Genotypes</t>
        </is>
      </c>
      <c r="D2158" s="57" t="inlineStr">
        <is>
          <t>26-002 R1</t>
        </is>
      </c>
      <c r="E2158" s="57" t="inlineStr">
        <is>
          <t>UKYT-26-002</t>
        </is>
      </c>
      <c r="F2158" s="57" t="inlineStr"/>
    </row>
    <row r="2159" ht="25" customHeight="1" s="55">
      <c r="A2159" s="57" t="inlineStr">
        <is>
          <t>Specific Gravity</t>
        </is>
      </c>
      <c r="B2159" s="57" t="n">
        <v>56</v>
      </c>
      <c r="C2159" s="57" t="inlineStr">
        <is>
          <t>Location</t>
        </is>
      </c>
      <c r="D2159" s="57" t="inlineStr">
        <is>
          <t>open field</t>
        </is>
      </c>
      <c r="E2159" s="57" t="inlineStr">
        <is>
          <t>Open field</t>
        </is>
      </c>
      <c r="F2159" s="57" t="inlineStr"/>
    </row>
    <row r="2160" ht="25" customHeight="1" s="55">
      <c r="A2160" s="57" t="inlineStr">
        <is>
          <t>Specific Gravity</t>
        </is>
      </c>
      <c r="B2160" s="57" t="n">
        <v>56</v>
      </c>
      <c r="C2160" s="57" t="inlineStr">
        <is>
          <t>Harvest</t>
        </is>
      </c>
      <c r="D2160" s="57" t="inlineStr">
        <is>
          <t>first</t>
        </is>
      </c>
      <c r="E2160" s="57" t="inlineStr">
        <is>
          <t>First</t>
        </is>
      </c>
      <c r="F2160" s="57" t="inlineStr"/>
    </row>
    <row r="2161" ht="25" customHeight="1" s="55">
      <c r="A2161" s="57" t="inlineStr">
        <is>
          <t>Specific Gravity</t>
        </is>
      </c>
      <c r="B2161" s="57" t="n">
        <v>57</v>
      </c>
      <c r="C2161" s="57" t="inlineStr">
        <is>
          <t>Genotypes</t>
        </is>
      </c>
      <c r="D2161" s="57" t="inlineStr">
        <is>
          <t>25-018 R1</t>
        </is>
      </c>
      <c r="E2161" s="57" t="inlineStr">
        <is>
          <t>UKYT-25-018</t>
        </is>
      </c>
      <c r="F2161" s="57" t="inlineStr"/>
    </row>
    <row r="2162" ht="25" customHeight="1" s="55">
      <c r="A2162" s="57" t="inlineStr">
        <is>
          <t>Specific Gravity</t>
        </is>
      </c>
      <c r="B2162" s="57" t="n">
        <v>57</v>
      </c>
      <c r="C2162" s="57" t="inlineStr">
        <is>
          <t>Location</t>
        </is>
      </c>
      <c r="D2162" s="57" t="inlineStr">
        <is>
          <t>open field</t>
        </is>
      </c>
      <c r="E2162" s="57" t="inlineStr">
        <is>
          <t>Open field</t>
        </is>
      </c>
      <c r="F2162" s="57" t="inlineStr"/>
    </row>
    <row r="2163" ht="25" customHeight="1" s="55">
      <c r="A2163" s="57" t="inlineStr">
        <is>
          <t>Specific Gravity</t>
        </is>
      </c>
      <c r="B2163" s="57" t="n">
        <v>57</v>
      </c>
      <c r="C2163" s="57" t="inlineStr">
        <is>
          <t>Harvest</t>
        </is>
      </c>
      <c r="D2163" s="57" t="inlineStr">
        <is>
          <t>first</t>
        </is>
      </c>
      <c r="E2163" s="57" t="inlineStr">
        <is>
          <t>First</t>
        </is>
      </c>
      <c r="F2163" s="57" t="inlineStr"/>
    </row>
    <row r="2164" ht="25" customHeight="1" s="55">
      <c r="A2164" s="57" t="inlineStr">
        <is>
          <t>Specific Gravity</t>
        </is>
      </c>
      <c r="B2164" s="57" t="n">
        <v>58</v>
      </c>
      <c r="C2164" s="57" t="inlineStr">
        <is>
          <t>Genotypes</t>
        </is>
      </c>
      <c r="D2164" s="57" t="inlineStr">
        <is>
          <t>26-007 R1</t>
        </is>
      </c>
      <c r="E2164" s="57" t="inlineStr">
        <is>
          <t>UKYT-26-007</t>
        </is>
      </c>
      <c r="F2164" s="57" t="inlineStr"/>
    </row>
    <row r="2165" ht="25" customHeight="1" s="55">
      <c r="A2165" s="57" t="inlineStr">
        <is>
          <t>Specific Gravity</t>
        </is>
      </c>
      <c r="B2165" s="57" t="n">
        <v>58</v>
      </c>
      <c r="C2165" s="57" t="inlineStr">
        <is>
          <t>Location</t>
        </is>
      </c>
      <c r="D2165" s="57" t="inlineStr">
        <is>
          <t>open field</t>
        </is>
      </c>
      <c r="E2165" s="57" t="inlineStr">
        <is>
          <t>Open field</t>
        </is>
      </c>
      <c r="F2165" s="57" t="inlineStr"/>
    </row>
    <row r="2166" ht="25" customHeight="1" s="55">
      <c r="A2166" s="57" t="inlineStr">
        <is>
          <t>Specific Gravity</t>
        </is>
      </c>
      <c r="B2166" s="57" t="n">
        <v>58</v>
      </c>
      <c r="C2166" s="57" t="inlineStr">
        <is>
          <t>Harvest</t>
        </is>
      </c>
      <c r="D2166" s="57" t="inlineStr">
        <is>
          <t>first</t>
        </is>
      </c>
      <c r="E2166" s="57" t="inlineStr">
        <is>
          <t>First</t>
        </is>
      </c>
      <c r="F2166" s="57" t="inlineStr"/>
    </row>
    <row r="2167" ht="25" customHeight="1" s="55">
      <c r="A2167" s="57" t="inlineStr">
        <is>
          <t>Specific Gravity</t>
        </is>
      </c>
      <c r="B2167" s="57" t="n">
        <v>59</v>
      </c>
      <c r="C2167" s="57" t="inlineStr">
        <is>
          <t>Genotypes</t>
        </is>
      </c>
      <c r="D2167" s="57" t="inlineStr">
        <is>
          <t>25-005 R1</t>
        </is>
      </c>
      <c r="E2167" s="57" t="inlineStr">
        <is>
          <t>UKYT-25-005</t>
        </is>
      </c>
      <c r="F2167" s="57" t="inlineStr"/>
    </row>
    <row r="2168" ht="25" customHeight="1" s="55">
      <c r="A2168" s="57" t="inlineStr">
        <is>
          <t>Specific Gravity</t>
        </is>
      </c>
      <c r="B2168" s="57" t="n">
        <v>59</v>
      </c>
      <c r="C2168" s="57" t="inlineStr">
        <is>
          <t>Location</t>
        </is>
      </c>
      <c r="D2168" s="57" t="inlineStr">
        <is>
          <t>open field</t>
        </is>
      </c>
      <c r="E2168" s="57" t="inlineStr">
        <is>
          <t>Open field</t>
        </is>
      </c>
      <c r="F2168" s="57" t="inlineStr"/>
    </row>
    <row r="2169" ht="25" customHeight="1" s="55">
      <c r="A2169" s="57" t="inlineStr">
        <is>
          <t>Specific Gravity</t>
        </is>
      </c>
      <c r="B2169" s="57" t="n">
        <v>59</v>
      </c>
      <c r="C2169" s="57" t="inlineStr">
        <is>
          <t>Harvest</t>
        </is>
      </c>
      <c r="D2169" s="57" t="inlineStr">
        <is>
          <t>first</t>
        </is>
      </c>
      <c r="E2169" s="57" t="inlineStr">
        <is>
          <t>First</t>
        </is>
      </c>
      <c r="F2169" s="57" t="inlineStr"/>
    </row>
    <row r="2170" ht="25" customHeight="1" s="55">
      <c r="A2170" s="57" t="inlineStr">
        <is>
          <t>Specific Gravity</t>
        </is>
      </c>
      <c r="B2170" s="57" t="n">
        <v>60</v>
      </c>
      <c r="C2170" s="57" t="inlineStr">
        <is>
          <t>Genotypes</t>
        </is>
      </c>
      <c r="D2170" s="57" t="inlineStr">
        <is>
          <t>NC2555G-1</t>
        </is>
      </c>
      <c r="E2170" s="57" t="inlineStr">
        <is>
          <t>NC2555G</t>
        </is>
      </c>
      <c r="F2170" s="57" t="inlineStr"/>
    </row>
    <row r="2171" ht="25" customHeight="1" s="55">
      <c r="A2171" s="57" t="inlineStr">
        <is>
          <t>Specific Gravity</t>
        </is>
      </c>
      <c r="B2171" s="57" t="n">
        <v>60</v>
      </c>
      <c r="C2171" s="57" t="inlineStr">
        <is>
          <t>Location</t>
        </is>
      </c>
      <c r="D2171" s="57" t="inlineStr">
        <is>
          <t>open field</t>
        </is>
      </c>
      <c r="E2171" s="57" t="inlineStr">
        <is>
          <t>Open field</t>
        </is>
      </c>
      <c r="F2171" s="57" t="inlineStr"/>
    </row>
    <row r="2172" ht="25" customHeight="1" s="55">
      <c r="A2172" s="57" t="inlineStr">
        <is>
          <t>Specific Gravity</t>
        </is>
      </c>
      <c r="B2172" s="57" t="n">
        <v>60</v>
      </c>
      <c r="C2172" s="57" t="inlineStr">
        <is>
          <t>Harvest</t>
        </is>
      </c>
      <c r="D2172" s="57" t="inlineStr">
        <is>
          <t>first</t>
        </is>
      </c>
      <c r="E2172" s="57" t="inlineStr">
        <is>
          <t>First</t>
        </is>
      </c>
      <c r="F2172" s="57" t="inlineStr"/>
    </row>
    <row r="2173" ht="25" customHeight="1" s="55">
      <c r="A2173" s="57" t="inlineStr">
        <is>
          <t>Specific Gravity</t>
        </is>
      </c>
      <c r="B2173" s="57" t="n">
        <v>61</v>
      </c>
      <c r="C2173" s="57" t="inlineStr">
        <is>
          <t>Genotypes</t>
        </is>
      </c>
      <c r="D2173" s="57" t="inlineStr">
        <is>
          <t>NC25217G-1</t>
        </is>
      </c>
      <c r="E2173" s="57" t="inlineStr">
        <is>
          <t>NC25217G</t>
        </is>
      </c>
      <c r="F2173" s="57" t="inlineStr"/>
    </row>
    <row r="2174" ht="25" customHeight="1" s="55">
      <c r="A2174" s="57" t="inlineStr">
        <is>
          <t>Specific Gravity</t>
        </is>
      </c>
      <c r="B2174" s="57" t="n">
        <v>61</v>
      </c>
      <c r="C2174" s="57" t="inlineStr">
        <is>
          <t>Location</t>
        </is>
      </c>
      <c r="D2174" s="57" t="inlineStr">
        <is>
          <t>open field</t>
        </is>
      </c>
      <c r="E2174" s="57" t="inlineStr">
        <is>
          <t>Open field</t>
        </is>
      </c>
      <c r="F2174" s="57" t="inlineStr"/>
    </row>
    <row r="2175" ht="25" customHeight="1" s="55">
      <c r="A2175" s="57" t="inlineStr">
        <is>
          <t>Specific Gravity</t>
        </is>
      </c>
      <c r="B2175" s="57" t="n">
        <v>61</v>
      </c>
      <c r="C2175" s="57" t="inlineStr">
        <is>
          <t>Harvest</t>
        </is>
      </c>
      <c r="D2175" s="57" t="inlineStr">
        <is>
          <t>first</t>
        </is>
      </c>
      <c r="E2175" s="57" t="inlineStr">
        <is>
          <t>First</t>
        </is>
      </c>
      <c r="F2175" s="57" t="inlineStr"/>
    </row>
    <row r="2176" ht="25" customHeight="1" s="55">
      <c r="A2176" s="57" t="inlineStr">
        <is>
          <t>Specific Gravity</t>
        </is>
      </c>
      <c r="B2176" s="57" t="n">
        <v>62</v>
      </c>
      <c r="C2176" s="57" t="inlineStr">
        <is>
          <t>Genotypes</t>
        </is>
      </c>
      <c r="D2176" s="57" t="inlineStr">
        <is>
          <t>NS262G-1</t>
        </is>
      </c>
      <c r="E2176" s="57" t="inlineStr">
        <is>
          <t>NC262G</t>
        </is>
      </c>
      <c r="F2176" s="57" t="inlineStr"/>
    </row>
    <row r="2177" ht="25" customHeight="1" s="55">
      <c r="A2177" s="57" t="inlineStr">
        <is>
          <t>Specific Gravity</t>
        </is>
      </c>
      <c r="B2177" s="57" t="n">
        <v>62</v>
      </c>
      <c r="C2177" s="57" t="inlineStr">
        <is>
          <t>Location</t>
        </is>
      </c>
      <c r="D2177" s="57" t="inlineStr">
        <is>
          <t>open field</t>
        </is>
      </c>
      <c r="E2177" s="57" t="inlineStr">
        <is>
          <t>Open field</t>
        </is>
      </c>
      <c r="F2177" s="57" t="inlineStr"/>
    </row>
    <row r="2178" ht="25" customHeight="1" s="55">
      <c r="A2178" s="57" t="inlineStr">
        <is>
          <t>Specific Gravity</t>
        </is>
      </c>
      <c r="B2178" s="57" t="n">
        <v>62</v>
      </c>
      <c r="C2178" s="57" t="inlineStr">
        <is>
          <t>Harvest</t>
        </is>
      </c>
      <c r="D2178" s="57" t="inlineStr">
        <is>
          <t>first</t>
        </is>
      </c>
      <c r="E2178" s="57" t="inlineStr">
        <is>
          <t>First</t>
        </is>
      </c>
      <c r="F2178" s="57" t="inlineStr"/>
    </row>
    <row r="2179" ht="25" customHeight="1" s="55">
      <c r="A2179" s="57" t="inlineStr">
        <is>
          <t>Specific Gravity</t>
        </is>
      </c>
      <c r="B2179" s="57" t="n">
        <v>63</v>
      </c>
      <c r="C2179" s="57" t="inlineStr">
        <is>
          <t>Genotypes</t>
        </is>
      </c>
      <c r="D2179" s="57" t="inlineStr">
        <is>
          <t>26-001 R1</t>
        </is>
      </c>
      <c r="E2179" s="57" t="inlineStr">
        <is>
          <t>UKYT-26-001</t>
        </is>
      </c>
      <c r="F2179" s="57" t="inlineStr"/>
    </row>
    <row r="2180" ht="25" customHeight="1" s="55">
      <c r="A2180" s="57" t="inlineStr">
        <is>
          <t>Specific Gravity</t>
        </is>
      </c>
      <c r="B2180" s="57" t="n">
        <v>63</v>
      </c>
      <c r="C2180" s="57" t="inlineStr">
        <is>
          <t>Location</t>
        </is>
      </c>
      <c r="D2180" s="57" t="inlineStr">
        <is>
          <t>open field</t>
        </is>
      </c>
      <c r="E2180" s="57" t="inlineStr">
        <is>
          <t>Open field</t>
        </is>
      </c>
      <c r="F2180" s="57" t="inlineStr"/>
    </row>
    <row r="2181" ht="25" customHeight="1" s="55">
      <c r="A2181" s="57" t="inlineStr">
        <is>
          <t>Specific Gravity</t>
        </is>
      </c>
      <c r="B2181" s="57" t="n">
        <v>63</v>
      </c>
      <c r="C2181" s="57" t="inlineStr">
        <is>
          <t>Harvest</t>
        </is>
      </c>
      <c r="D2181" s="57" t="inlineStr">
        <is>
          <t>first</t>
        </is>
      </c>
      <c r="E2181" s="57" t="inlineStr">
        <is>
          <t>First</t>
        </is>
      </c>
      <c r="F2181" s="57" t="inlineStr"/>
    </row>
    <row r="2182" ht="25" customHeight="1" s="55">
      <c r="A2182" s="57" t="inlineStr">
        <is>
          <t>Specific Gravity</t>
        </is>
      </c>
      <c r="B2182" s="57" t="n">
        <v>64</v>
      </c>
      <c r="C2182" s="57" t="inlineStr">
        <is>
          <t>Genotypes</t>
        </is>
      </c>
      <c r="D2182" s="57" t="inlineStr">
        <is>
          <t>26-005 R1</t>
        </is>
      </c>
      <c r="E2182" s="57" t="inlineStr">
        <is>
          <t>UKYT-26-005</t>
        </is>
      </c>
      <c r="F2182" s="57" t="inlineStr"/>
    </row>
    <row r="2183" ht="25" customHeight="1" s="55">
      <c r="A2183" s="57" t="inlineStr">
        <is>
          <t>Specific Gravity</t>
        </is>
      </c>
      <c r="B2183" s="57" t="n">
        <v>64</v>
      </c>
      <c r="C2183" s="57" t="inlineStr">
        <is>
          <t>Location</t>
        </is>
      </c>
      <c r="D2183" s="57" t="inlineStr">
        <is>
          <t>open field</t>
        </is>
      </c>
      <c r="E2183" s="57" t="inlineStr">
        <is>
          <t>Open field</t>
        </is>
      </c>
      <c r="F2183" s="57" t="inlineStr"/>
    </row>
    <row r="2184" ht="25" customHeight="1" s="55">
      <c r="A2184" s="57" t="inlineStr">
        <is>
          <t>Specific Gravity</t>
        </is>
      </c>
      <c r="B2184" s="57" t="n">
        <v>64</v>
      </c>
      <c r="C2184" s="57" t="inlineStr">
        <is>
          <t>Harvest</t>
        </is>
      </c>
      <c r="D2184" s="57" t="inlineStr">
        <is>
          <t>first</t>
        </is>
      </c>
      <c r="E2184" s="57" t="inlineStr">
        <is>
          <t>First</t>
        </is>
      </c>
      <c r="F2184" s="57" t="inlineStr"/>
    </row>
    <row r="2185" ht="25" customHeight="1" s="55">
      <c r="A2185" s="57" t="inlineStr">
        <is>
          <t>Specific Gravity</t>
        </is>
      </c>
      <c r="B2185" s="57" t="n">
        <v>65</v>
      </c>
      <c r="C2185" s="57" t="inlineStr">
        <is>
          <t>Genotypes</t>
        </is>
      </c>
      <c r="D2185" s="57" t="inlineStr">
        <is>
          <t>NC25240G-1</t>
        </is>
      </c>
      <c r="E2185" s="57" t="inlineStr">
        <is>
          <t>NC25240G</t>
        </is>
      </c>
      <c r="F2185" s="57" t="inlineStr"/>
    </row>
    <row r="2186" ht="25" customHeight="1" s="55">
      <c r="A2186" s="57" t="inlineStr">
        <is>
          <t>Specific Gravity</t>
        </is>
      </c>
      <c r="B2186" s="57" t="n">
        <v>65</v>
      </c>
      <c r="C2186" s="57" t="inlineStr">
        <is>
          <t>Location</t>
        </is>
      </c>
      <c r="D2186" s="57" t="inlineStr">
        <is>
          <t>open field</t>
        </is>
      </c>
      <c r="E2186" s="57" t="inlineStr">
        <is>
          <t>Open field</t>
        </is>
      </c>
      <c r="F2186" s="57" t="inlineStr"/>
    </row>
    <row r="2187" ht="25" customHeight="1" s="55">
      <c r="A2187" s="57" t="inlineStr">
        <is>
          <t>Specific Gravity</t>
        </is>
      </c>
      <c r="B2187" s="57" t="n">
        <v>65</v>
      </c>
      <c r="C2187" s="57" t="inlineStr">
        <is>
          <t>Harvest</t>
        </is>
      </c>
      <c r="D2187" s="57" t="inlineStr">
        <is>
          <t>first</t>
        </is>
      </c>
      <c r="E2187" s="57" t="inlineStr">
        <is>
          <t>First</t>
        </is>
      </c>
      <c r="F2187" s="57" t="inlineStr"/>
    </row>
    <row r="2188" ht="25" customHeight="1" s="55">
      <c r="A2188" s="57" t="inlineStr">
        <is>
          <t>Specific Gravity</t>
        </is>
      </c>
      <c r="B2188" s="57" t="n">
        <v>66</v>
      </c>
      <c r="C2188" s="57" t="inlineStr">
        <is>
          <t>Genotypes</t>
        </is>
      </c>
      <c r="D2188" s="57" t="inlineStr">
        <is>
          <t>NC25230G-1</t>
        </is>
      </c>
      <c r="E2188" s="57" t="inlineStr">
        <is>
          <t>NC25230G</t>
        </is>
      </c>
      <c r="F2188" s="57" t="inlineStr"/>
    </row>
    <row r="2189" ht="25" customHeight="1" s="55">
      <c r="A2189" s="57" t="inlineStr">
        <is>
          <t>Specific Gravity</t>
        </is>
      </c>
      <c r="B2189" s="57" t="n">
        <v>66</v>
      </c>
      <c r="C2189" s="57" t="inlineStr">
        <is>
          <t>Location</t>
        </is>
      </c>
      <c r="D2189" s="57" t="inlineStr">
        <is>
          <t>open field</t>
        </is>
      </c>
      <c r="E2189" s="57" t="inlineStr">
        <is>
          <t>Open field</t>
        </is>
      </c>
      <c r="F2189" s="57" t="inlineStr"/>
    </row>
    <row r="2190" ht="25" customHeight="1" s="55">
      <c r="A2190" s="57" t="inlineStr">
        <is>
          <t>Specific Gravity</t>
        </is>
      </c>
      <c r="B2190" s="57" t="n">
        <v>66</v>
      </c>
      <c r="C2190" s="57" t="inlineStr">
        <is>
          <t>Harvest</t>
        </is>
      </c>
      <c r="D2190" s="57" t="inlineStr">
        <is>
          <t>first</t>
        </is>
      </c>
      <c r="E2190" s="57" t="inlineStr">
        <is>
          <t>First</t>
        </is>
      </c>
      <c r="F2190" s="57" t="inlineStr"/>
    </row>
    <row r="2191" ht="25" customHeight="1" s="55">
      <c r="A2191" s="57" t="inlineStr">
        <is>
          <t>Specific Gravity</t>
        </is>
      </c>
      <c r="B2191" s="57" t="n">
        <v>67</v>
      </c>
      <c r="C2191" s="57" t="inlineStr">
        <is>
          <t>Genotypes</t>
        </is>
      </c>
      <c r="D2191" s="57" t="inlineStr">
        <is>
          <t>NC252125-1</t>
        </is>
      </c>
      <c r="E2191" s="57" t="inlineStr">
        <is>
          <t>NC252125</t>
        </is>
      </c>
      <c r="F2191" s="57" t="inlineStr"/>
    </row>
    <row r="2192" ht="25" customHeight="1" s="55">
      <c r="A2192" s="57" t="inlineStr">
        <is>
          <t>Specific Gravity</t>
        </is>
      </c>
      <c r="B2192" s="57" t="n">
        <v>67</v>
      </c>
      <c r="C2192" s="57" t="inlineStr">
        <is>
          <t>Location</t>
        </is>
      </c>
      <c r="D2192" s="57" t="inlineStr">
        <is>
          <t>open field</t>
        </is>
      </c>
      <c r="E2192" s="57" t="inlineStr">
        <is>
          <t>Open field</t>
        </is>
      </c>
      <c r="F2192" s="57" t="inlineStr"/>
    </row>
    <row r="2193" ht="25" customHeight="1" s="55">
      <c r="A2193" s="57" t="inlineStr">
        <is>
          <t>Specific Gravity</t>
        </is>
      </c>
      <c r="B2193" s="57" t="n">
        <v>67</v>
      </c>
      <c r="C2193" s="57" t="inlineStr">
        <is>
          <t>Harvest</t>
        </is>
      </c>
      <c r="D2193" s="57" t="inlineStr">
        <is>
          <t>first</t>
        </is>
      </c>
      <c r="E2193" s="57" t="inlineStr">
        <is>
          <t>First</t>
        </is>
      </c>
      <c r="F2193" s="57" t="inlineStr"/>
    </row>
    <row r="2194" ht="25" customHeight="1" s="55">
      <c r="A2194" s="57" t="inlineStr">
        <is>
          <t>Specific Gravity</t>
        </is>
      </c>
      <c r="B2194" s="57" t="n">
        <v>68</v>
      </c>
      <c r="C2194" s="57" t="inlineStr">
        <is>
          <t>Genotypes</t>
        </is>
      </c>
      <c r="D2194" s="57" t="inlineStr">
        <is>
          <t>25-013 R1</t>
        </is>
      </c>
      <c r="E2194" s="57" t="inlineStr">
        <is>
          <t>UKYT-25-013</t>
        </is>
      </c>
      <c r="F2194" s="57" t="inlineStr"/>
    </row>
    <row r="2195" ht="25" customHeight="1" s="55">
      <c r="A2195" s="57" t="inlineStr">
        <is>
          <t>Specific Gravity</t>
        </is>
      </c>
      <c r="B2195" s="57" t="n">
        <v>68</v>
      </c>
      <c r="C2195" s="57" t="inlineStr">
        <is>
          <t>Location</t>
        </is>
      </c>
      <c r="D2195" s="57" t="inlineStr">
        <is>
          <t>open field</t>
        </is>
      </c>
      <c r="E2195" s="57" t="inlineStr">
        <is>
          <t>Open field</t>
        </is>
      </c>
      <c r="F2195" s="57" t="inlineStr"/>
    </row>
    <row r="2196" ht="25" customHeight="1" s="55">
      <c r="A2196" s="57" t="inlineStr">
        <is>
          <t>Specific Gravity</t>
        </is>
      </c>
      <c r="B2196" s="57" t="n">
        <v>68</v>
      </c>
      <c r="C2196" s="57" t="inlineStr">
        <is>
          <t>Harvest</t>
        </is>
      </c>
      <c r="D2196" s="57" t="inlineStr">
        <is>
          <t>first</t>
        </is>
      </c>
      <c r="E2196" s="57" t="inlineStr">
        <is>
          <t>First</t>
        </is>
      </c>
      <c r="F2196" s="57" t="inlineStr"/>
    </row>
    <row r="2197" ht="25" customHeight="1" s="55">
      <c r="A2197" s="57" t="inlineStr">
        <is>
          <t>Specific Gravity</t>
        </is>
      </c>
      <c r="B2197" s="57" t="n">
        <v>69</v>
      </c>
      <c r="C2197" s="57" t="inlineStr">
        <is>
          <t>Genotypes</t>
        </is>
      </c>
      <c r="D2197" s="57" t="inlineStr">
        <is>
          <t>NC25241G-1</t>
        </is>
      </c>
      <c r="E2197" s="57" t="inlineStr">
        <is>
          <t>NC25241G</t>
        </is>
      </c>
      <c r="F2197" s="57" t="inlineStr"/>
    </row>
    <row r="2198" ht="25" customHeight="1" s="55">
      <c r="A2198" s="57" t="inlineStr">
        <is>
          <t>Specific Gravity</t>
        </is>
      </c>
      <c r="B2198" s="57" t="n">
        <v>69</v>
      </c>
      <c r="C2198" s="57" t="inlineStr">
        <is>
          <t>Location</t>
        </is>
      </c>
      <c r="D2198" s="57" t="inlineStr">
        <is>
          <t>open field</t>
        </is>
      </c>
      <c r="E2198" s="57" t="inlineStr">
        <is>
          <t>Open field</t>
        </is>
      </c>
      <c r="F2198" s="57" t="inlineStr"/>
    </row>
    <row r="2199" ht="25" customHeight="1" s="55">
      <c r="A2199" s="57" t="inlineStr">
        <is>
          <t>Specific Gravity</t>
        </is>
      </c>
      <c r="B2199" s="57" t="n">
        <v>69</v>
      </c>
      <c r="C2199" s="57" t="inlineStr">
        <is>
          <t>Harvest</t>
        </is>
      </c>
      <c r="D2199" s="57" t="inlineStr">
        <is>
          <t>first</t>
        </is>
      </c>
      <c r="E2199" s="57" t="inlineStr">
        <is>
          <t>First</t>
        </is>
      </c>
      <c r="F2199" s="57" t="inlineStr"/>
    </row>
    <row r="2200" ht="25" customHeight="1" s="55">
      <c r="A2200" s="57" t="inlineStr">
        <is>
          <t>Specific Gravity</t>
        </is>
      </c>
      <c r="B2200" s="57" t="n">
        <v>70</v>
      </c>
      <c r="C2200" s="57" t="inlineStr">
        <is>
          <t>Genotypes</t>
        </is>
      </c>
      <c r="D2200" s="57" t="inlineStr">
        <is>
          <t>25-009</t>
        </is>
      </c>
      <c r="E2200" s="57" t="inlineStr">
        <is>
          <t>UKYT-25-009</t>
        </is>
      </c>
      <c r="F2200" s="57" t="inlineStr"/>
    </row>
    <row r="2201" ht="25" customHeight="1" s="55">
      <c r="A2201" s="57" t="inlineStr">
        <is>
          <t>Specific Gravity</t>
        </is>
      </c>
      <c r="B2201" s="57" t="n">
        <v>70</v>
      </c>
      <c r="C2201" s="57" t="inlineStr">
        <is>
          <t>Harvest</t>
        </is>
      </c>
      <c r="D2201" s="57" t="inlineStr">
        <is>
          <t>first</t>
        </is>
      </c>
      <c r="E2201" s="57" t="inlineStr">
        <is>
          <t>First</t>
        </is>
      </c>
      <c r="F2201" s="57" t="inlineStr"/>
    </row>
    <row r="2202" ht="25" customHeight="1" s="55">
      <c r="A2202" s="57" t="inlineStr">
        <is>
          <t>Specific Gravity</t>
        </is>
      </c>
      <c r="B2202" s="57" t="n">
        <v>71</v>
      </c>
      <c r="C2202" s="57" t="inlineStr">
        <is>
          <t>Genotypes</t>
        </is>
      </c>
      <c r="D2202" s="57" t="inlineStr">
        <is>
          <t>25-008</t>
        </is>
      </c>
      <c r="E2202" s="57" t="inlineStr">
        <is>
          <t>UKYT-25-008</t>
        </is>
      </c>
      <c r="F2202" s="57" t="inlineStr"/>
    </row>
    <row r="2203" ht="25" customHeight="1" s="55">
      <c r="A2203" s="57" t="inlineStr">
        <is>
          <t>Specific Gravity</t>
        </is>
      </c>
      <c r="B2203" s="57" t="n">
        <v>71</v>
      </c>
      <c r="C2203" s="57" t="inlineStr">
        <is>
          <t>Harvest</t>
        </is>
      </c>
      <c r="D2203" s="57" t="inlineStr">
        <is>
          <t>first</t>
        </is>
      </c>
      <c r="E2203" s="57" t="inlineStr">
        <is>
          <t>First</t>
        </is>
      </c>
      <c r="F2203" s="57" t="inlineStr"/>
    </row>
    <row r="2204" ht="25" customHeight="1" s="55">
      <c r="A2204" s="57" t="inlineStr">
        <is>
          <t>Specific Gravity</t>
        </is>
      </c>
      <c r="B2204" s="57" t="n">
        <v>72</v>
      </c>
      <c r="C2204" s="57" t="inlineStr">
        <is>
          <t>Genotypes</t>
        </is>
      </c>
      <c r="D2204" s="57" t="inlineStr">
        <is>
          <t>25-014</t>
        </is>
      </c>
      <c r="E2204" s="57" t="inlineStr">
        <is>
          <t>UKYT-25-014</t>
        </is>
      </c>
      <c r="F2204" s="57" t="inlineStr"/>
    </row>
    <row r="2205" ht="25" customHeight="1" s="55">
      <c r="A2205" s="57" t="inlineStr">
        <is>
          <t>Specific Gravity</t>
        </is>
      </c>
      <c r="B2205" s="57" t="n">
        <v>72</v>
      </c>
      <c r="C2205" s="57" t="inlineStr">
        <is>
          <t>Harvest</t>
        </is>
      </c>
      <c r="D2205" s="57" t="inlineStr">
        <is>
          <t>first</t>
        </is>
      </c>
      <c r="E2205" s="57" t="inlineStr">
        <is>
          <t>First</t>
        </is>
      </c>
      <c r="F2205" s="57" t="inlineStr"/>
    </row>
    <row r="2206" ht="25" customHeight="1" s="55">
      <c r="A2206" s="57" t="inlineStr">
        <is>
          <t>Specific Gravity</t>
        </is>
      </c>
      <c r="B2206" s="57" t="n">
        <v>73</v>
      </c>
      <c r="C2206" s="57" t="inlineStr">
        <is>
          <t>Genotypes</t>
        </is>
      </c>
      <c r="D2206" s="57" t="inlineStr">
        <is>
          <t>25-017</t>
        </is>
      </c>
      <c r="E2206" s="57" t="inlineStr">
        <is>
          <t>UKYT-25-017</t>
        </is>
      </c>
      <c r="F2206" s="57" t="inlineStr"/>
    </row>
    <row r="2207" ht="25" customHeight="1" s="55">
      <c r="A2207" s="57" t="inlineStr">
        <is>
          <t>Specific Gravity</t>
        </is>
      </c>
      <c r="B2207" s="57" t="n">
        <v>73</v>
      </c>
      <c r="C2207" s="57" t="inlineStr">
        <is>
          <t>Harvest</t>
        </is>
      </c>
      <c r="D2207" s="57" t="inlineStr">
        <is>
          <t>first</t>
        </is>
      </c>
      <c r="E2207" s="57" t="inlineStr">
        <is>
          <t>First</t>
        </is>
      </c>
      <c r="F2207" s="57" t="inlineStr"/>
    </row>
    <row r="2208" ht="25" customHeight="1" s="55">
      <c r="A2208" s="57" t="inlineStr">
        <is>
          <t>Specific Gravity</t>
        </is>
      </c>
      <c r="B2208" s="57" t="n">
        <v>74</v>
      </c>
      <c r="C2208" s="57" t="inlineStr">
        <is>
          <t>Genotypes</t>
        </is>
      </c>
      <c r="D2208" s="57" t="inlineStr">
        <is>
          <t>25-035</t>
        </is>
      </c>
      <c r="E2208" s="57" t="inlineStr">
        <is>
          <t>UKYT-25-035</t>
        </is>
      </c>
      <c r="F2208" s="57" t="inlineStr"/>
    </row>
    <row r="2209" ht="25" customHeight="1" s="55">
      <c r="A2209" s="57" t="inlineStr">
        <is>
          <t>Specific Gravity</t>
        </is>
      </c>
      <c r="B2209" s="57" t="n">
        <v>74</v>
      </c>
      <c r="C2209" s="57" t="inlineStr">
        <is>
          <t>Harvest</t>
        </is>
      </c>
      <c r="D2209" s="57" t="inlineStr">
        <is>
          <t>first</t>
        </is>
      </c>
      <c r="E2209" s="57" t="inlineStr">
        <is>
          <t>First</t>
        </is>
      </c>
      <c r="F2209" s="57" t="inlineStr"/>
    </row>
    <row r="2210" ht="25" customHeight="1" s="55">
      <c r="A2210" s="57" t="inlineStr">
        <is>
          <t>Specific Gravity</t>
        </is>
      </c>
      <c r="B2210" s="57" t="n">
        <v>75</v>
      </c>
      <c r="C2210" s="57" t="inlineStr">
        <is>
          <t>Genotypes</t>
        </is>
      </c>
      <c r="D2210" s="57" t="inlineStr">
        <is>
          <t>25-006</t>
        </is>
      </c>
      <c r="E2210" s="57" t="inlineStr">
        <is>
          <t>UKYT-25-006</t>
        </is>
      </c>
      <c r="F2210" s="57" t="inlineStr"/>
    </row>
    <row r="2211" ht="25" customHeight="1" s="55">
      <c r="A2211" s="57" t="inlineStr">
        <is>
          <t>Specific Gravity</t>
        </is>
      </c>
      <c r="B2211" s="57" t="n">
        <v>75</v>
      </c>
      <c r="C2211" s="57" t="inlineStr">
        <is>
          <t>Harvest</t>
        </is>
      </c>
      <c r="D2211" s="57" t="inlineStr">
        <is>
          <t>first</t>
        </is>
      </c>
      <c r="E2211" s="57" t="inlineStr">
        <is>
          <t>First</t>
        </is>
      </c>
      <c r="F2211" s="57" t="inlineStr"/>
    </row>
    <row r="2212" ht="25" customHeight="1" s="55">
      <c r="A2212" s="57" t="inlineStr">
        <is>
          <t>Specific Gravity</t>
        </is>
      </c>
      <c r="B2212" s="57" t="n">
        <v>76</v>
      </c>
      <c r="C2212" s="57" t="inlineStr">
        <is>
          <t>Genotypes</t>
        </is>
      </c>
      <c r="D2212" s="57" t="inlineStr">
        <is>
          <t>25-002</t>
        </is>
      </c>
      <c r="E2212" s="57" t="inlineStr">
        <is>
          <t>UKYT-25-002</t>
        </is>
      </c>
      <c r="F2212" s="57" t="inlineStr"/>
    </row>
    <row r="2213" ht="25" customHeight="1" s="55">
      <c r="A2213" s="57" t="inlineStr">
        <is>
          <t>Specific Gravity</t>
        </is>
      </c>
      <c r="B2213" s="57" t="n">
        <v>76</v>
      </c>
      <c r="C2213" s="57" t="inlineStr">
        <is>
          <t>Harvest</t>
        </is>
      </c>
      <c r="D2213" s="57" t="inlineStr">
        <is>
          <t>first</t>
        </is>
      </c>
      <c r="E2213" s="57" t="inlineStr">
        <is>
          <t>First</t>
        </is>
      </c>
      <c r="F2213" s="57" t="inlineStr"/>
    </row>
    <row r="2214" ht="25" customHeight="1" s="55">
      <c r="A2214" s="57" t="inlineStr">
        <is>
          <t>Specific Gravity</t>
        </is>
      </c>
      <c r="B2214" s="57" t="n">
        <v>77</v>
      </c>
      <c r="C2214" s="57" t="inlineStr">
        <is>
          <t>Genotypes</t>
        </is>
      </c>
      <c r="D2214" s="57" t="inlineStr">
        <is>
          <t>26-039</t>
        </is>
      </c>
      <c r="E2214" s="57" t="inlineStr">
        <is>
          <t>UKYT-26-039</t>
        </is>
      </c>
      <c r="F2214" s="57" t="inlineStr"/>
    </row>
    <row r="2215" ht="25" customHeight="1" s="55">
      <c r="A2215" s="57" t="inlineStr">
        <is>
          <t>Specific Gravity</t>
        </is>
      </c>
      <c r="B2215" s="57" t="n">
        <v>77</v>
      </c>
      <c r="C2215" s="57" t="inlineStr">
        <is>
          <t>Harvest</t>
        </is>
      </c>
      <c r="D2215" s="57" t="inlineStr">
        <is>
          <t>first</t>
        </is>
      </c>
      <c r="E2215" s="57" t="inlineStr">
        <is>
          <t>First</t>
        </is>
      </c>
      <c r="F2215" s="57" t="inlineStr"/>
    </row>
    <row r="2216" ht="25" customHeight="1" s="55">
      <c r="A2216" s="57" t="inlineStr">
        <is>
          <t>Specific Gravity</t>
        </is>
      </c>
      <c r="B2216" s="57" t="n">
        <v>78</v>
      </c>
      <c r="C2216" s="57" t="inlineStr">
        <is>
          <t>Genotypes</t>
        </is>
      </c>
      <c r="D2216" s="57" t="inlineStr">
        <is>
          <t>25-012</t>
        </is>
      </c>
      <c r="E2216" s="57" t="inlineStr">
        <is>
          <t>UKYT-25-012</t>
        </is>
      </c>
      <c r="F2216" s="57" t="inlineStr"/>
    </row>
    <row r="2217" ht="25" customHeight="1" s="55">
      <c r="A2217" s="57" t="inlineStr">
        <is>
          <t>Specific Gravity</t>
        </is>
      </c>
      <c r="B2217" s="57" t="n">
        <v>78</v>
      </c>
      <c r="C2217" s="57" t="inlineStr">
        <is>
          <t>Harvest</t>
        </is>
      </c>
      <c r="D2217" s="57" t="inlineStr">
        <is>
          <t>first</t>
        </is>
      </c>
      <c r="E2217" s="57" t="inlineStr">
        <is>
          <t>First</t>
        </is>
      </c>
      <c r="F2217" s="57" t="inlineStr"/>
    </row>
    <row r="2218" ht="25" customHeight="1" s="55">
      <c r="A2218" s="57" t="inlineStr">
        <is>
          <t>Specific Gravity</t>
        </is>
      </c>
      <c r="B2218" s="57" t="n">
        <v>79</v>
      </c>
      <c r="C2218" s="57" t="inlineStr">
        <is>
          <t>Genotypes</t>
        </is>
      </c>
      <c r="D2218" s="57" t="inlineStr">
        <is>
          <t>26-036</t>
        </is>
      </c>
      <c r="E2218" s="57" t="inlineStr">
        <is>
          <t>UKYT-26-036</t>
        </is>
      </c>
      <c r="F2218" s="57" t="inlineStr"/>
    </row>
    <row r="2219" ht="25" customHeight="1" s="55">
      <c r="A2219" s="57" t="inlineStr">
        <is>
          <t>Specific Gravity</t>
        </is>
      </c>
      <c r="B2219" s="57" t="n">
        <v>79</v>
      </c>
      <c r="C2219" s="57" t="inlineStr">
        <is>
          <t>Harvest</t>
        </is>
      </c>
      <c r="D2219" s="57" t="inlineStr">
        <is>
          <t>first</t>
        </is>
      </c>
      <c r="E2219" s="57" t="inlineStr">
        <is>
          <t>First</t>
        </is>
      </c>
      <c r="F2219" s="57" t="inlineStr"/>
    </row>
    <row r="2220" ht="25" customHeight="1" s="55">
      <c r="A2220" s="57" t="inlineStr">
        <is>
          <t>Specific Gravity</t>
        </is>
      </c>
      <c r="B2220" s="57" t="n">
        <v>80</v>
      </c>
      <c r="C2220" s="57" t="inlineStr">
        <is>
          <t>Genotypes</t>
        </is>
      </c>
      <c r="D2220" s="57" t="inlineStr">
        <is>
          <t>25-006</t>
        </is>
      </c>
      <c r="E2220" s="57" t="inlineStr">
        <is>
          <t>UKYT-25-006</t>
        </is>
      </c>
      <c r="F2220" s="57" t="inlineStr"/>
    </row>
    <row r="2221" ht="25" customHeight="1" s="55">
      <c r="A2221" s="57" t="inlineStr">
        <is>
          <t>Specific Gravity</t>
        </is>
      </c>
      <c r="B2221" s="57" t="n">
        <v>80</v>
      </c>
      <c r="C2221" s="57" t="inlineStr">
        <is>
          <t>Harvest</t>
        </is>
      </c>
      <c r="D2221" s="57" t="inlineStr">
        <is>
          <t>first</t>
        </is>
      </c>
      <c r="E2221" s="57" t="inlineStr">
        <is>
          <t>First</t>
        </is>
      </c>
      <c r="F2221" s="57" t="inlineStr"/>
    </row>
    <row r="2222" ht="25" customHeight="1" s="55">
      <c r="A2222" s="57" t="inlineStr">
        <is>
          <t>Specific Gravity</t>
        </is>
      </c>
      <c r="B2222" s="57" t="n">
        <v>81</v>
      </c>
      <c r="C2222" s="57" t="inlineStr">
        <is>
          <t>Genotypes</t>
        </is>
      </c>
      <c r="D2222" s="57" t="inlineStr">
        <is>
          <t>25-015</t>
        </is>
      </c>
      <c r="E2222" s="57" t="inlineStr">
        <is>
          <t>UKYT-25-015</t>
        </is>
      </c>
      <c r="F2222" s="57" t="inlineStr"/>
    </row>
    <row r="2223" ht="25" customHeight="1" s="55">
      <c r="A2223" s="57" t="inlineStr">
        <is>
          <t>Specific Gravity</t>
        </is>
      </c>
      <c r="B2223" s="57" t="n">
        <v>81</v>
      </c>
      <c r="C2223" s="57" t="inlineStr">
        <is>
          <t>Harvest</t>
        </is>
      </c>
      <c r="D2223" s="57" t="inlineStr">
        <is>
          <t>first</t>
        </is>
      </c>
      <c r="E2223" s="57" t="inlineStr">
        <is>
          <t>First</t>
        </is>
      </c>
      <c r="F2223" s="57" t="inlineStr"/>
    </row>
    <row r="2224" ht="25" customHeight="1" s="55">
      <c r="A2224" s="57" t="inlineStr">
        <is>
          <t>Specific Gravity</t>
        </is>
      </c>
      <c r="B2224" s="57" t="n">
        <v>82</v>
      </c>
      <c r="C2224" s="57" t="inlineStr">
        <is>
          <t>Genotypes</t>
        </is>
      </c>
      <c r="D2224" s="57" t="inlineStr">
        <is>
          <t>25-004</t>
        </is>
      </c>
      <c r="E2224" s="57" t="inlineStr">
        <is>
          <t>UKYT-25-004</t>
        </is>
      </c>
      <c r="F2224" s="57" t="inlineStr"/>
    </row>
    <row r="2225" ht="25" customHeight="1" s="55">
      <c r="A2225" s="57" t="inlineStr">
        <is>
          <t>Specific Gravity</t>
        </is>
      </c>
      <c r="B2225" s="57" t="n">
        <v>82</v>
      </c>
      <c r="C2225" s="57" t="inlineStr">
        <is>
          <t>Harvest</t>
        </is>
      </c>
      <c r="D2225" s="57" t="inlineStr">
        <is>
          <t>first</t>
        </is>
      </c>
      <c r="E2225" s="57" t="inlineStr">
        <is>
          <t>First</t>
        </is>
      </c>
      <c r="F2225" s="57" t="inlineStr"/>
    </row>
    <row r="2226" ht="25" customHeight="1" s="55">
      <c r="A2226" s="57" t="inlineStr">
        <is>
          <t>Specific Gravity</t>
        </is>
      </c>
      <c r="B2226" s="57" t="n">
        <v>83</v>
      </c>
      <c r="C2226" s="57" t="inlineStr">
        <is>
          <t>Genotypes</t>
        </is>
      </c>
      <c r="D2226" s="57" t="inlineStr">
        <is>
          <t>25-007</t>
        </is>
      </c>
      <c r="E2226" s="57" t="inlineStr">
        <is>
          <t>UKYT-25-007</t>
        </is>
      </c>
      <c r="F2226" s="57" t="inlineStr"/>
    </row>
    <row r="2227" ht="25" customHeight="1" s="55">
      <c r="A2227" s="57" t="inlineStr">
        <is>
          <t>Specific Gravity</t>
        </is>
      </c>
      <c r="B2227" s="57" t="n">
        <v>83</v>
      </c>
      <c r="C2227" s="57" t="inlineStr">
        <is>
          <t>Harvest</t>
        </is>
      </c>
      <c r="D2227" s="57" t="inlineStr">
        <is>
          <t>first</t>
        </is>
      </c>
      <c r="E2227" s="57" t="inlineStr">
        <is>
          <t>First</t>
        </is>
      </c>
      <c r="F2227" s="57" t="inlineStr"/>
    </row>
    <row r="2228" ht="25" customHeight="1" s="55">
      <c r="A2228" s="57" t="inlineStr">
        <is>
          <t>Specific Gravity</t>
        </is>
      </c>
      <c r="B2228" s="57" t="n">
        <v>84</v>
      </c>
      <c r="C2228" s="57" t="inlineStr">
        <is>
          <t>Genotypes</t>
        </is>
      </c>
      <c r="D2228" s="57" t="inlineStr">
        <is>
          <t>25-011</t>
        </is>
      </c>
      <c r="E2228" s="57" t="inlineStr">
        <is>
          <t>UKYT-25-011</t>
        </is>
      </c>
      <c r="F2228" s="57" t="inlineStr"/>
    </row>
    <row r="2229" ht="25" customHeight="1" s="55">
      <c r="A2229" s="57" t="inlineStr">
        <is>
          <t>Specific Gravity</t>
        </is>
      </c>
      <c r="B2229" s="57" t="n">
        <v>84</v>
      </c>
      <c r="C2229" s="57" t="inlineStr">
        <is>
          <t>Harvest</t>
        </is>
      </c>
      <c r="D2229" s="57" t="inlineStr">
        <is>
          <t>first</t>
        </is>
      </c>
      <c r="E2229" s="57" t="inlineStr">
        <is>
          <t>First</t>
        </is>
      </c>
      <c r="F2229" s="57" t="inlineStr"/>
    </row>
    <row r="2230" ht="25" customHeight="1" s="55">
      <c r="A2230" s="57" t="inlineStr">
        <is>
          <t>Specific Gravity</t>
        </is>
      </c>
      <c r="B2230" s="57" t="n">
        <v>85</v>
      </c>
      <c r="C2230" s="57" t="inlineStr">
        <is>
          <t>Genotypes</t>
        </is>
      </c>
      <c r="D2230" s="57" t="inlineStr">
        <is>
          <t>25-005</t>
        </is>
      </c>
      <c r="E2230" s="57" t="inlineStr">
        <is>
          <t>UKYT-25-005</t>
        </is>
      </c>
      <c r="F2230" s="57" t="inlineStr"/>
    </row>
    <row r="2231" ht="25" customHeight="1" s="55">
      <c r="A2231" s="57" t="inlineStr">
        <is>
          <t>Specific Gravity</t>
        </is>
      </c>
      <c r="B2231" s="57" t="n">
        <v>85</v>
      </c>
      <c r="C2231" s="57" t="inlineStr">
        <is>
          <t>Harvest</t>
        </is>
      </c>
      <c r="D2231" s="57" t="inlineStr">
        <is>
          <t>first</t>
        </is>
      </c>
      <c r="E2231" s="57" t="inlineStr">
        <is>
          <t>First</t>
        </is>
      </c>
      <c r="F2231" s="57" t="inlineStr"/>
    </row>
    <row r="2232" ht="25" customHeight="1" s="55">
      <c r="A2232" s="57" t="inlineStr">
        <is>
          <t>Specific Gravity</t>
        </is>
      </c>
      <c r="B2232" s="57" t="n">
        <v>86</v>
      </c>
      <c r="C2232" s="57" t="inlineStr">
        <is>
          <t>Genotypes</t>
        </is>
      </c>
      <c r="D2232" s="57" t="inlineStr">
        <is>
          <t>25-010</t>
        </is>
      </c>
      <c r="E2232" s="57" t="inlineStr">
        <is>
          <t>UKYT-25-010</t>
        </is>
      </c>
      <c r="F2232" s="57" t="inlineStr"/>
    </row>
    <row r="2233" ht="25" customHeight="1" s="55">
      <c r="A2233" s="57" t="inlineStr">
        <is>
          <t>Specific Gravity</t>
        </is>
      </c>
      <c r="B2233" s="57" t="n">
        <v>86</v>
      </c>
      <c r="C2233" s="57" t="inlineStr">
        <is>
          <t>Harvest</t>
        </is>
      </c>
      <c r="D2233" s="57" t="inlineStr">
        <is>
          <t>first</t>
        </is>
      </c>
      <c r="E2233" s="57" t="inlineStr">
        <is>
          <t>First</t>
        </is>
      </c>
      <c r="F2233" s="57" t="inlineStr"/>
    </row>
    <row r="2234" ht="25" customHeight="1" s="55">
      <c r="A2234" s="57" t="inlineStr">
        <is>
          <t>Specific Gravity</t>
        </is>
      </c>
      <c r="B2234" s="57" t="n">
        <v>87</v>
      </c>
      <c r="C2234" s="57" t="inlineStr">
        <is>
          <t>Harvest</t>
        </is>
      </c>
      <c r="D2234" s="57" t="inlineStr">
        <is>
          <t>first</t>
        </is>
      </c>
      <c r="E2234" s="57" t="inlineStr">
        <is>
          <t>First</t>
        </is>
      </c>
      <c r="F2234" s="57" t="inlineStr"/>
    </row>
    <row r="2235" ht="25" customHeight="1" s="55">
      <c r="A2235" s="57" t="inlineStr">
        <is>
          <t>Specific Gravity</t>
        </is>
      </c>
      <c r="B2235" s="57" t="n">
        <v>88</v>
      </c>
      <c r="C2235" s="57" t="inlineStr">
        <is>
          <t>Genotypes</t>
        </is>
      </c>
      <c r="D2235" s="57" t="inlineStr">
        <is>
          <t>25-013</t>
        </is>
      </c>
      <c r="E2235" s="57" t="inlineStr">
        <is>
          <t>UKYT-25-013</t>
        </is>
      </c>
      <c r="F2235" s="57" t="inlineStr"/>
    </row>
    <row r="2236" ht="25" customHeight="1" s="55">
      <c r="A2236" s="57" t="inlineStr">
        <is>
          <t>Specific Gravity</t>
        </is>
      </c>
      <c r="B2236" s="57" t="n">
        <v>88</v>
      </c>
      <c r="C2236" s="57" t="inlineStr">
        <is>
          <t>Harvest</t>
        </is>
      </c>
      <c r="D2236" s="57" t="inlineStr">
        <is>
          <t>first</t>
        </is>
      </c>
      <c r="E2236" s="57" t="inlineStr">
        <is>
          <t>First</t>
        </is>
      </c>
      <c r="F2236" s="57" t="inlineStr"/>
    </row>
    <row r="2237" ht="25" customHeight="1" s="55">
      <c r="A2237" s="57" t="inlineStr">
        <is>
          <t>Specific Gravity</t>
        </is>
      </c>
      <c r="B2237" s="57" t="n">
        <v>89</v>
      </c>
      <c r="C2237" s="57" t="inlineStr">
        <is>
          <t>Genotypes</t>
        </is>
      </c>
      <c r="D2237" s="57" t="inlineStr">
        <is>
          <t>26-018</t>
        </is>
      </c>
      <c r="E2237" s="57" t="inlineStr">
        <is>
          <t>UKYT-26-018</t>
        </is>
      </c>
      <c r="F2237" s="57" t="inlineStr"/>
    </row>
    <row r="2238" ht="25" customHeight="1" s="55">
      <c r="A2238" s="57" t="inlineStr">
        <is>
          <t>Specific Gravity</t>
        </is>
      </c>
      <c r="B2238" s="57" t="n">
        <v>89</v>
      </c>
      <c r="C2238" s="57" t="inlineStr">
        <is>
          <t>Harvest</t>
        </is>
      </c>
      <c r="D2238" s="57" t="inlineStr">
        <is>
          <t>first</t>
        </is>
      </c>
      <c r="E2238" s="57" t="inlineStr">
        <is>
          <t>First</t>
        </is>
      </c>
      <c r="F2238" s="57" t="inlineStr"/>
    </row>
    <row r="2239" ht="25" customHeight="1" s="55">
      <c r="A2239" s="57" t="inlineStr">
        <is>
          <t>Specific Gravity</t>
        </is>
      </c>
      <c r="B2239" s="57" t="n">
        <v>90</v>
      </c>
      <c r="C2239" s="57" t="inlineStr">
        <is>
          <t>Genotypes</t>
        </is>
      </c>
      <c r="D2239" s="57" t="inlineStr">
        <is>
          <t>25-016</t>
        </is>
      </c>
      <c r="E2239" s="57" t="inlineStr">
        <is>
          <t>UKYT-25-016</t>
        </is>
      </c>
      <c r="F2239" s="57" t="inlineStr"/>
    </row>
    <row r="2240" ht="25" customHeight="1" s="55">
      <c r="A2240" s="57" t="inlineStr">
        <is>
          <t>Specific Gravity</t>
        </is>
      </c>
      <c r="B2240" s="57" t="n">
        <v>90</v>
      </c>
      <c r="C2240" s="57" t="inlineStr">
        <is>
          <t>Harvest</t>
        </is>
      </c>
      <c r="D2240" s="57" t="inlineStr">
        <is>
          <t>first</t>
        </is>
      </c>
      <c r="E2240" s="57" t="inlineStr">
        <is>
          <t>First</t>
        </is>
      </c>
      <c r="F2240" s="57" t="inlineStr"/>
    </row>
    <row r="2241" ht="25" customHeight="1" s="55">
      <c r="A2241" s="57" t="inlineStr">
        <is>
          <t>Specific Gravity</t>
        </is>
      </c>
      <c r="B2241" s="57" t="n">
        <v>91</v>
      </c>
      <c r="C2241" s="57" t="inlineStr">
        <is>
          <t>Genotypes</t>
        </is>
      </c>
      <c r="D2241" s="57" t="inlineStr">
        <is>
          <t>26-031</t>
        </is>
      </c>
      <c r="E2241" s="57" t="inlineStr">
        <is>
          <t>UKYT-26-031</t>
        </is>
      </c>
      <c r="F2241" s="57" t="inlineStr"/>
    </row>
    <row r="2242" ht="25" customHeight="1" s="55">
      <c r="A2242" s="57" t="inlineStr">
        <is>
          <t>Specific Gravity</t>
        </is>
      </c>
      <c r="B2242" s="57" t="n">
        <v>91</v>
      </c>
      <c r="C2242" s="57" t="inlineStr">
        <is>
          <t>Harvest</t>
        </is>
      </c>
      <c r="D2242" s="57" t="inlineStr">
        <is>
          <t>first</t>
        </is>
      </c>
      <c r="E2242" s="57" t="inlineStr">
        <is>
          <t>First</t>
        </is>
      </c>
      <c r="F2242" s="57" t="inlineStr"/>
    </row>
    <row r="2243" ht="25" customHeight="1" s="55">
      <c r="A2243" s="57" t="inlineStr">
        <is>
          <t>Specific Gravity</t>
        </is>
      </c>
      <c r="B2243" s="57" t="n">
        <v>92</v>
      </c>
      <c r="C2243" s="57" t="inlineStr">
        <is>
          <t>Genotypes</t>
        </is>
      </c>
      <c r="D2243" s="57" t="inlineStr">
        <is>
          <t>25-003</t>
        </is>
      </c>
      <c r="E2243" s="57" t="inlineStr">
        <is>
          <t>UKYT-25-003</t>
        </is>
      </c>
      <c r="F2243" s="57" t="inlineStr"/>
    </row>
    <row r="2244" ht="25" customHeight="1" s="55">
      <c r="A2244" s="57" t="inlineStr">
        <is>
          <t>Specific Gravity</t>
        </is>
      </c>
      <c r="B2244" s="57" t="n">
        <v>92</v>
      </c>
      <c r="C2244" s="57" t="inlineStr">
        <is>
          <t>Harvest</t>
        </is>
      </c>
      <c r="D2244" s="57" t="inlineStr">
        <is>
          <t>first</t>
        </is>
      </c>
      <c r="E2244" s="57" t="inlineStr">
        <is>
          <t>First</t>
        </is>
      </c>
      <c r="F2244" s="57" t="inlineStr"/>
    </row>
    <row r="2245" ht="25" customHeight="1" s="55">
      <c r="A2245" s="57" t="inlineStr">
        <is>
          <t>Specific Gravity</t>
        </is>
      </c>
      <c r="B2245" s="57" t="n">
        <v>93</v>
      </c>
      <c r="C2245" s="57" t="inlineStr">
        <is>
          <t>Genotypes</t>
        </is>
      </c>
      <c r="D2245" s="57" t="inlineStr">
        <is>
          <t>Mt. Fresh Plus</t>
        </is>
      </c>
      <c r="E2245" s="57" t="inlineStr">
        <is>
          <t>Mountain Fresh Plus</t>
        </is>
      </c>
      <c r="F2245" s="57" t="inlineStr"/>
    </row>
    <row r="2246" ht="25" customHeight="1" s="55">
      <c r="A2246" s="57" t="inlineStr">
        <is>
          <t>Specific Gravity</t>
        </is>
      </c>
      <c r="B2246" s="57" t="n">
        <v>93</v>
      </c>
      <c r="C2246" s="57" t="inlineStr">
        <is>
          <t>Harvest</t>
        </is>
      </c>
      <c r="D2246" s="57" t="inlineStr">
        <is>
          <t>first</t>
        </is>
      </c>
      <c r="E2246" s="57" t="inlineStr">
        <is>
          <t>First</t>
        </is>
      </c>
      <c r="F2246" s="57" t="inlineStr"/>
    </row>
    <row r="2247" ht="25" customHeight="1" s="55">
      <c r="A2247" s="57" t="inlineStr">
        <is>
          <t>Specific Gravity</t>
        </is>
      </c>
      <c r="B2247" s="57" t="n">
        <v>94</v>
      </c>
      <c r="C2247" s="57" t="inlineStr">
        <is>
          <t>Genotypes</t>
        </is>
      </c>
      <c r="D2247" s="57" t="inlineStr">
        <is>
          <t>26-28</t>
        </is>
      </c>
      <c r="E2247" s="57" t="inlineStr">
        <is>
          <t>UKYT-26-028</t>
        </is>
      </c>
      <c r="F2247" s="57" t="inlineStr"/>
    </row>
    <row r="2248" ht="25" customHeight="1" s="55">
      <c r="A2248" s="57" t="inlineStr">
        <is>
          <t>Specific Gravity</t>
        </is>
      </c>
      <c r="B2248" s="57" t="n">
        <v>94</v>
      </c>
      <c r="C2248" s="57" t="inlineStr">
        <is>
          <t>Harvest</t>
        </is>
      </c>
      <c r="D2248" s="57" t="inlineStr">
        <is>
          <t>first</t>
        </is>
      </c>
      <c r="E2248" s="57" t="inlineStr">
        <is>
          <t>First</t>
        </is>
      </c>
      <c r="F2248" s="57" t="inlineStr"/>
    </row>
    <row r="2249" ht="25" customHeight="1" s="55">
      <c r="A2249" s="57" t="inlineStr">
        <is>
          <t>Specific Gravity</t>
        </is>
      </c>
      <c r="B2249" s="57" t="n">
        <v>95</v>
      </c>
      <c r="C2249" s="57" t="inlineStr">
        <is>
          <t>Genotypes</t>
        </is>
      </c>
      <c r="D2249" s="57" t="inlineStr">
        <is>
          <t>26-001</t>
        </is>
      </c>
      <c r="E2249" s="57" t="inlineStr">
        <is>
          <t>UKYT-26-001</t>
        </is>
      </c>
      <c r="F2249" s="57" t="inlineStr"/>
    </row>
    <row r="2250" ht="25" customHeight="1" s="55">
      <c r="A2250" s="57" t="inlineStr">
        <is>
          <t>Specific Gravity</t>
        </is>
      </c>
      <c r="B2250" s="57" t="n">
        <v>95</v>
      </c>
      <c r="C2250" s="57" t="inlineStr">
        <is>
          <t>Harvest</t>
        </is>
      </c>
      <c r="D2250" s="57" t="inlineStr">
        <is>
          <t>first</t>
        </is>
      </c>
      <c r="E2250" s="57" t="inlineStr">
        <is>
          <t>First</t>
        </is>
      </c>
      <c r="F2250" s="57" t="inlineStr"/>
    </row>
    <row r="2251" ht="25" customHeight="1" s="55">
      <c r="A2251" s="57" t="inlineStr">
        <is>
          <t>Specific Gravity</t>
        </is>
      </c>
      <c r="B2251" s="57" t="n">
        <v>96</v>
      </c>
      <c r="C2251" s="57" t="inlineStr">
        <is>
          <t>Genotypes</t>
        </is>
      </c>
      <c r="D2251" s="57" t="inlineStr">
        <is>
          <t>26-032</t>
        </is>
      </c>
      <c r="E2251" s="57" t="inlineStr">
        <is>
          <t>UKYT-26-032</t>
        </is>
      </c>
      <c r="F2251" s="57" t="inlineStr"/>
    </row>
    <row r="2252" ht="25" customHeight="1" s="55">
      <c r="A2252" s="57" t="inlineStr">
        <is>
          <t>Specific Gravity</t>
        </is>
      </c>
      <c r="B2252" s="57" t="n">
        <v>96</v>
      </c>
      <c r="C2252" s="57" t="inlineStr">
        <is>
          <t>Harvest</t>
        </is>
      </c>
      <c r="D2252" s="57" t="inlineStr">
        <is>
          <t>first</t>
        </is>
      </c>
      <c r="E2252" s="57" t="inlineStr">
        <is>
          <t>First</t>
        </is>
      </c>
      <c r="F2252" s="57" t="inlineStr"/>
    </row>
    <row r="2253" ht="25" customHeight="1" s="55">
      <c r="A2253" s="57" t="inlineStr">
        <is>
          <t>Specific Gravity</t>
        </is>
      </c>
      <c r="B2253" s="57" t="n">
        <v>97</v>
      </c>
      <c r="C2253" s="57" t="inlineStr">
        <is>
          <t>Genotypes</t>
        </is>
      </c>
      <c r="D2253" s="57" t="inlineStr">
        <is>
          <t>26-035</t>
        </is>
      </c>
      <c r="E2253" s="57" t="inlineStr">
        <is>
          <t>UKYT-26-035</t>
        </is>
      </c>
      <c r="F2253" s="57" t="inlineStr"/>
    </row>
    <row r="2254" ht="25" customHeight="1" s="55">
      <c r="A2254" s="57" t="inlineStr">
        <is>
          <t>Specific Gravity</t>
        </is>
      </c>
      <c r="B2254" s="57" t="n">
        <v>97</v>
      </c>
      <c r="C2254" s="57" t="inlineStr">
        <is>
          <t>Harvest</t>
        </is>
      </c>
      <c r="D2254" s="57" t="inlineStr">
        <is>
          <t>first</t>
        </is>
      </c>
      <c r="E2254" s="57" t="inlineStr">
        <is>
          <t>First</t>
        </is>
      </c>
      <c r="F2254" s="57" t="inlineStr"/>
    </row>
    <row r="2255" ht="25" customHeight="1" s="55">
      <c r="A2255" s="57" t="inlineStr">
        <is>
          <t>Specific Gravity</t>
        </is>
      </c>
      <c r="B2255" s="57" t="n">
        <v>98</v>
      </c>
      <c r="C2255" s="57" t="inlineStr">
        <is>
          <t>Genotypes</t>
        </is>
      </c>
      <c r="D2255" s="57" t="inlineStr">
        <is>
          <t>26-038</t>
        </is>
      </c>
      <c r="E2255" s="57" t="inlineStr">
        <is>
          <t>UKYT-26-038</t>
        </is>
      </c>
      <c r="F2255" s="57" t="inlineStr"/>
    </row>
    <row r="2256" ht="25" customHeight="1" s="55">
      <c r="A2256" s="57" t="inlineStr">
        <is>
          <t>Specific Gravity</t>
        </is>
      </c>
      <c r="B2256" s="57" t="n">
        <v>98</v>
      </c>
      <c r="C2256" s="57" t="inlineStr">
        <is>
          <t>Harvest</t>
        </is>
      </c>
      <c r="D2256" s="57" t="inlineStr">
        <is>
          <t>first</t>
        </is>
      </c>
      <c r="E2256" s="57" t="inlineStr">
        <is>
          <t>First</t>
        </is>
      </c>
      <c r="F2256" s="57" t="inlineStr"/>
    </row>
    <row r="2257" ht="25" customHeight="1" s="55">
      <c r="A2257" s="57" t="inlineStr">
        <is>
          <t>Specific Gravity</t>
        </is>
      </c>
      <c r="B2257" s="57" t="n">
        <v>99</v>
      </c>
      <c r="C2257" s="57" t="inlineStr">
        <is>
          <t>Harvest</t>
        </is>
      </c>
      <c r="D2257" s="57" t="inlineStr">
        <is>
          <t>first</t>
        </is>
      </c>
      <c r="E2257" s="57" t="inlineStr">
        <is>
          <t>First</t>
        </is>
      </c>
      <c r="F2257" s="57" t="inlineStr"/>
    </row>
    <row r="2258" ht="25" customHeight="1" s="55">
      <c r="A2258" s="57" t="inlineStr">
        <is>
          <t>Specific Gravity</t>
        </is>
      </c>
      <c r="B2258" s="57" t="n">
        <v>100</v>
      </c>
      <c r="C2258" s="57" t="inlineStr">
        <is>
          <t>Harvest</t>
        </is>
      </c>
      <c r="D2258" s="57" t="inlineStr">
        <is>
          <t>first</t>
        </is>
      </c>
      <c r="E2258" s="57" t="inlineStr">
        <is>
          <t>First</t>
        </is>
      </c>
      <c r="F2258" s="57" t="inlineStr"/>
    </row>
    <row r="2259" ht="25" customHeight="1" s="55">
      <c r="A2259" s="57" t="inlineStr">
        <is>
          <t>Specific Gravity</t>
        </is>
      </c>
      <c r="B2259" s="57" t="n">
        <v>101</v>
      </c>
      <c r="C2259" s="57" t="inlineStr">
        <is>
          <t>Harvest</t>
        </is>
      </c>
      <c r="D2259" s="57" t="inlineStr">
        <is>
          <t>first</t>
        </is>
      </c>
      <c r="E2259" s="57" t="inlineStr">
        <is>
          <t>First</t>
        </is>
      </c>
      <c r="F2259" s="57" t="inlineStr"/>
    </row>
    <row r="2260" ht="25" customHeight="1" s="55">
      <c r="A2260" s="57" t="inlineStr">
        <is>
          <t>Specific Gravity</t>
        </is>
      </c>
      <c r="B2260" s="57" t="n">
        <v>102</v>
      </c>
      <c r="C2260" s="57" t="inlineStr">
        <is>
          <t>Genotypes</t>
        </is>
      </c>
      <c r="D2260" s="57" t="inlineStr">
        <is>
          <t>26-033</t>
        </is>
      </c>
      <c r="E2260" s="57" t="inlineStr">
        <is>
          <t>UKYT-26-033</t>
        </is>
      </c>
      <c r="F2260" s="57" t="inlineStr"/>
    </row>
    <row r="2261" ht="25" customHeight="1" s="55">
      <c r="A2261" s="57" t="inlineStr">
        <is>
          <t>Specific Gravity</t>
        </is>
      </c>
      <c r="B2261" s="57" t="n">
        <v>102</v>
      </c>
      <c r="C2261" s="57" t="inlineStr">
        <is>
          <t>Harvest</t>
        </is>
      </c>
      <c r="D2261" s="57" t="inlineStr">
        <is>
          <t>first</t>
        </is>
      </c>
      <c r="E2261" s="57" t="inlineStr">
        <is>
          <t>First</t>
        </is>
      </c>
      <c r="F2261" s="57" t="inlineStr"/>
    </row>
    <row r="2262" ht="25" customHeight="1" s="55">
      <c r="A2262" s="57" t="inlineStr">
        <is>
          <t>Specific Gravity</t>
        </is>
      </c>
      <c r="B2262" s="57" t="n">
        <v>103</v>
      </c>
      <c r="C2262" s="57" t="inlineStr">
        <is>
          <t>Genotypes</t>
        </is>
      </c>
      <c r="D2262" s="57" t="inlineStr">
        <is>
          <t>26-015</t>
        </is>
      </c>
      <c r="E2262" s="57" t="inlineStr">
        <is>
          <t>UKYT-26-015</t>
        </is>
      </c>
      <c r="F2262" s="57" t="inlineStr"/>
    </row>
    <row r="2263" ht="25" customHeight="1" s="55">
      <c r="A2263" s="57" t="inlineStr">
        <is>
          <t>Specific Gravity</t>
        </is>
      </c>
      <c r="B2263" s="57" t="n">
        <v>103</v>
      </c>
      <c r="C2263" s="57" t="inlineStr">
        <is>
          <t>Harvest</t>
        </is>
      </c>
      <c r="D2263" s="57" t="inlineStr">
        <is>
          <t>first</t>
        </is>
      </c>
      <c r="E2263" s="57" t="inlineStr">
        <is>
          <t>First</t>
        </is>
      </c>
      <c r="F2263" s="57" t="inlineStr"/>
    </row>
    <row r="2264" ht="25" customHeight="1" s="55">
      <c r="A2264" s="57" t="inlineStr">
        <is>
          <t>Specific Gravity</t>
        </is>
      </c>
      <c r="B2264" s="57" t="n">
        <v>104</v>
      </c>
      <c r="C2264" s="57" t="inlineStr">
        <is>
          <t>Genotypes</t>
        </is>
      </c>
      <c r="D2264" s="57" t="inlineStr">
        <is>
          <t>26-037</t>
        </is>
      </c>
      <c r="E2264" s="57" t="inlineStr">
        <is>
          <t>UKYT-26-037</t>
        </is>
      </c>
      <c r="F2264" s="57" t="inlineStr"/>
    </row>
    <row r="2265" ht="25" customHeight="1" s="55">
      <c r="A2265" s="57" t="inlineStr">
        <is>
          <t>Specific Gravity</t>
        </is>
      </c>
      <c r="B2265" s="57" t="n">
        <v>104</v>
      </c>
      <c r="C2265" s="57" t="inlineStr">
        <is>
          <t>Harvest</t>
        </is>
      </c>
      <c r="D2265" s="57" t="inlineStr">
        <is>
          <t>first</t>
        </is>
      </c>
      <c r="E2265" s="57" t="inlineStr">
        <is>
          <t>First</t>
        </is>
      </c>
      <c r="F2265" s="57" t="inlineStr"/>
    </row>
    <row r="2266" ht="25" customHeight="1" s="55">
      <c r="A2266" s="57" t="inlineStr">
        <is>
          <t>Specific Gravity</t>
        </is>
      </c>
      <c r="B2266" s="57" t="n">
        <v>105</v>
      </c>
      <c r="C2266" s="57" t="inlineStr">
        <is>
          <t>Genotypes</t>
        </is>
      </c>
      <c r="D2266" s="57" t="inlineStr">
        <is>
          <t>261G</t>
        </is>
      </c>
      <c r="E2266" s="57" t="inlineStr">
        <is>
          <t>NC261G</t>
        </is>
      </c>
      <c r="F2266" s="57" t="inlineStr"/>
    </row>
    <row r="2267" ht="25" customHeight="1" s="55">
      <c r="A2267" s="57" t="inlineStr">
        <is>
          <t>Specific Gravity</t>
        </is>
      </c>
      <c r="B2267" s="57" t="n">
        <v>105</v>
      </c>
      <c r="C2267" s="57" t="inlineStr">
        <is>
          <t>Harvest</t>
        </is>
      </c>
      <c r="D2267" s="57" t="inlineStr">
        <is>
          <t>first</t>
        </is>
      </c>
      <c r="E2267" s="57" t="inlineStr">
        <is>
          <t>First</t>
        </is>
      </c>
      <c r="F2267" s="57" t="inlineStr"/>
    </row>
    <row r="2268" ht="25" customHeight="1" s="55">
      <c r="A2268" s="57" t="inlineStr">
        <is>
          <t>Specific Gravity</t>
        </is>
      </c>
      <c r="B2268" s="57" t="n">
        <v>106</v>
      </c>
      <c r="C2268" s="57" t="inlineStr">
        <is>
          <t>Harvest</t>
        </is>
      </c>
      <c r="D2268" s="57" t="inlineStr">
        <is>
          <t>first</t>
        </is>
      </c>
      <c r="E2268" s="57" t="inlineStr">
        <is>
          <t>First</t>
        </is>
      </c>
      <c r="F2268" s="57" t="inlineStr"/>
    </row>
    <row r="2269" ht="25" customHeight="1" s="55">
      <c r="A2269" s="57" t="inlineStr">
        <is>
          <t>Specific Gravity</t>
        </is>
      </c>
      <c r="B2269" s="57" t="n">
        <v>107</v>
      </c>
      <c r="C2269" s="57" t="inlineStr">
        <is>
          <t>Genotypes</t>
        </is>
      </c>
      <c r="D2269" s="57" t="inlineStr">
        <is>
          <t>26-030</t>
        </is>
      </c>
      <c r="E2269" s="57" t="inlineStr">
        <is>
          <t>UKYT-26-030</t>
        </is>
      </c>
      <c r="F2269" s="57" t="inlineStr"/>
    </row>
    <row r="2270" ht="25" customHeight="1" s="55">
      <c r="A2270" s="57" t="inlineStr">
        <is>
          <t>Specific Gravity</t>
        </is>
      </c>
      <c r="B2270" s="57" t="n">
        <v>107</v>
      </c>
      <c r="C2270" s="57" t="inlineStr">
        <is>
          <t>Harvest</t>
        </is>
      </c>
      <c r="D2270" s="57" t="inlineStr">
        <is>
          <t>first</t>
        </is>
      </c>
      <c r="E2270" s="57" t="inlineStr">
        <is>
          <t>First</t>
        </is>
      </c>
      <c r="F2270" s="57" t="inlineStr"/>
    </row>
    <row r="2271" ht="25" customHeight="1" s="55">
      <c r="A2271" s="57" t="inlineStr">
        <is>
          <t>Specific Gravity</t>
        </is>
      </c>
      <c r="B2271" s="57" t="n">
        <v>108</v>
      </c>
      <c r="C2271" s="57" t="inlineStr">
        <is>
          <t>Harvest</t>
        </is>
      </c>
      <c r="D2271" s="57" t="inlineStr">
        <is>
          <t>first</t>
        </is>
      </c>
      <c r="E2271" s="57" t="inlineStr">
        <is>
          <t>First</t>
        </is>
      </c>
      <c r="F2271" s="57" t="inlineStr"/>
    </row>
    <row r="2272" ht="25" customHeight="1" s="55">
      <c r="A2272" s="57" t="inlineStr">
        <is>
          <t>Specific Gravity</t>
        </is>
      </c>
      <c r="B2272" s="57" t="n">
        <v>109</v>
      </c>
      <c r="C2272" s="57" t="inlineStr">
        <is>
          <t>Harvest</t>
        </is>
      </c>
      <c r="D2272" s="57" t="inlineStr">
        <is>
          <t>first</t>
        </is>
      </c>
      <c r="E2272" s="57" t="inlineStr">
        <is>
          <t>First</t>
        </is>
      </c>
      <c r="F2272" s="57" t="inlineStr"/>
    </row>
    <row r="2273" ht="25" customHeight="1" s="55">
      <c r="A2273" s="57" t="inlineStr">
        <is>
          <t>Specific Gravity</t>
        </is>
      </c>
      <c r="B2273" s="57" t="n">
        <v>110</v>
      </c>
      <c r="C2273" s="57" t="inlineStr">
        <is>
          <t>Harvest</t>
        </is>
      </c>
      <c r="D2273" s="57" t="inlineStr">
        <is>
          <t>first</t>
        </is>
      </c>
      <c r="E2273" s="57" t="inlineStr">
        <is>
          <t>First</t>
        </is>
      </c>
      <c r="F2273" s="57" t="inlineStr"/>
    </row>
    <row r="2274" ht="25" customHeight="1" s="55">
      <c r="A2274" s="57" t="inlineStr">
        <is>
          <t>Specific Gravity</t>
        </is>
      </c>
      <c r="B2274" s="57" t="n">
        <v>111</v>
      </c>
      <c r="C2274" s="57" t="inlineStr">
        <is>
          <t>Harvest</t>
        </is>
      </c>
      <c r="D2274" s="57" t="inlineStr">
        <is>
          <t>first</t>
        </is>
      </c>
      <c r="E2274" s="57" t="inlineStr">
        <is>
          <t>First</t>
        </is>
      </c>
      <c r="F2274" s="57" t="inlineStr"/>
    </row>
    <row r="2275" ht="25" customHeight="1" s="55">
      <c r="A2275" s="57" t="inlineStr">
        <is>
          <t>Specific Gravity</t>
        </is>
      </c>
      <c r="B2275" s="57" t="n">
        <v>112</v>
      </c>
      <c r="C2275" s="57" t="inlineStr">
        <is>
          <t>Harvest</t>
        </is>
      </c>
      <c r="D2275" s="57" t="inlineStr">
        <is>
          <t>first</t>
        </is>
      </c>
      <c r="E2275" s="57" t="inlineStr">
        <is>
          <t>First</t>
        </is>
      </c>
      <c r="F2275" s="57" t="inlineStr"/>
    </row>
    <row r="2276" ht="25" customHeight="1" s="55">
      <c r="A2276" s="57" t="inlineStr">
        <is>
          <t>Specific Gravity</t>
        </is>
      </c>
      <c r="B2276" s="57" t="n">
        <v>113</v>
      </c>
      <c r="C2276" s="57" t="inlineStr">
        <is>
          <t>Harvest</t>
        </is>
      </c>
      <c r="D2276" s="57" t="inlineStr">
        <is>
          <t>first</t>
        </is>
      </c>
      <c r="E2276" s="57" t="inlineStr">
        <is>
          <t>First</t>
        </is>
      </c>
      <c r="F2276" s="57" t="inlineStr"/>
    </row>
    <row r="2277" ht="25" customHeight="1" s="55">
      <c r="A2277" s="57" t="inlineStr">
        <is>
          <t>Specific Gravity</t>
        </is>
      </c>
      <c r="B2277" s="57" t="n">
        <v>114</v>
      </c>
      <c r="C2277" s="57" t="inlineStr">
        <is>
          <t>Harvest</t>
        </is>
      </c>
      <c r="D2277" s="57" t="inlineStr">
        <is>
          <t>first</t>
        </is>
      </c>
      <c r="E2277" s="57" t="inlineStr">
        <is>
          <t>First</t>
        </is>
      </c>
      <c r="F2277" s="57" t="inlineStr"/>
    </row>
    <row r="2278" ht="25" customHeight="1" s="55">
      <c r="A2278" s="57" t="inlineStr">
        <is>
          <t>Specific Gravity</t>
        </is>
      </c>
      <c r="B2278" s="57" t="n">
        <v>115</v>
      </c>
      <c r="C2278" s="57" t="inlineStr">
        <is>
          <t>Genotypes</t>
        </is>
      </c>
      <c r="D2278" s="57" t="inlineStr">
        <is>
          <t>252G</t>
        </is>
      </c>
      <c r="E2278" s="57" t="inlineStr">
        <is>
          <t>NC252G</t>
        </is>
      </c>
      <c r="F2278" s="57" t="inlineStr"/>
    </row>
    <row r="2279" ht="25" customHeight="1" s="55">
      <c r="A2279" s="57" t="inlineStr">
        <is>
          <t>Specific Gravity</t>
        </is>
      </c>
      <c r="B2279" s="57" t="n">
        <v>115</v>
      </c>
      <c r="C2279" s="57" t="inlineStr">
        <is>
          <t>Harvest</t>
        </is>
      </c>
      <c r="D2279" s="57" t="inlineStr">
        <is>
          <t>first</t>
        </is>
      </c>
      <c r="E2279" s="57" t="inlineStr">
        <is>
          <t>First</t>
        </is>
      </c>
      <c r="F2279" s="57" t="inlineStr"/>
    </row>
    <row r="2280" ht="25" customHeight="1" s="55">
      <c r="A2280" s="57" t="inlineStr">
        <is>
          <t>Specific Gravity</t>
        </is>
      </c>
      <c r="B2280" s="57" t="n">
        <v>116</v>
      </c>
      <c r="C2280" s="57" t="inlineStr">
        <is>
          <t>Genotypes</t>
        </is>
      </c>
      <c r="D2280" s="57" t="inlineStr">
        <is>
          <t>25300G</t>
        </is>
      </c>
      <c r="E2280" s="57" t="inlineStr">
        <is>
          <t>NC25300G</t>
        </is>
      </c>
      <c r="F2280" s="57" t="inlineStr"/>
    </row>
    <row r="2281" ht="25" customHeight="1" s="55">
      <c r="A2281" s="57" t="inlineStr">
        <is>
          <t>Specific Gravity</t>
        </is>
      </c>
      <c r="B2281" s="57" t="n">
        <v>116</v>
      </c>
      <c r="C2281" s="57" t="inlineStr">
        <is>
          <t>Harvest</t>
        </is>
      </c>
      <c r="D2281" s="57" t="inlineStr">
        <is>
          <t>first</t>
        </is>
      </c>
      <c r="E2281" s="57" t="inlineStr">
        <is>
          <t>First</t>
        </is>
      </c>
      <c r="F2281" s="57" t="inlineStr"/>
    </row>
    <row r="2282" ht="25" customHeight="1" s="55">
      <c r="A2282" s="57" t="inlineStr">
        <is>
          <t>Specific Gravity</t>
        </is>
      </c>
      <c r="B2282" s="57" t="n">
        <v>117</v>
      </c>
      <c r="C2282" s="57" t="inlineStr">
        <is>
          <t>Harvest</t>
        </is>
      </c>
      <c r="D2282" s="57" t="inlineStr">
        <is>
          <t>first</t>
        </is>
      </c>
      <c r="E2282" s="57" t="inlineStr">
        <is>
          <t>First</t>
        </is>
      </c>
      <c r="F2282" s="57" t="inlineStr"/>
    </row>
    <row r="2283" ht="25" customHeight="1" s="55">
      <c r="A2283" s="57" t="inlineStr">
        <is>
          <t>Specific Gravity</t>
        </is>
      </c>
      <c r="B2283" s="57" t="n">
        <v>118</v>
      </c>
      <c r="C2283" s="57" t="inlineStr">
        <is>
          <t>Genotypes</t>
        </is>
      </c>
      <c r="D2283" s="57" t="inlineStr">
        <is>
          <t>25218G</t>
        </is>
      </c>
      <c r="E2283" s="57" t="inlineStr">
        <is>
          <t>NC25218G</t>
        </is>
      </c>
      <c r="F2283" s="57" t="inlineStr"/>
    </row>
    <row r="2284" ht="25" customHeight="1" s="55">
      <c r="A2284" s="57" t="inlineStr">
        <is>
          <t>Specific Gravity</t>
        </is>
      </c>
      <c r="B2284" s="57" t="n">
        <v>118</v>
      </c>
      <c r="C2284" s="57" t="inlineStr">
        <is>
          <t>Harvest</t>
        </is>
      </c>
      <c r="D2284" s="57" t="inlineStr">
        <is>
          <t>first</t>
        </is>
      </c>
      <c r="E2284" s="57" t="inlineStr">
        <is>
          <t>First</t>
        </is>
      </c>
      <c r="F2284" s="57" t="inlineStr"/>
    </row>
    <row r="2285" ht="25" customHeight="1" s="55">
      <c r="A2285" s="57" t="inlineStr">
        <is>
          <t>Specific Gravity</t>
        </is>
      </c>
      <c r="B2285" s="57" t="n">
        <v>119</v>
      </c>
      <c r="C2285" s="57" t="inlineStr">
        <is>
          <t>Harvest</t>
        </is>
      </c>
      <c r="D2285" s="57" t="inlineStr">
        <is>
          <t>first</t>
        </is>
      </c>
      <c r="E2285" s="57" t="inlineStr">
        <is>
          <t>First</t>
        </is>
      </c>
      <c r="F2285" s="57" t="inlineStr"/>
    </row>
    <row r="2286" ht="25" customHeight="1" s="55">
      <c r="A2286" s="57" t="inlineStr">
        <is>
          <t>Specific Gravity</t>
        </is>
      </c>
      <c r="B2286" s="57" t="n">
        <v>120</v>
      </c>
      <c r="C2286" s="57" t="inlineStr">
        <is>
          <t>Harvest</t>
        </is>
      </c>
      <c r="D2286" s="57" t="inlineStr">
        <is>
          <t>first</t>
        </is>
      </c>
      <c r="E2286" s="57" t="inlineStr">
        <is>
          <t>First</t>
        </is>
      </c>
      <c r="F2286" s="57" t="inlineStr"/>
    </row>
    <row r="2287" ht="25" customHeight="1" s="55">
      <c r="A2287" s="57" t="inlineStr">
        <is>
          <t>Specific Gravity</t>
        </is>
      </c>
      <c r="B2287" s="57" t="n">
        <v>121</v>
      </c>
      <c r="C2287" s="57" t="inlineStr">
        <is>
          <t>Genotypes</t>
        </is>
      </c>
      <c r="D2287" s="57" t="inlineStr">
        <is>
          <t>26-12</t>
        </is>
      </c>
      <c r="E2287" s="57" t="inlineStr">
        <is>
          <t>UKYT-26-012</t>
        </is>
      </c>
      <c r="F2287" s="57" t="inlineStr"/>
    </row>
    <row r="2288" ht="25" customHeight="1" s="55">
      <c r="A2288" s="57" t="inlineStr">
        <is>
          <t>Specific Gravity</t>
        </is>
      </c>
      <c r="B2288" s="57" t="n">
        <v>121</v>
      </c>
      <c r="C2288" s="57" t="inlineStr">
        <is>
          <t>Harvest</t>
        </is>
      </c>
      <c r="D2288" s="57" t="inlineStr">
        <is>
          <t>first</t>
        </is>
      </c>
      <c r="E2288" s="57" t="inlineStr">
        <is>
          <t>First</t>
        </is>
      </c>
      <c r="F2288" s="57" t="inlineStr"/>
    </row>
    <row r="2289" ht="25" customHeight="1" s="55">
      <c r="A2289" s="57" t="inlineStr">
        <is>
          <t>Specific Gravity</t>
        </is>
      </c>
      <c r="B2289" s="57" t="n">
        <v>122</v>
      </c>
      <c r="C2289" s="57" t="inlineStr">
        <is>
          <t>Genotypes</t>
        </is>
      </c>
      <c r="D2289" s="57" t="inlineStr">
        <is>
          <t>264G</t>
        </is>
      </c>
      <c r="E2289" s="57" t="inlineStr">
        <is>
          <t>NC264G</t>
        </is>
      </c>
      <c r="F2289" s="57" t="inlineStr"/>
    </row>
    <row r="2290" ht="25" customHeight="1" s="55">
      <c r="A2290" s="57" t="inlineStr">
        <is>
          <t>Specific Gravity</t>
        </is>
      </c>
      <c r="B2290" s="57" t="n">
        <v>122</v>
      </c>
      <c r="C2290" s="57" t="inlineStr">
        <is>
          <t>Harvest</t>
        </is>
      </c>
      <c r="D2290" s="57" t="inlineStr">
        <is>
          <t>first</t>
        </is>
      </c>
      <c r="E2290" s="57" t="inlineStr">
        <is>
          <t>First</t>
        </is>
      </c>
      <c r="F2290" s="57" t="inlineStr"/>
    </row>
    <row r="2291" ht="25" customHeight="1" s="55">
      <c r="A2291" s="57" t="inlineStr">
        <is>
          <t>Specific Gravity</t>
        </is>
      </c>
      <c r="B2291" s="57" t="n">
        <v>123</v>
      </c>
      <c r="C2291" s="57" t="inlineStr">
        <is>
          <t>Genotypes</t>
        </is>
      </c>
      <c r="D2291" s="57" t="inlineStr">
        <is>
          <t>264G</t>
        </is>
      </c>
      <c r="E2291" s="57" t="inlineStr">
        <is>
          <t>NC264G</t>
        </is>
      </c>
      <c r="F2291" s="57" t="inlineStr"/>
    </row>
    <row r="2292" ht="25" customHeight="1" s="55">
      <c r="A2292" s="57" t="inlineStr">
        <is>
          <t>Specific Gravity</t>
        </is>
      </c>
      <c r="B2292" s="57" t="n">
        <v>123</v>
      </c>
      <c r="C2292" s="57" t="inlineStr">
        <is>
          <t>Location</t>
        </is>
      </c>
      <c r="D2292" s="57" t="inlineStr">
        <is>
          <t>Open Field</t>
        </is>
      </c>
      <c r="E2292" s="57" t="inlineStr">
        <is>
          <t>Open field</t>
        </is>
      </c>
      <c r="F2292" s="57" t="inlineStr"/>
    </row>
    <row r="2293" ht="25" customHeight="1" s="55">
      <c r="A2293" s="57" t="inlineStr">
        <is>
          <t>Specific Gravity</t>
        </is>
      </c>
      <c r="B2293" s="57" t="n">
        <v>123</v>
      </c>
      <c r="C2293" s="57" t="inlineStr">
        <is>
          <t>Harvest</t>
        </is>
      </c>
      <c r="D2293" s="57" t="inlineStr">
        <is>
          <t>second</t>
        </is>
      </c>
      <c r="E2293" s="57" t="inlineStr">
        <is>
          <t>Second</t>
        </is>
      </c>
      <c r="F2293" s="57" t="inlineStr"/>
    </row>
    <row r="2294" ht="25" customHeight="1" s="55">
      <c r="A2294" s="57" t="inlineStr">
        <is>
          <t>Specific Gravity</t>
        </is>
      </c>
      <c r="B2294" s="57" t="n">
        <v>124</v>
      </c>
      <c r="C2294" s="57" t="inlineStr">
        <is>
          <t>Location</t>
        </is>
      </c>
      <c r="D2294" s="57" t="inlineStr">
        <is>
          <t>Open Field</t>
        </is>
      </c>
      <c r="E2294" s="57" t="inlineStr">
        <is>
          <t>Open field</t>
        </is>
      </c>
      <c r="F2294" s="57" t="inlineStr"/>
    </row>
    <row r="2295" ht="25" customHeight="1" s="55">
      <c r="A2295" s="57" t="inlineStr">
        <is>
          <t>Specific Gravity</t>
        </is>
      </c>
      <c r="B2295" s="57" t="n">
        <v>124</v>
      </c>
      <c r="C2295" s="57" t="inlineStr">
        <is>
          <t>Harvest</t>
        </is>
      </c>
      <c r="D2295" s="57" t="inlineStr">
        <is>
          <t>second</t>
        </is>
      </c>
      <c r="E2295" s="57" t="inlineStr">
        <is>
          <t>Second</t>
        </is>
      </c>
      <c r="F2295" s="57" t="inlineStr"/>
    </row>
    <row r="2296" ht="25" customHeight="1" s="55">
      <c r="A2296" s="57" t="inlineStr">
        <is>
          <t>Specific Gravity</t>
        </is>
      </c>
      <c r="B2296" s="57" t="n">
        <v>125</v>
      </c>
      <c r="C2296" s="57" t="inlineStr">
        <is>
          <t>Location</t>
        </is>
      </c>
      <c r="D2296" s="57" t="inlineStr">
        <is>
          <t>Open Field</t>
        </is>
      </c>
      <c r="E2296" s="57" t="inlineStr">
        <is>
          <t>Open field</t>
        </is>
      </c>
      <c r="F2296" s="57" t="inlineStr"/>
    </row>
    <row r="2297" ht="25" customHeight="1" s="55">
      <c r="A2297" s="57" t="inlineStr">
        <is>
          <t>Specific Gravity</t>
        </is>
      </c>
      <c r="B2297" s="57" t="n">
        <v>125</v>
      </c>
      <c r="C2297" s="57" t="inlineStr">
        <is>
          <t>Harvest</t>
        </is>
      </c>
      <c r="D2297" s="57" t="inlineStr">
        <is>
          <t>second</t>
        </is>
      </c>
      <c r="E2297" s="57" t="inlineStr">
        <is>
          <t>Second</t>
        </is>
      </c>
      <c r="F2297" s="57" t="inlineStr"/>
    </row>
    <row r="2298" ht="25" customHeight="1" s="55">
      <c r="A2298" s="57" t="inlineStr">
        <is>
          <t>Specific Gravity</t>
        </is>
      </c>
      <c r="B2298" s="57" t="n">
        <v>126</v>
      </c>
      <c r="C2298" s="57" t="inlineStr">
        <is>
          <t>Location</t>
        </is>
      </c>
      <c r="D2298" s="57" t="inlineStr">
        <is>
          <t>Open Field</t>
        </is>
      </c>
      <c r="E2298" s="57" t="inlineStr">
        <is>
          <t>Open field</t>
        </is>
      </c>
      <c r="F2298" s="57" t="inlineStr"/>
    </row>
    <row r="2299" ht="25" customHeight="1" s="55">
      <c r="A2299" s="57" t="inlineStr">
        <is>
          <t>Specific Gravity</t>
        </is>
      </c>
      <c r="B2299" s="57" t="n">
        <v>126</v>
      </c>
      <c r="C2299" s="57" t="inlineStr">
        <is>
          <t>Harvest</t>
        </is>
      </c>
      <c r="D2299" s="57" t="inlineStr">
        <is>
          <t>second</t>
        </is>
      </c>
      <c r="E2299" s="57" t="inlineStr">
        <is>
          <t>Second</t>
        </is>
      </c>
      <c r="F2299" s="57" t="inlineStr"/>
    </row>
    <row r="2300" ht="25" customHeight="1" s="55">
      <c r="A2300" s="57" t="inlineStr">
        <is>
          <t>Specific Gravity</t>
        </is>
      </c>
      <c r="B2300" s="57" t="n">
        <v>127</v>
      </c>
      <c r="C2300" s="57" t="inlineStr">
        <is>
          <t>Location</t>
        </is>
      </c>
      <c r="D2300" s="57" t="inlineStr">
        <is>
          <t>Open Field</t>
        </is>
      </c>
      <c r="E2300" s="57" t="inlineStr">
        <is>
          <t>Open field</t>
        </is>
      </c>
      <c r="F2300" s="57" t="inlineStr"/>
    </row>
    <row r="2301" ht="25" customHeight="1" s="55">
      <c r="A2301" s="57" t="inlineStr">
        <is>
          <t>Specific Gravity</t>
        </is>
      </c>
      <c r="B2301" s="57" t="n">
        <v>127</v>
      </c>
      <c r="C2301" s="57" t="inlineStr">
        <is>
          <t>Harvest</t>
        </is>
      </c>
      <c r="D2301" s="57" t="inlineStr">
        <is>
          <t>second</t>
        </is>
      </c>
      <c r="E2301" s="57" t="inlineStr">
        <is>
          <t>Second</t>
        </is>
      </c>
      <c r="F2301" s="57" t="inlineStr"/>
    </row>
    <row r="2302" ht="25" customHeight="1" s="55">
      <c r="A2302" s="57" t="inlineStr">
        <is>
          <t>Specific Gravity</t>
        </is>
      </c>
      <c r="B2302" s="57" t="n">
        <v>128</v>
      </c>
      <c r="C2302" s="57" t="inlineStr">
        <is>
          <t>Location</t>
        </is>
      </c>
      <c r="D2302" s="57" t="inlineStr">
        <is>
          <t>Open Field</t>
        </is>
      </c>
      <c r="E2302" s="57" t="inlineStr">
        <is>
          <t>Open field</t>
        </is>
      </c>
      <c r="F2302" s="57" t="inlineStr"/>
    </row>
    <row r="2303" ht="25" customHeight="1" s="55">
      <c r="A2303" s="57" t="inlineStr">
        <is>
          <t>Specific Gravity</t>
        </is>
      </c>
      <c r="B2303" s="57" t="n">
        <v>128</v>
      </c>
      <c r="C2303" s="57" t="inlineStr">
        <is>
          <t>Harvest</t>
        </is>
      </c>
      <c r="D2303" s="57" t="inlineStr">
        <is>
          <t>second</t>
        </is>
      </c>
      <c r="E2303" s="57" t="inlineStr">
        <is>
          <t>Second</t>
        </is>
      </c>
      <c r="F2303" s="57" t="inlineStr"/>
    </row>
    <row r="2304" ht="25" customHeight="1" s="55">
      <c r="A2304" s="57" t="inlineStr">
        <is>
          <t>Specific Gravity</t>
        </is>
      </c>
      <c r="B2304" s="57" t="n">
        <v>129</v>
      </c>
      <c r="C2304" s="57" t="inlineStr">
        <is>
          <t>Location</t>
        </is>
      </c>
      <c r="D2304" s="57" t="inlineStr">
        <is>
          <t>Open Field</t>
        </is>
      </c>
      <c r="E2304" s="57" t="inlineStr">
        <is>
          <t>Open field</t>
        </is>
      </c>
      <c r="F2304" s="57" t="inlineStr"/>
    </row>
    <row r="2305" ht="25" customHeight="1" s="55">
      <c r="A2305" s="57" t="inlineStr">
        <is>
          <t>Specific Gravity</t>
        </is>
      </c>
      <c r="B2305" s="57" t="n">
        <v>129</v>
      </c>
      <c r="C2305" s="57" t="inlineStr">
        <is>
          <t>Harvest</t>
        </is>
      </c>
      <c r="D2305" s="57" t="inlineStr">
        <is>
          <t>second</t>
        </is>
      </c>
      <c r="E2305" s="57" t="inlineStr">
        <is>
          <t>Second</t>
        </is>
      </c>
      <c r="F2305" s="57" t="inlineStr"/>
    </row>
    <row r="2306" ht="25" customHeight="1" s="55">
      <c r="A2306" s="57" t="inlineStr">
        <is>
          <t>Specific Gravity</t>
        </is>
      </c>
      <c r="B2306" s="57" t="n">
        <v>130</v>
      </c>
      <c r="C2306" s="57" t="inlineStr">
        <is>
          <t>Location</t>
        </is>
      </c>
      <c r="D2306" s="57" t="inlineStr">
        <is>
          <t>Open Field</t>
        </is>
      </c>
      <c r="E2306" s="57" t="inlineStr">
        <is>
          <t>Open field</t>
        </is>
      </c>
      <c r="F2306" s="57" t="inlineStr"/>
    </row>
    <row r="2307" ht="25" customHeight="1" s="55">
      <c r="A2307" s="57" t="inlineStr">
        <is>
          <t>Specific Gravity</t>
        </is>
      </c>
      <c r="B2307" s="57" t="n">
        <v>130</v>
      </c>
      <c r="C2307" s="57" t="inlineStr">
        <is>
          <t>Harvest</t>
        </is>
      </c>
      <c r="D2307" s="57" t="inlineStr">
        <is>
          <t>second</t>
        </is>
      </c>
      <c r="E2307" s="57" t="inlineStr">
        <is>
          <t>Second</t>
        </is>
      </c>
      <c r="F2307" s="57" t="inlineStr"/>
    </row>
    <row r="2308" ht="25" customHeight="1" s="55">
      <c r="A2308" s="57" t="inlineStr">
        <is>
          <t>Specific Gravity</t>
        </is>
      </c>
      <c r="B2308" s="57" t="n">
        <v>131</v>
      </c>
      <c r="C2308" s="57" t="inlineStr">
        <is>
          <t>Location</t>
        </is>
      </c>
      <c r="D2308" s="57" t="inlineStr">
        <is>
          <t>Open Field</t>
        </is>
      </c>
      <c r="E2308" s="57" t="inlineStr">
        <is>
          <t>Open field</t>
        </is>
      </c>
      <c r="F2308" s="57" t="inlineStr"/>
    </row>
    <row r="2309" ht="25" customHeight="1" s="55">
      <c r="A2309" s="57" t="inlineStr">
        <is>
          <t>Specific Gravity</t>
        </is>
      </c>
      <c r="B2309" s="57" t="n">
        <v>131</v>
      </c>
      <c r="C2309" s="57" t="inlineStr">
        <is>
          <t>Harvest</t>
        </is>
      </c>
      <c r="D2309" s="57" t="inlineStr">
        <is>
          <t>second</t>
        </is>
      </c>
      <c r="E2309" s="57" t="inlineStr">
        <is>
          <t>Second</t>
        </is>
      </c>
      <c r="F2309" s="57" t="inlineStr"/>
    </row>
    <row r="2310" ht="25" customHeight="1" s="55">
      <c r="A2310" s="57" t="inlineStr">
        <is>
          <t>Specific Gravity</t>
        </is>
      </c>
      <c r="B2310" s="57" t="n">
        <v>132</v>
      </c>
      <c r="C2310" s="57" t="inlineStr">
        <is>
          <t>Location</t>
        </is>
      </c>
      <c r="D2310" s="57" t="inlineStr">
        <is>
          <t>Open Field</t>
        </is>
      </c>
      <c r="E2310" s="57" t="inlineStr">
        <is>
          <t>Open field</t>
        </is>
      </c>
      <c r="F2310" s="57" t="inlineStr"/>
    </row>
    <row r="2311" ht="25" customHeight="1" s="55">
      <c r="A2311" s="57" t="inlineStr">
        <is>
          <t>Specific Gravity</t>
        </is>
      </c>
      <c r="B2311" s="57" t="n">
        <v>132</v>
      </c>
      <c r="C2311" s="57" t="inlineStr">
        <is>
          <t>Harvest</t>
        </is>
      </c>
      <c r="D2311" s="57" t="inlineStr">
        <is>
          <t>second</t>
        </is>
      </c>
      <c r="E2311" s="57" t="inlineStr">
        <is>
          <t>Second</t>
        </is>
      </c>
      <c r="F2311" s="57" t="inlineStr"/>
    </row>
    <row r="2312" ht="25" customHeight="1" s="55">
      <c r="A2312" s="57" t="inlineStr">
        <is>
          <t>Specific Gravity</t>
        </is>
      </c>
      <c r="B2312" s="57" t="n">
        <v>133</v>
      </c>
      <c r="C2312" s="57" t="inlineStr">
        <is>
          <t>Location</t>
        </is>
      </c>
      <c r="D2312" s="57" t="inlineStr">
        <is>
          <t>Open Field</t>
        </is>
      </c>
      <c r="E2312" s="57" t="inlineStr">
        <is>
          <t>Open field</t>
        </is>
      </c>
      <c r="F2312" s="57" t="inlineStr"/>
    </row>
    <row r="2313" ht="25" customHeight="1" s="55">
      <c r="A2313" s="57" t="inlineStr">
        <is>
          <t>Specific Gravity</t>
        </is>
      </c>
      <c r="B2313" s="57" t="n">
        <v>133</v>
      </c>
      <c r="C2313" s="57" t="inlineStr">
        <is>
          <t>Harvest</t>
        </is>
      </c>
      <c r="D2313" s="57" t="inlineStr">
        <is>
          <t>second</t>
        </is>
      </c>
      <c r="E2313" s="57" t="inlineStr">
        <is>
          <t>Second</t>
        </is>
      </c>
      <c r="F2313" s="57" t="inlineStr"/>
    </row>
    <row r="2314" ht="25" customHeight="1" s="55">
      <c r="A2314" s="57" t="inlineStr">
        <is>
          <t>Specific Gravity</t>
        </is>
      </c>
      <c r="B2314" s="57" t="n">
        <v>134</v>
      </c>
      <c r="C2314" s="57" t="inlineStr">
        <is>
          <t>Location</t>
        </is>
      </c>
      <c r="D2314" s="57" t="inlineStr">
        <is>
          <t>Open Field</t>
        </is>
      </c>
      <c r="E2314" s="57" t="inlineStr">
        <is>
          <t>Open field</t>
        </is>
      </c>
      <c r="F2314" s="57" t="inlineStr"/>
    </row>
    <row r="2315" ht="25" customHeight="1" s="55">
      <c r="A2315" s="57" t="inlineStr">
        <is>
          <t>Specific Gravity</t>
        </is>
      </c>
      <c r="B2315" s="57" t="n">
        <v>134</v>
      </c>
      <c r="C2315" s="57" t="inlineStr">
        <is>
          <t>Harvest</t>
        </is>
      </c>
      <c r="D2315" s="57" t="inlineStr">
        <is>
          <t>second</t>
        </is>
      </c>
      <c r="E2315" s="57" t="inlineStr">
        <is>
          <t>Second</t>
        </is>
      </c>
      <c r="F2315" s="57" t="inlineStr"/>
    </row>
    <row r="2316" ht="25" customHeight="1" s="55">
      <c r="A2316" s="57" t="inlineStr">
        <is>
          <t>Specific Gravity</t>
        </is>
      </c>
      <c r="B2316" s="57" t="n">
        <v>135</v>
      </c>
      <c r="C2316" s="57" t="inlineStr">
        <is>
          <t>Location</t>
        </is>
      </c>
      <c r="D2316" s="57" t="inlineStr">
        <is>
          <t>Open Field</t>
        </is>
      </c>
      <c r="E2316" s="57" t="inlineStr">
        <is>
          <t>Open field</t>
        </is>
      </c>
      <c r="F2316" s="57" t="inlineStr"/>
    </row>
    <row r="2317" ht="25" customHeight="1" s="55">
      <c r="A2317" s="57" t="inlineStr">
        <is>
          <t>Specific Gravity</t>
        </is>
      </c>
      <c r="B2317" s="57" t="n">
        <v>135</v>
      </c>
      <c r="C2317" s="57" t="inlineStr">
        <is>
          <t>Harvest</t>
        </is>
      </c>
      <c r="D2317" s="57" t="inlineStr">
        <is>
          <t>second</t>
        </is>
      </c>
      <c r="E2317" s="57" t="inlineStr">
        <is>
          <t>Second</t>
        </is>
      </c>
      <c r="F2317" s="57" t="inlineStr"/>
    </row>
    <row r="2318" ht="25" customHeight="1" s="55">
      <c r="A2318" s="57" t="inlineStr">
        <is>
          <t>Specific Gravity</t>
        </is>
      </c>
      <c r="B2318" s="57" t="n">
        <v>136</v>
      </c>
      <c r="C2318" s="57" t="inlineStr">
        <is>
          <t>Location</t>
        </is>
      </c>
      <c r="D2318" s="57" t="inlineStr">
        <is>
          <t>Open Field</t>
        </is>
      </c>
      <c r="E2318" s="57" t="inlineStr">
        <is>
          <t>Open field</t>
        </is>
      </c>
      <c r="F2318" s="57" t="inlineStr"/>
    </row>
    <row r="2319" ht="25" customHeight="1" s="55">
      <c r="A2319" s="57" t="inlineStr">
        <is>
          <t>Specific Gravity</t>
        </is>
      </c>
      <c r="B2319" s="57" t="n">
        <v>136</v>
      </c>
      <c r="C2319" s="57" t="inlineStr">
        <is>
          <t>Harvest</t>
        </is>
      </c>
      <c r="D2319" s="57" t="inlineStr">
        <is>
          <t>second</t>
        </is>
      </c>
      <c r="E2319" s="57" t="inlineStr">
        <is>
          <t>Second</t>
        </is>
      </c>
      <c r="F2319" s="57" t="inlineStr"/>
    </row>
    <row r="2320" ht="25" customHeight="1" s="55">
      <c r="A2320" s="57" t="inlineStr">
        <is>
          <t>Specific Gravity</t>
        </is>
      </c>
      <c r="B2320" s="57" t="n">
        <v>137</v>
      </c>
      <c r="C2320" s="57" t="inlineStr">
        <is>
          <t>Location</t>
        </is>
      </c>
      <c r="D2320" s="57" t="inlineStr">
        <is>
          <t>Open Field</t>
        </is>
      </c>
      <c r="E2320" s="57" t="inlineStr">
        <is>
          <t>Open field</t>
        </is>
      </c>
      <c r="F2320" s="57" t="inlineStr"/>
    </row>
    <row r="2321" ht="25" customHeight="1" s="55">
      <c r="A2321" s="57" t="inlineStr">
        <is>
          <t>Specific Gravity</t>
        </is>
      </c>
      <c r="B2321" s="57" t="n">
        <v>137</v>
      </c>
      <c r="C2321" s="57" t="inlineStr">
        <is>
          <t>Harvest</t>
        </is>
      </c>
      <c r="D2321" s="57" t="inlineStr">
        <is>
          <t>second</t>
        </is>
      </c>
      <c r="E2321" s="57" t="inlineStr">
        <is>
          <t>Second</t>
        </is>
      </c>
      <c r="F2321" s="57" t="inlineStr"/>
    </row>
    <row r="2322" ht="25" customHeight="1" s="55">
      <c r="A2322" s="57" t="inlineStr">
        <is>
          <t>Specific Gravity</t>
        </is>
      </c>
      <c r="B2322" s="57" t="n">
        <v>138</v>
      </c>
      <c r="C2322" s="57" t="inlineStr">
        <is>
          <t>Location</t>
        </is>
      </c>
      <c r="D2322" s="57" t="inlineStr">
        <is>
          <t>Open Field</t>
        </is>
      </c>
      <c r="E2322" s="57" t="inlineStr">
        <is>
          <t>Open field</t>
        </is>
      </c>
      <c r="F2322" s="57" t="inlineStr"/>
    </row>
    <row r="2323" ht="25" customHeight="1" s="55">
      <c r="A2323" s="57" t="inlineStr">
        <is>
          <t>Specific Gravity</t>
        </is>
      </c>
      <c r="B2323" s="57" t="n">
        <v>138</v>
      </c>
      <c r="C2323" s="57" t="inlineStr">
        <is>
          <t>Harvest</t>
        </is>
      </c>
      <c r="D2323" s="57" t="inlineStr">
        <is>
          <t>second</t>
        </is>
      </c>
      <c r="E2323" s="57" t="inlineStr">
        <is>
          <t>Second</t>
        </is>
      </c>
      <c r="F2323" s="57" t="inlineStr"/>
    </row>
    <row r="2324" ht="25" customHeight="1" s="55">
      <c r="A2324" s="57" t="inlineStr">
        <is>
          <t>Specific Gravity</t>
        </is>
      </c>
      <c r="B2324" s="57" t="n">
        <v>139</v>
      </c>
      <c r="C2324" s="57" t="inlineStr">
        <is>
          <t>Location</t>
        </is>
      </c>
      <c r="D2324" s="57" t="inlineStr">
        <is>
          <t>Open Field</t>
        </is>
      </c>
      <c r="E2324" s="57" t="inlineStr">
        <is>
          <t>Open field</t>
        </is>
      </c>
      <c r="F2324" s="57" t="inlineStr"/>
    </row>
    <row r="2325" ht="25" customHeight="1" s="55">
      <c r="A2325" s="57" t="inlineStr">
        <is>
          <t>Specific Gravity</t>
        </is>
      </c>
      <c r="B2325" s="57" t="n">
        <v>139</v>
      </c>
      <c r="C2325" s="57" t="inlineStr">
        <is>
          <t>Harvest</t>
        </is>
      </c>
      <c r="D2325" s="57" t="inlineStr">
        <is>
          <t>second</t>
        </is>
      </c>
      <c r="E2325" s="57" t="inlineStr">
        <is>
          <t>Second</t>
        </is>
      </c>
      <c r="F2325" s="57" t="inlineStr"/>
    </row>
    <row r="2326" ht="25" customHeight="1" s="55">
      <c r="A2326" s="57" t="inlineStr">
        <is>
          <t>Specific Gravity</t>
        </is>
      </c>
      <c r="B2326" s="57" t="n">
        <v>140</v>
      </c>
      <c r="C2326" s="57" t="inlineStr">
        <is>
          <t>Location</t>
        </is>
      </c>
      <c r="D2326" s="57" t="inlineStr">
        <is>
          <t>Open Field</t>
        </is>
      </c>
      <c r="E2326" s="57" t="inlineStr">
        <is>
          <t>Open field</t>
        </is>
      </c>
      <c r="F2326" s="57" t="inlineStr"/>
    </row>
    <row r="2327" ht="25" customHeight="1" s="55">
      <c r="A2327" s="57" t="inlineStr">
        <is>
          <t>Specific Gravity</t>
        </is>
      </c>
      <c r="B2327" s="57" t="n">
        <v>140</v>
      </c>
      <c r="C2327" s="57" t="inlineStr">
        <is>
          <t>Harvest</t>
        </is>
      </c>
      <c r="D2327" s="57" t="inlineStr">
        <is>
          <t>second</t>
        </is>
      </c>
      <c r="E2327" s="57" t="inlineStr">
        <is>
          <t>Second</t>
        </is>
      </c>
      <c r="F2327" s="57" t="inlineStr"/>
    </row>
    <row r="2328" ht="25" customHeight="1" s="55">
      <c r="A2328" s="57" t="inlineStr">
        <is>
          <t>Specific Gravity</t>
        </is>
      </c>
      <c r="B2328" s="57" t="n">
        <v>141</v>
      </c>
      <c r="C2328" s="57" t="inlineStr">
        <is>
          <t>Location</t>
        </is>
      </c>
      <c r="D2328" s="57" t="inlineStr">
        <is>
          <t>Open Field</t>
        </is>
      </c>
      <c r="E2328" s="57" t="inlineStr">
        <is>
          <t>Open field</t>
        </is>
      </c>
      <c r="F2328" s="57" t="inlineStr"/>
    </row>
    <row r="2329" ht="25" customHeight="1" s="55">
      <c r="A2329" s="57" t="inlineStr">
        <is>
          <t>Specific Gravity</t>
        </is>
      </c>
      <c r="B2329" s="57" t="n">
        <v>141</v>
      </c>
      <c r="C2329" s="57" t="inlineStr">
        <is>
          <t>Harvest</t>
        </is>
      </c>
      <c r="D2329" s="57" t="inlineStr">
        <is>
          <t>second</t>
        </is>
      </c>
      <c r="E2329" s="57" t="inlineStr">
        <is>
          <t>Second</t>
        </is>
      </c>
      <c r="F2329" s="57" t="inlineStr"/>
    </row>
    <row r="2330" ht="25" customHeight="1" s="55">
      <c r="A2330" s="57" t="inlineStr">
        <is>
          <t>Specific Gravity</t>
        </is>
      </c>
      <c r="B2330" s="57" t="n">
        <v>142</v>
      </c>
      <c r="C2330" s="57" t="inlineStr">
        <is>
          <t>Location</t>
        </is>
      </c>
      <c r="D2330" s="57" t="inlineStr">
        <is>
          <t>Open Field</t>
        </is>
      </c>
      <c r="E2330" s="57" t="inlineStr">
        <is>
          <t>Open field</t>
        </is>
      </c>
      <c r="F2330" s="57" t="inlineStr"/>
    </row>
    <row r="2331" ht="25" customHeight="1" s="55">
      <c r="A2331" s="57" t="inlineStr">
        <is>
          <t>Specific Gravity</t>
        </is>
      </c>
      <c r="B2331" s="57" t="n">
        <v>142</v>
      </c>
      <c r="C2331" s="57" t="inlineStr">
        <is>
          <t>Harvest</t>
        </is>
      </c>
      <c r="D2331" s="57" t="inlineStr">
        <is>
          <t>second</t>
        </is>
      </c>
      <c r="E2331" s="57" t="inlineStr">
        <is>
          <t>Second</t>
        </is>
      </c>
      <c r="F2331" s="57" t="inlineStr"/>
    </row>
    <row r="2332" ht="25" customHeight="1" s="55">
      <c r="A2332" s="57" t="inlineStr">
        <is>
          <t>Specific Gravity</t>
        </is>
      </c>
      <c r="B2332" s="57" t="n">
        <v>143</v>
      </c>
      <c r="C2332" s="57" t="inlineStr">
        <is>
          <t>Location</t>
        </is>
      </c>
      <c r="D2332" s="57" t="inlineStr">
        <is>
          <t>Open Field</t>
        </is>
      </c>
      <c r="E2332" s="57" t="inlineStr">
        <is>
          <t>Open field</t>
        </is>
      </c>
      <c r="F2332" s="57" t="inlineStr"/>
    </row>
    <row r="2333" ht="25" customHeight="1" s="55">
      <c r="A2333" s="57" t="inlineStr">
        <is>
          <t>Specific Gravity</t>
        </is>
      </c>
      <c r="B2333" s="57" t="n">
        <v>143</v>
      </c>
      <c r="C2333" s="57" t="inlineStr">
        <is>
          <t>Harvest</t>
        </is>
      </c>
      <c r="D2333" s="57" t="inlineStr">
        <is>
          <t>second</t>
        </is>
      </c>
      <c r="E2333" s="57" t="inlineStr">
        <is>
          <t>Second</t>
        </is>
      </c>
      <c r="F2333" s="57" t="inlineStr"/>
    </row>
    <row r="2334" ht="25" customHeight="1" s="55">
      <c r="A2334" s="57" t="inlineStr">
        <is>
          <t>Specific Gravity</t>
        </is>
      </c>
      <c r="B2334" s="57" t="n">
        <v>144</v>
      </c>
      <c r="C2334" s="57" t="inlineStr">
        <is>
          <t>Location</t>
        </is>
      </c>
      <c r="D2334" s="57" t="inlineStr">
        <is>
          <t>Open Field</t>
        </is>
      </c>
      <c r="E2334" s="57" t="inlineStr">
        <is>
          <t>Open field</t>
        </is>
      </c>
      <c r="F2334" s="57" t="inlineStr"/>
    </row>
    <row r="2335" ht="25" customHeight="1" s="55">
      <c r="A2335" s="57" t="inlineStr">
        <is>
          <t>Specific Gravity</t>
        </is>
      </c>
      <c r="B2335" s="57" t="n">
        <v>144</v>
      </c>
      <c r="C2335" s="57" t="inlineStr">
        <is>
          <t>Harvest</t>
        </is>
      </c>
      <c r="D2335" s="57" t="inlineStr">
        <is>
          <t>second</t>
        </is>
      </c>
      <c r="E2335" s="57" t="inlineStr">
        <is>
          <t>Second</t>
        </is>
      </c>
      <c r="F2335" s="57" t="inlineStr"/>
    </row>
    <row r="2336" ht="25" customHeight="1" s="55">
      <c r="A2336" s="57" t="inlineStr">
        <is>
          <t>Specific Gravity</t>
        </is>
      </c>
      <c r="B2336" s="57" t="n">
        <v>145</v>
      </c>
      <c r="C2336" s="57" t="inlineStr">
        <is>
          <t>Location</t>
        </is>
      </c>
      <c r="D2336" s="57" t="inlineStr">
        <is>
          <t>Open Field</t>
        </is>
      </c>
      <c r="E2336" s="57" t="inlineStr">
        <is>
          <t>Open field</t>
        </is>
      </c>
      <c r="F2336" s="57" t="inlineStr"/>
    </row>
    <row r="2337" ht="25" customHeight="1" s="55">
      <c r="A2337" s="57" t="inlineStr">
        <is>
          <t>Specific Gravity</t>
        </is>
      </c>
      <c r="B2337" s="57" t="n">
        <v>145</v>
      </c>
      <c r="C2337" s="57" t="inlineStr">
        <is>
          <t>Harvest</t>
        </is>
      </c>
      <c r="D2337" s="57" t="inlineStr">
        <is>
          <t>second</t>
        </is>
      </c>
      <c r="E2337" s="57" t="inlineStr">
        <is>
          <t>Second</t>
        </is>
      </c>
      <c r="F2337" s="57" t="inlineStr"/>
    </row>
    <row r="2338" ht="25" customHeight="1" s="55">
      <c r="A2338" s="57" t="inlineStr">
        <is>
          <t>Specific Gravity</t>
        </is>
      </c>
      <c r="B2338" s="57" t="n">
        <v>146</v>
      </c>
      <c r="C2338" s="57" t="inlineStr">
        <is>
          <t>Location</t>
        </is>
      </c>
      <c r="D2338" s="57" t="inlineStr">
        <is>
          <t>Open Field</t>
        </is>
      </c>
      <c r="E2338" s="57" t="inlineStr">
        <is>
          <t>Open field</t>
        </is>
      </c>
      <c r="F2338" s="57" t="inlineStr"/>
    </row>
    <row r="2339" ht="25" customHeight="1" s="55">
      <c r="A2339" s="57" t="inlineStr">
        <is>
          <t>Specific Gravity</t>
        </is>
      </c>
      <c r="B2339" s="57" t="n">
        <v>146</v>
      </c>
      <c r="C2339" s="57" t="inlineStr">
        <is>
          <t>Harvest</t>
        </is>
      </c>
      <c r="D2339" s="57" t="inlineStr">
        <is>
          <t>second</t>
        </is>
      </c>
      <c r="E2339" s="57" t="inlineStr">
        <is>
          <t>Second</t>
        </is>
      </c>
      <c r="F2339" s="57" t="inlineStr"/>
    </row>
    <row r="2340" ht="25" customHeight="1" s="55">
      <c r="A2340" s="57" t="inlineStr">
        <is>
          <t>Specific Gravity</t>
        </is>
      </c>
      <c r="B2340" s="57" t="n">
        <v>147</v>
      </c>
      <c r="C2340" s="57" t="inlineStr">
        <is>
          <t>Location</t>
        </is>
      </c>
      <c r="D2340" s="57" t="inlineStr">
        <is>
          <t>Open Field</t>
        </is>
      </c>
      <c r="E2340" s="57" t="inlineStr">
        <is>
          <t>Open field</t>
        </is>
      </c>
      <c r="F2340" s="57" t="inlineStr"/>
    </row>
    <row r="2341" ht="25" customHeight="1" s="55">
      <c r="A2341" s="57" t="inlineStr">
        <is>
          <t>Specific Gravity</t>
        </is>
      </c>
      <c r="B2341" s="57" t="n">
        <v>147</v>
      </c>
      <c r="C2341" s="57" t="inlineStr">
        <is>
          <t>Harvest</t>
        </is>
      </c>
      <c r="D2341" s="57" t="inlineStr">
        <is>
          <t>second</t>
        </is>
      </c>
      <c r="E2341" s="57" t="inlineStr">
        <is>
          <t>Second</t>
        </is>
      </c>
      <c r="F2341" s="57" t="inlineStr"/>
    </row>
    <row r="2342" ht="25" customHeight="1" s="55">
      <c r="A2342" s="57" t="inlineStr">
        <is>
          <t>Specific Gravity</t>
        </is>
      </c>
      <c r="B2342" s="57" t="n">
        <v>148</v>
      </c>
      <c r="C2342" s="57" t="inlineStr">
        <is>
          <t>Location</t>
        </is>
      </c>
      <c r="D2342" s="57" t="inlineStr">
        <is>
          <t>Open Field</t>
        </is>
      </c>
      <c r="E2342" s="57" t="inlineStr">
        <is>
          <t>Open field</t>
        </is>
      </c>
      <c r="F2342" s="57" t="inlineStr"/>
    </row>
    <row r="2343" ht="25" customHeight="1" s="55">
      <c r="A2343" s="57" t="inlineStr">
        <is>
          <t>Specific Gravity</t>
        </is>
      </c>
      <c r="B2343" s="57" t="n">
        <v>148</v>
      </c>
      <c r="C2343" s="57" t="inlineStr">
        <is>
          <t>Harvest</t>
        </is>
      </c>
      <c r="D2343" s="57" t="inlineStr">
        <is>
          <t>second</t>
        </is>
      </c>
      <c r="E2343" s="57" t="inlineStr">
        <is>
          <t>Second</t>
        </is>
      </c>
      <c r="F2343" s="57" t="inlineStr"/>
    </row>
    <row r="2344" ht="25" customHeight="1" s="55">
      <c r="A2344" s="57" t="inlineStr">
        <is>
          <t>Specific Gravity</t>
        </is>
      </c>
      <c r="B2344" s="57" t="n">
        <v>149</v>
      </c>
      <c r="C2344" s="57" t="inlineStr">
        <is>
          <t>Location</t>
        </is>
      </c>
      <c r="D2344" s="57" t="inlineStr">
        <is>
          <t>Open Field</t>
        </is>
      </c>
      <c r="E2344" s="57" t="inlineStr">
        <is>
          <t>Open field</t>
        </is>
      </c>
      <c r="F2344" s="57" t="inlineStr"/>
    </row>
    <row r="2345" ht="25" customHeight="1" s="55">
      <c r="A2345" s="57" t="inlineStr">
        <is>
          <t>Specific Gravity</t>
        </is>
      </c>
      <c r="B2345" s="57" t="n">
        <v>149</v>
      </c>
      <c r="C2345" s="57" t="inlineStr">
        <is>
          <t>Harvest</t>
        </is>
      </c>
      <c r="D2345" s="57" t="inlineStr">
        <is>
          <t>second</t>
        </is>
      </c>
      <c r="E2345" s="57" t="inlineStr">
        <is>
          <t>Second</t>
        </is>
      </c>
      <c r="F2345" s="57" t="inlineStr"/>
    </row>
    <row r="2346" ht="25" customHeight="1" s="55">
      <c r="A2346" s="57" t="inlineStr">
        <is>
          <t>Specific Gravity</t>
        </is>
      </c>
      <c r="B2346" s="57" t="n">
        <v>150</v>
      </c>
      <c r="C2346" s="57" t="inlineStr">
        <is>
          <t>Location</t>
        </is>
      </c>
      <c r="D2346" s="57" t="inlineStr">
        <is>
          <t>Open Field</t>
        </is>
      </c>
      <c r="E2346" s="57" t="inlineStr">
        <is>
          <t>Open field</t>
        </is>
      </c>
      <c r="F2346" s="57" t="inlineStr"/>
    </row>
    <row r="2347" ht="25" customHeight="1" s="55">
      <c r="A2347" s="57" t="inlineStr">
        <is>
          <t>Specific Gravity</t>
        </is>
      </c>
      <c r="B2347" s="57" t="n">
        <v>150</v>
      </c>
      <c r="C2347" s="57" t="inlineStr">
        <is>
          <t>Harvest</t>
        </is>
      </c>
      <c r="D2347" s="57" t="inlineStr">
        <is>
          <t>second</t>
        </is>
      </c>
      <c r="E2347" s="57" t="inlineStr">
        <is>
          <t>Second</t>
        </is>
      </c>
      <c r="F2347" s="57" t="inlineStr"/>
    </row>
    <row r="2348" ht="25" customHeight="1" s="55">
      <c r="A2348" s="57" t="inlineStr">
        <is>
          <t>Specific Gravity</t>
        </is>
      </c>
      <c r="B2348" s="57" t="n">
        <v>151</v>
      </c>
      <c r="C2348" s="57" t="inlineStr">
        <is>
          <t>Location</t>
        </is>
      </c>
      <c r="D2348" s="57" t="inlineStr">
        <is>
          <t>Open Field</t>
        </is>
      </c>
      <c r="E2348" s="57" t="inlineStr">
        <is>
          <t>Open field</t>
        </is>
      </c>
      <c r="F2348" s="57" t="inlineStr"/>
    </row>
    <row r="2349" ht="25" customHeight="1" s="55">
      <c r="A2349" s="57" t="inlineStr">
        <is>
          <t>Specific Gravity</t>
        </is>
      </c>
      <c r="B2349" s="57" t="n">
        <v>151</v>
      </c>
      <c r="C2349" s="57" t="inlineStr">
        <is>
          <t>Harvest</t>
        </is>
      </c>
      <c r="D2349" s="57" t="inlineStr">
        <is>
          <t>second</t>
        </is>
      </c>
      <c r="E2349" s="57" t="inlineStr">
        <is>
          <t>Second</t>
        </is>
      </c>
      <c r="F2349" s="57" t="inlineStr"/>
    </row>
    <row r="2350" ht="25" customHeight="1" s="55">
      <c r="A2350" s="57" t="inlineStr">
        <is>
          <t>Specific Gravity</t>
        </is>
      </c>
      <c r="B2350" s="57" t="n">
        <v>152</v>
      </c>
      <c r="C2350" s="57" t="inlineStr">
        <is>
          <t>Location</t>
        </is>
      </c>
      <c r="D2350" s="57" t="inlineStr">
        <is>
          <t>Open Field</t>
        </is>
      </c>
      <c r="E2350" s="57" t="inlineStr">
        <is>
          <t>Open field</t>
        </is>
      </c>
      <c r="F2350" s="57" t="inlineStr"/>
    </row>
    <row r="2351" ht="25" customHeight="1" s="55">
      <c r="A2351" s="57" t="inlineStr">
        <is>
          <t>Specific Gravity</t>
        </is>
      </c>
      <c r="B2351" s="57" t="n">
        <v>152</v>
      </c>
      <c r="C2351" s="57" t="inlineStr">
        <is>
          <t>Harvest</t>
        </is>
      </c>
      <c r="D2351" s="57" t="inlineStr">
        <is>
          <t>second</t>
        </is>
      </c>
      <c r="E2351" s="57" t="inlineStr">
        <is>
          <t>Second</t>
        </is>
      </c>
      <c r="F2351" s="57" t="inlineStr"/>
    </row>
    <row r="2352" ht="25" customHeight="1" s="55">
      <c r="A2352" s="57" t="inlineStr">
        <is>
          <t>Specific Gravity</t>
        </is>
      </c>
      <c r="B2352" s="57" t="n">
        <v>153</v>
      </c>
      <c r="C2352" s="57" t="inlineStr">
        <is>
          <t>Location</t>
        </is>
      </c>
      <c r="D2352" s="57" t="inlineStr">
        <is>
          <t>Open Field</t>
        </is>
      </c>
      <c r="E2352" s="57" t="inlineStr">
        <is>
          <t>Open field</t>
        </is>
      </c>
      <c r="F2352" s="57" t="inlineStr"/>
    </row>
    <row r="2353" ht="25" customHeight="1" s="55">
      <c r="A2353" s="57" t="inlineStr">
        <is>
          <t>Specific Gravity</t>
        </is>
      </c>
      <c r="B2353" s="57" t="n">
        <v>153</v>
      </c>
      <c r="C2353" s="57" t="inlineStr">
        <is>
          <t>Harvest</t>
        </is>
      </c>
      <c r="D2353" s="57" t="inlineStr">
        <is>
          <t>second</t>
        </is>
      </c>
      <c r="E2353" s="57" t="inlineStr">
        <is>
          <t>Second</t>
        </is>
      </c>
      <c r="F2353" s="57" t="inlineStr"/>
    </row>
    <row r="2354" ht="25" customHeight="1" s="55">
      <c r="A2354" s="57" t="inlineStr">
        <is>
          <t>Specific Gravity</t>
        </is>
      </c>
      <c r="B2354" s="57" t="n">
        <v>154</v>
      </c>
      <c r="C2354" s="57" t="inlineStr">
        <is>
          <t>Location</t>
        </is>
      </c>
      <c r="D2354" s="57" t="inlineStr">
        <is>
          <t>Open Field</t>
        </is>
      </c>
      <c r="E2354" s="57" t="inlineStr">
        <is>
          <t>Open field</t>
        </is>
      </c>
      <c r="F2354" s="57" t="inlineStr"/>
    </row>
    <row r="2355" ht="25" customHeight="1" s="55">
      <c r="A2355" s="57" t="inlineStr">
        <is>
          <t>Specific Gravity</t>
        </is>
      </c>
      <c r="B2355" s="57" t="n">
        <v>154</v>
      </c>
      <c r="C2355" s="57" t="inlineStr">
        <is>
          <t>Harvest</t>
        </is>
      </c>
      <c r="D2355" s="57" t="inlineStr">
        <is>
          <t>second</t>
        </is>
      </c>
      <c r="E2355" s="57" t="inlineStr">
        <is>
          <t>Second</t>
        </is>
      </c>
      <c r="F2355" s="57" t="inlineStr"/>
    </row>
    <row r="2356" ht="25" customHeight="1" s="55">
      <c r="A2356" s="57" t="inlineStr">
        <is>
          <t>Specific Gravity</t>
        </is>
      </c>
      <c r="B2356" s="57" t="n">
        <v>155</v>
      </c>
      <c r="C2356" s="57" t="inlineStr">
        <is>
          <t>Location</t>
        </is>
      </c>
      <c r="D2356" s="57" t="inlineStr">
        <is>
          <t>Open Field</t>
        </is>
      </c>
      <c r="E2356" s="57" t="inlineStr">
        <is>
          <t>Open field</t>
        </is>
      </c>
      <c r="F2356" s="57" t="inlineStr"/>
    </row>
    <row r="2357" ht="25" customHeight="1" s="55">
      <c r="A2357" s="57" t="inlineStr">
        <is>
          <t>Specific Gravity</t>
        </is>
      </c>
      <c r="B2357" s="57" t="n">
        <v>155</v>
      </c>
      <c r="C2357" s="57" t="inlineStr">
        <is>
          <t>Harvest</t>
        </is>
      </c>
      <c r="D2357" s="57" t="inlineStr">
        <is>
          <t>second</t>
        </is>
      </c>
      <c r="E2357" s="57" t="inlineStr">
        <is>
          <t>Second</t>
        </is>
      </c>
      <c r="F2357" s="57" t="inlineStr"/>
    </row>
    <row r="2358" ht="25" customHeight="1" s="55">
      <c r="A2358" s="57" t="inlineStr">
        <is>
          <t>Specific Gravity</t>
        </is>
      </c>
      <c r="B2358" s="57" t="n">
        <v>156</v>
      </c>
      <c r="C2358" s="57" t="inlineStr">
        <is>
          <t>Location</t>
        </is>
      </c>
      <c r="D2358" s="57" t="inlineStr">
        <is>
          <t>Open Field</t>
        </is>
      </c>
      <c r="E2358" s="57" t="inlineStr">
        <is>
          <t>Open field</t>
        </is>
      </c>
      <c r="F2358" s="57" t="inlineStr"/>
    </row>
    <row r="2359" ht="25" customHeight="1" s="55">
      <c r="A2359" s="57" t="inlineStr">
        <is>
          <t>Specific Gravity</t>
        </is>
      </c>
      <c r="B2359" s="57" t="n">
        <v>156</v>
      </c>
      <c r="C2359" s="57" t="inlineStr">
        <is>
          <t>Harvest</t>
        </is>
      </c>
      <c r="D2359" s="57" t="inlineStr">
        <is>
          <t>second</t>
        </is>
      </c>
      <c r="E2359" s="57" t="inlineStr">
        <is>
          <t>Second</t>
        </is>
      </c>
      <c r="F2359" s="57" t="inlineStr"/>
    </row>
    <row r="2360" ht="25" customHeight="1" s="55">
      <c r="A2360" s="57" t="inlineStr">
        <is>
          <t>Specific Gravity</t>
        </is>
      </c>
      <c r="B2360" s="57" t="n">
        <v>157</v>
      </c>
      <c r="C2360" s="57" t="inlineStr">
        <is>
          <t>Location</t>
        </is>
      </c>
      <c r="D2360" s="57" t="inlineStr">
        <is>
          <t>Open Field</t>
        </is>
      </c>
      <c r="E2360" s="57" t="inlineStr">
        <is>
          <t>Open field</t>
        </is>
      </c>
      <c r="F2360" s="57" t="inlineStr"/>
    </row>
    <row r="2361" ht="25" customHeight="1" s="55">
      <c r="A2361" s="57" t="inlineStr">
        <is>
          <t>Specific Gravity</t>
        </is>
      </c>
      <c r="B2361" s="57" t="n">
        <v>157</v>
      </c>
      <c r="C2361" s="57" t="inlineStr">
        <is>
          <t>Harvest</t>
        </is>
      </c>
      <c r="D2361" s="57" t="inlineStr">
        <is>
          <t>second</t>
        </is>
      </c>
      <c r="E2361" s="57" t="inlineStr">
        <is>
          <t>Second</t>
        </is>
      </c>
      <c r="F2361" s="57" t="inlineStr"/>
    </row>
    <row r="2362" ht="25" customHeight="1" s="55">
      <c r="A2362" s="57" t="inlineStr">
        <is>
          <t>Specific Gravity</t>
        </is>
      </c>
      <c r="B2362" s="57" t="n">
        <v>158</v>
      </c>
      <c r="C2362" s="57" t="inlineStr">
        <is>
          <t>Location</t>
        </is>
      </c>
      <c r="D2362" s="57" t="inlineStr">
        <is>
          <t>Open Field</t>
        </is>
      </c>
      <c r="E2362" s="57" t="inlineStr">
        <is>
          <t>Open field</t>
        </is>
      </c>
      <c r="F2362" s="57" t="inlineStr"/>
    </row>
    <row r="2363" ht="25" customHeight="1" s="55">
      <c r="A2363" s="57" t="inlineStr">
        <is>
          <t>Specific Gravity</t>
        </is>
      </c>
      <c r="B2363" s="57" t="n">
        <v>158</v>
      </c>
      <c r="C2363" s="57" t="inlineStr">
        <is>
          <t>Harvest</t>
        </is>
      </c>
      <c r="D2363" s="57" t="inlineStr">
        <is>
          <t>second</t>
        </is>
      </c>
      <c r="E2363" s="57" t="inlineStr">
        <is>
          <t>Second</t>
        </is>
      </c>
      <c r="F2363" s="57" t="inlineStr"/>
    </row>
    <row r="2364" ht="25" customHeight="1" s="55">
      <c r="A2364" s="57" t="inlineStr">
        <is>
          <t>Specific Gravity</t>
        </is>
      </c>
      <c r="B2364" s="57" t="n">
        <v>159</v>
      </c>
      <c r="C2364" s="57" t="inlineStr">
        <is>
          <t>Genotypes</t>
        </is>
      </c>
      <c r="D2364" s="57" t="inlineStr">
        <is>
          <t>26-001</t>
        </is>
      </c>
      <c r="E2364" s="57" t="inlineStr">
        <is>
          <t>UKYT-26-001</t>
        </is>
      </c>
      <c r="F2364" s="57" t="inlineStr"/>
    </row>
    <row r="2365" ht="25" customHeight="1" s="55">
      <c r="A2365" s="57" t="inlineStr">
        <is>
          <t>Specific Gravity</t>
        </is>
      </c>
      <c r="B2365" s="57" t="n">
        <v>160</v>
      </c>
      <c r="C2365" s="57" t="inlineStr">
        <is>
          <t>Genotypes</t>
        </is>
      </c>
      <c r="D2365" s="57" t="inlineStr">
        <is>
          <t>25-017</t>
        </is>
      </c>
      <c r="E2365" s="57" t="inlineStr">
        <is>
          <t>UKYT-25-017</t>
        </is>
      </c>
      <c r="F2365" s="57" t="inlineStr"/>
    </row>
    <row r="2366" ht="25" customHeight="1" s="55">
      <c r="A2366" s="57" t="inlineStr">
        <is>
          <t>Specific Gravity</t>
        </is>
      </c>
      <c r="B2366" s="57" t="n">
        <v>161</v>
      </c>
      <c r="C2366" s="57" t="inlineStr">
        <is>
          <t>Genotypes</t>
        </is>
      </c>
      <c r="D2366" s="57" t="inlineStr">
        <is>
          <t>26-006</t>
        </is>
      </c>
      <c r="E2366" s="57" t="inlineStr">
        <is>
          <t>UKYT-26-006</t>
        </is>
      </c>
      <c r="F2366" s="57" t="inlineStr"/>
    </row>
    <row r="2367" ht="25" customHeight="1" s="55">
      <c r="A2367" s="57" t="inlineStr">
        <is>
          <t>Specific Gravity</t>
        </is>
      </c>
      <c r="B2367" s="57" t="n">
        <v>162</v>
      </c>
      <c r="C2367" s="57" t="inlineStr">
        <is>
          <t>Genotypes</t>
        </is>
      </c>
      <c r="D2367" s="57" t="inlineStr">
        <is>
          <t>26-015</t>
        </is>
      </c>
      <c r="E2367" s="57" t="inlineStr">
        <is>
          <t>UKYT-26-015</t>
        </is>
      </c>
      <c r="F2367" s="57" t="inlineStr"/>
    </row>
    <row r="2368" ht="25" customHeight="1" s="55">
      <c r="A2368" s="57" t="inlineStr">
        <is>
          <t>Specific Gravity</t>
        </is>
      </c>
      <c r="B2368" s="57" t="n">
        <v>163</v>
      </c>
      <c r="C2368" s="57" t="inlineStr">
        <is>
          <t>Genotypes</t>
        </is>
      </c>
      <c r="D2368" s="57" t="inlineStr">
        <is>
          <t>25-012</t>
        </is>
      </c>
      <c r="E2368" s="57" t="inlineStr">
        <is>
          <t>UKYT-25-012</t>
        </is>
      </c>
      <c r="F2368" s="57" t="inlineStr"/>
    </row>
    <row r="2369" ht="25" customHeight="1" s="55">
      <c r="A2369" s="57" t="inlineStr">
        <is>
          <t>Specific Gravity</t>
        </is>
      </c>
      <c r="B2369" s="57" t="n">
        <v>164</v>
      </c>
      <c r="C2369" s="57" t="inlineStr">
        <is>
          <t>Genotypes</t>
        </is>
      </c>
      <c r="D2369" s="57" t="inlineStr">
        <is>
          <t>25-013</t>
        </is>
      </c>
      <c r="E2369" s="57" t="inlineStr">
        <is>
          <t>UKYT-25-013</t>
        </is>
      </c>
      <c r="F2369" s="57" t="inlineStr"/>
    </row>
    <row r="2370" ht="25" customHeight="1" s="55">
      <c r="A2370" s="57" t="inlineStr">
        <is>
          <t>Specific Gravity</t>
        </is>
      </c>
      <c r="B2370" s="57" t="n">
        <v>165</v>
      </c>
      <c r="C2370" s="57" t="inlineStr">
        <is>
          <t>Genotypes</t>
        </is>
      </c>
      <c r="D2370" s="57" t="inlineStr">
        <is>
          <t>25-014</t>
        </is>
      </c>
      <c r="E2370" s="57" t="inlineStr">
        <is>
          <t>UKYT-25-014</t>
        </is>
      </c>
      <c r="F2370" s="57" t="inlineStr"/>
    </row>
    <row r="2371" ht="25" customHeight="1" s="55">
      <c r="A2371" s="57" t="inlineStr">
        <is>
          <t>Specific Gravity</t>
        </is>
      </c>
      <c r="B2371" s="57" t="n">
        <v>166</v>
      </c>
      <c r="C2371" s="57" t="inlineStr">
        <is>
          <t>Genotypes</t>
        </is>
      </c>
      <c r="D2371" s="57" t="inlineStr">
        <is>
          <t>25-015</t>
        </is>
      </c>
      <c r="E2371" s="57" t="inlineStr">
        <is>
          <t>UKYT-25-015</t>
        </is>
      </c>
      <c r="F2371" s="57" t="inlineStr"/>
    </row>
    <row r="2372" ht="25" customHeight="1" s="55">
      <c r="A2372" s="57" t="inlineStr">
        <is>
          <t>Specific Gravity</t>
        </is>
      </c>
      <c r="B2372" s="57" t="n">
        <v>167</v>
      </c>
      <c r="C2372" s="57" t="inlineStr">
        <is>
          <t>Genotypes</t>
        </is>
      </c>
      <c r="D2372" s="57" t="inlineStr">
        <is>
          <t>25-016</t>
        </is>
      </c>
      <c r="E2372" s="57" t="inlineStr">
        <is>
          <t>UKYT-25-016</t>
        </is>
      </c>
      <c r="F2372" s="57" t="inlineStr"/>
    </row>
    <row r="2373" ht="25" customHeight="1" s="55">
      <c r="A2373" s="57" t="inlineStr">
        <is>
          <t>Specific Gravity</t>
        </is>
      </c>
      <c r="B2373" s="57" t="n">
        <v>169</v>
      </c>
      <c r="C2373" s="57" t="inlineStr">
        <is>
          <t>Genotypes</t>
        </is>
      </c>
      <c r="D2373" s="57" t="inlineStr">
        <is>
          <t>25-008</t>
        </is>
      </c>
      <c r="E2373" s="57" t="inlineStr">
        <is>
          <t>UKYT-25-008</t>
        </is>
      </c>
      <c r="F2373" s="57" t="inlineStr"/>
    </row>
    <row r="2374" ht="25" customHeight="1" s="55">
      <c r="A2374" s="57" t="inlineStr">
        <is>
          <t>Specific Gravity</t>
        </is>
      </c>
      <c r="B2374" s="57" t="n">
        <v>170</v>
      </c>
      <c r="C2374" s="57" t="inlineStr">
        <is>
          <t>Genotypes</t>
        </is>
      </c>
      <c r="D2374" s="57" t="inlineStr">
        <is>
          <t>25-011</t>
        </is>
      </c>
      <c r="E2374" s="57" t="inlineStr">
        <is>
          <t>UKYT-25-011</t>
        </is>
      </c>
      <c r="F2374" s="57" t="inlineStr"/>
    </row>
    <row r="2375" ht="25" customHeight="1" s="55">
      <c r="A2375" s="57" t="inlineStr">
        <is>
          <t>Specific Gravity</t>
        </is>
      </c>
      <c r="B2375" s="57" t="n">
        <v>171</v>
      </c>
      <c r="C2375" s="57" t="inlineStr">
        <is>
          <t>Genotypes</t>
        </is>
      </c>
      <c r="D2375" s="57" t="inlineStr">
        <is>
          <t>25-010</t>
        </is>
      </c>
      <c r="E2375" s="57" t="inlineStr">
        <is>
          <t>UKYT-25-010</t>
        </is>
      </c>
      <c r="F2375" s="57" t="inlineStr"/>
    </row>
    <row r="2376" ht="25" customHeight="1" s="55">
      <c r="A2376" s="57" t="inlineStr">
        <is>
          <t>Specific Gravity</t>
        </is>
      </c>
      <c r="B2376" s="57" t="n">
        <v>172</v>
      </c>
      <c r="C2376" s="57" t="inlineStr">
        <is>
          <t>Genotypes</t>
        </is>
      </c>
      <c r="D2376" s="57" t="inlineStr">
        <is>
          <t>25-007</t>
        </is>
      </c>
      <c r="E2376" s="57" t="inlineStr">
        <is>
          <t>UKYT-25-007</t>
        </is>
      </c>
      <c r="F2376" s="57" t="inlineStr"/>
    </row>
    <row r="2377" ht="25" customHeight="1" s="55">
      <c r="A2377" s="57" t="inlineStr">
        <is>
          <t>Specific Gravity</t>
        </is>
      </c>
      <c r="B2377" s="57" t="n">
        <v>173</v>
      </c>
      <c r="C2377" s="57" t="inlineStr">
        <is>
          <t>Genotypes</t>
        </is>
      </c>
      <c r="D2377" s="57" t="inlineStr">
        <is>
          <t>25-009</t>
        </is>
      </c>
      <c r="E2377" s="57" t="inlineStr">
        <is>
          <t>UKYT-25-009</t>
        </is>
      </c>
      <c r="F2377" s="57" t="inlineStr"/>
    </row>
    <row r="2378" ht="25" customHeight="1" s="55">
      <c r="A2378" s="57" t="inlineStr">
        <is>
          <t>Specific Gravity</t>
        </is>
      </c>
      <c r="B2378" s="57" t="n">
        <v>174</v>
      </c>
      <c r="C2378" s="57" t="inlineStr">
        <is>
          <t>Genotypes</t>
        </is>
      </c>
      <c r="D2378" s="57" t="inlineStr">
        <is>
          <t>25-001</t>
        </is>
      </c>
      <c r="E2378" s="57" t="inlineStr">
        <is>
          <t>UKYT-25-001</t>
        </is>
      </c>
      <c r="F2378" s="57" t="inlineStr"/>
    </row>
    <row r="2379" ht="25" customHeight="1" s="55">
      <c r="A2379" s="57" t="inlineStr">
        <is>
          <t>Specific Gravity</t>
        </is>
      </c>
      <c r="B2379" s="57" t="n">
        <v>175</v>
      </c>
      <c r="C2379" s="57" t="inlineStr">
        <is>
          <t>Genotypes</t>
        </is>
      </c>
      <c r="D2379" s="57" t="inlineStr">
        <is>
          <t>25-002</t>
        </is>
      </c>
      <c r="E2379" s="57" t="inlineStr">
        <is>
          <t>UKYT-25-002</t>
        </is>
      </c>
      <c r="F2379" s="57" t="inlineStr"/>
    </row>
    <row r="2380" ht="25" customHeight="1" s="55">
      <c r="A2380" s="57" t="inlineStr">
        <is>
          <t>Specific Gravity</t>
        </is>
      </c>
      <c r="B2380" s="57" t="n">
        <v>176</v>
      </c>
      <c r="C2380" s="57" t="inlineStr">
        <is>
          <t>Genotypes</t>
        </is>
      </c>
      <c r="D2380" s="57" t="inlineStr">
        <is>
          <t>25-003</t>
        </is>
      </c>
      <c r="E2380" s="57" t="inlineStr">
        <is>
          <t>UKYT-25-003</t>
        </is>
      </c>
      <c r="F2380" s="57" t="inlineStr"/>
    </row>
    <row r="2381" ht="25" customHeight="1" s="55">
      <c r="A2381" s="57" t="inlineStr">
        <is>
          <t>Specific Gravity</t>
        </is>
      </c>
      <c r="B2381" s="57" t="n">
        <v>177</v>
      </c>
      <c r="C2381" s="57" t="inlineStr">
        <is>
          <t>Genotypes</t>
        </is>
      </c>
      <c r="D2381" s="57" t="inlineStr">
        <is>
          <t>25-005</t>
        </is>
      </c>
      <c r="E2381" s="57" t="inlineStr">
        <is>
          <t>UKYT-25-005</t>
        </is>
      </c>
      <c r="F2381" s="57" t="inlineStr"/>
    </row>
    <row r="2382" ht="25" customHeight="1" s="55">
      <c r="A2382" s="57" t="inlineStr">
        <is>
          <t>Specific Gravity</t>
        </is>
      </c>
      <c r="B2382" s="57" t="n">
        <v>178</v>
      </c>
      <c r="C2382" s="57" t="inlineStr">
        <is>
          <t>Genotypes</t>
        </is>
      </c>
      <c r="D2382" s="57" t="inlineStr">
        <is>
          <t>25-006</t>
        </is>
      </c>
      <c r="E2382" s="57" t="inlineStr">
        <is>
          <t>UKYT-25-006</t>
        </is>
      </c>
      <c r="F2382" s="57" t="inlineStr"/>
    </row>
    <row r="2383" ht="25" customHeight="1" s="55">
      <c r="A2383" s="57" t="inlineStr">
        <is>
          <t>Specific Gravity</t>
        </is>
      </c>
      <c r="B2383" s="57" t="n">
        <v>179</v>
      </c>
      <c r="C2383" s="57" t="inlineStr">
        <is>
          <t>Location</t>
        </is>
      </c>
      <c r="D2383" s="57" t="inlineStr">
        <is>
          <t>Open Field</t>
        </is>
      </c>
      <c r="E2383" s="57" t="inlineStr">
        <is>
          <t>Open field</t>
        </is>
      </c>
      <c r="F2383" s="57" t="inlineStr"/>
    </row>
    <row r="2384" ht="25" customHeight="1" s="55">
      <c r="A2384" s="57" t="inlineStr">
        <is>
          <t>Specific Gravity</t>
        </is>
      </c>
      <c r="B2384" s="57" t="n">
        <v>179</v>
      </c>
      <c r="C2384" s="57" t="inlineStr">
        <is>
          <t>Harvest</t>
        </is>
      </c>
      <c r="D2384" s="57" t="inlineStr">
        <is>
          <t>second</t>
        </is>
      </c>
      <c r="E2384" s="57" t="inlineStr">
        <is>
          <t>Second</t>
        </is>
      </c>
      <c r="F2384" s="57" t="inlineStr"/>
    </row>
    <row r="2385" ht="25" customHeight="1" s="55">
      <c r="A2385" s="57" t="inlineStr">
        <is>
          <t>Specific Gravity</t>
        </is>
      </c>
      <c r="B2385" s="57" t="n">
        <v>179</v>
      </c>
      <c r="C2385" s="57" t="inlineStr">
        <is>
          <t>Date of harvest</t>
        </is>
      </c>
      <c r="D2385" s="57" t="inlineStr"/>
      <c r="E2385" s="57" t="inlineStr">
        <is>
          <t>2026-08-11</t>
        </is>
      </c>
      <c r="F2385" s="57" t="inlineStr">
        <is>
          <t>forward_filled</t>
        </is>
      </c>
    </row>
    <row r="2386" ht="25" customHeight="1" s="55">
      <c r="A2386" s="57" t="inlineStr">
        <is>
          <t>Specific Gravity</t>
        </is>
      </c>
      <c r="B2386" s="57" t="n">
        <v>180</v>
      </c>
      <c r="C2386" s="57" t="inlineStr">
        <is>
          <t>Genotypes</t>
        </is>
      </c>
      <c r="D2386" s="57" t="inlineStr">
        <is>
          <t>26-007</t>
        </is>
      </c>
      <c r="E2386" s="57" t="inlineStr">
        <is>
          <t>UKYT-26-007</t>
        </is>
      </c>
      <c r="F2386" s="57" t="inlineStr"/>
    </row>
    <row r="2387" ht="25" customHeight="1" s="55">
      <c r="A2387" s="57" t="inlineStr">
        <is>
          <t>Specific Gravity</t>
        </is>
      </c>
      <c r="B2387" s="57" t="n">
        <v>180</v>
      </c>
      <c r="C2387" s="57" t="inlineStr">
        <is>
          <t>Location</t>
        </is>
      </c>
      <c r="D2387" s="57" t="inlineStr">
        <is>
          <t>Open Field</t>
        </is>
      </c>
      <c r="E2387" s="57" t="inlineStr">
        <is>
          <t>Open field</t>
        </is>
      </c>
      <c r="F2387" s="57" t="inlineStr"/>
    </row>
    <row r="2388" ht="25" customHeight="1" s="55">
      <c r="A2388" s="57" t="inlineStr">
        <is>
          <t>Specific Gravity</t>
        </is>
      </c>
      <c r="B2388" s="57" t="n">
        <v>180</v>
      </c>
      <c r="C2388" s="57" t="inlineStr">
        <is>
          <t>Harvest</t>
        </is>
      </c>
      <c r="D2388" s="57" t="inlineStr">
        <is>
          <t>second</t>
        </is>
      </c>
      <c r="E2388" s="57" t="inlineStr">
        <is>
          <t>Second</t>
        </is>
      </c>
      <c r="F2388" s="57" t="inlineStr"/>
    </row>
    <row r="2389" ht="25" customHeight="1" s="55">
      <c r="A2389" s="57" t="inlineStr">
        <is>
          <t>Specific Gravity</t>
        </is>
      </c>
      <c r="B2389" s="57" t="n">
        <v>180</v>
      </c>
      <c r="C2389" s="57" t="inlineStr">
        <is>
          <t>Date of harvest</t>
        </is>
      </c>
      <c r="D2389" s="57" t="inlineStr"/>
      <c r="E2389" s="57" t="inlineStr">
        <is>
          <t>2026-08-11</t>
        </is>
      </c>
      <c r="F2389" s="57" t="inlineStr">
        <is>
          <t>forward_filled</t>
        </is>
      </c>
    </row>
    <row r="2390" ht="25" customHeight="1" s="55">
      <c r="A2390" s="57" t="inlineStr">
        <is>
          <t>Specific Gravity</t>
        </is>
      </c>
      <c r="B2390" s="57" t="n">
        <v>181</v>
      </c>
      <c r="C2390" s="57" t="inlineStr">
        <is>
          <t>Genotypes</t>
        </is>
      </c>
      <c r="D2390" s="57" t="inlineStr">
        <is>
          <t>25-016</t>
        </is>
      </c>
      <c r="E2390" s="57" t="inlineStr">
        <is>
          <t>UKYT-25-016</t>
        </is>
      </c>
      <c r="F2390" s="57" t="inlineStr"/>
    </row>
    <row r="2391" ht="25" customHeight="1" s="55">
      <c r="A2391" s="57" t="inlineStr">
        <is>
          <t>Specific Gravity</t>
        </is>
      </c>
      <c r="B2391" s="57" t="n">
        <v>181</v>
      </c>
      <c r="C2391" s="57" t="inlineStr">
        <is>
          <t>Location</t>
        </is>
      </c>
      <c r="D2391" s="57" t="inlineStr">
        <is>
          <t>Open Field</t>
        </is>
      </c>
      <c r="E2391" s="57" t="inlineStr">
        <is>
          <t>Open field</t>
        </is>
      </c>
      <c r="F2391" s="57" t="inlineStr"/>
    </row>
    <row r="2392" ht="25" customHeight="1" s="55">
      <c r="A2392" s="57" t="inlineStr">
        <is>
          <t>Specific Gravity</t>
        </is>
      </c>
      <c r="B2392" s="57" t="n">
        <v>181</v>
      </c>
      <c r="C2392" s="57" t="inlineStr">
        <is>
          <t>Harvest</t>
        </is>
      </c>
      <c r="D2392" s="57" t="inlineStr">
        <is>
          <t>second</t>
        </is>
      </c>
      <c r="E2392" s="57" t="inlineStr">
        <is>
          <t>Second</t>
        </is>
      </c>
      <c r="F2392" s="57" t="inlineStr"/>
    </row>
    <row r="2393" ht="25" customHeight="1" s="55">
      <c r="A2393" s="57" t="inlineStr">
        <is>
          <t>Specific Gravity</t>
        </is>
      </c>
      <c r="B2393" s="57" t="n">
        <v>181</v>
      </c>
      <c r="C2393" s="57" t="inlineStr">
        <is>
          <t>Date of harvest</t>
        </is>
      </c>
      <c r="D2393" s="57" t="inlineStr"/>
      <c r="E2393" s="57" t="inlineStr">
        <is>
          <t>2026-08-11</t>
        </is>
      </c>
      <c r="F2393" s="57" t="inlineStr">
        <is>
          <t>forward_filled</t>
        </is>
      </c>
    </row>
    <row r="2394" ht="25" customHeight="1" s="55">
      <c r="A2394" s="57" t="inlineStr">
        <is>
          <t>Specific Gravity</t>
        </is>
      </c>
      <c r="B2394" s="57" t="n">
        <v>182</v>
      </c>
      <c r="C2394" s="57" t="inlineStr">
        <is>
          <t>Genotypes</t>
        </is>
      </c>
      <c r="D2394" s="57" t="inlineStr">
        <is>
          <t>264 G</t>
        </is>
      </c>
      <c r="E2394" s="57" t="inlineStr">
        <is>
          <t>264</t>
        </is>
      </c>
      <c r="F2394" s="57" t="inlineStr"/>
    </row>
    <row r="2395" ht="25" customHeight="1" s="55">
      <c r="A2395" s="57" t="inlineStr">
        <is>
          <t>Specific Gravity</t>
        </is>
      </c>
      <c r="B2395" s="57" t="n">
        <v>182</v>
      </c>
      <c r="C2395" s="57" t="inlineStr">
        <is>
          <t>Location</t>
        </is>
      </c>
      <c r="D2395" s="57" t="inlineStr">
        <is>
          <t>Open Field</t>
        </is>
      </c>
      <c r="E2395" s="57" t="inlineStr">
        <is>
          <t>Open field</t>
        </is>
      </c>
      <c r="F2395" s="57" t="inlineStr"/>
    </row>
    <row r="2396" ht="25" customHeight="1" s="55">
      <c r="A2396" s="57" t="inlineStr">
        <is>
          <t>Specific Gravity</t>
        </is>
      </c>
      <c r="B2396" s="57" t="n">
        <v>182</v>
      </c>
      <c r="C2396" s="57" t="inlineStr">
        <is>
          <t>Harvest</t>
        </is>
      </c>
      <c r="D2396" s="57" t="inlineStr">
        <is>
          <t>second</t>
        </is>
      </c>
      <c r="E2396" s="57" t="inlineStr">
        <is>
          <t>Second</t>
        </is>
      </c>
      <c r="F2396" s="57" t="inlineStr"/>
    </row>
    <row r="2397" ht="25" customHeight="1" s="55">
      <c r="A2397" s="57" t="inlineStr">
        <is>
          <t>Specific Gravity</t>
        </is>
      </c>
      <c r="B2397" s="57" t="n">
        <v>182</v>
      </c>
      <c r="C2397" s="57" t="inlineStr">
        <is>
          <t>Date of harvest</t>
        </is>
      </c>
      <c r="D2397" s="57" t="inlineStr"/>
      <c r="E2397" s="57" t="inlineStr">
        <is>
          <t>2026-08-11</t>
        </is>
      </c>
      <c r="F2397" s="57" t="inlineStr">
        <is>
          <t>forward_filled</t>
        </is>
      </c>
    </row>
    <row r="2398" ht="25" customHeight="1" s="55">
      <c r="A2398" s="57" t="inlineStr">
        <is>
          <t>Specific Gravity</t>
        </is>
      </c>
      <c r="B2398" s="57" t="n">
        <v>183</v>
      </c>
      <c r="C2398" s="57" t="inlineStr">
        <is>
          <t>Location</t>
        </is>
      </c>
      <c r="D2398" s="57" t="inlineStr">
        <is>
          <t>Open Field</t>
        </is>
      </c>
      <c r="E2398" s="57" t="inlineStr">
        <is>
          <t>Open field</t>
        </is>
      </c>
      <c r="F2398" s="57" t="inlineStr"/>
    </row>
    <row r="2399" ht="25" customHeight="1" s="55">
      <c r="A2399" s="57" t="inlineStr">
        <is>
          <t>Specific Gravity</t>
        </is>
      </c>
      <c r="B2399" s="57" t="n">
        <v>183</v>
      </c>
      <c r="C2399" s="57" t="inlineStr">
        <is>
          <t>Harvest</t>
        </is>
      </c>
      <c r="D2399" s="57" t="inlineStr">
        <is>
          <t>second</t>
        </is>
      </c>
      <c r="E2399" s="57" t="inlineStr">
        <is>
          <t>Second</t>
        </is>
      </c>
      <c r="F2399" s="57" t="inlineStr"/>
    </row>
    <row r="2400" ht="25" customHeight="1" s="55">
      <c r="A2400" s="57" t="inlineStr">
        <is>
          <t>Specific Gravity</t>
        </is>
      </c>
      <c r="B2400" s="57" t="n">
        <v>183</v>
      </c>
      <c r="C2400" s="57" t="inlineStr">
        <is>
          <t>Date of harvest</t>
        </is>
      </c>
      <c r="D2400" s="57" t="inlineStr"/>
      <c r="E2400" s="57" t="inlineStr">
        <is>
          <t>2026-08-11</t>
        </is>
      </c>
      <c r="F2400" s="57" t="inlineStr">
        <is>
          <t>forward_filled</t>
        </is>
      </c>
    </row>
    <row r="2401" ht="25" customHeight="1" s="55">
      <c r="A2401" s="57" t="inlineStr">
        <is>
          <t>Specific Gravity</t>
        </is>
      </c>
      <c r="B2401" s="57" t="n">
        <v>184</v>
      </c>
      <c r="C2401" s="57" t="inlineStr">
        <is>
          <t>Location</t>
        </is>
      </c>
      <c r="D2401" s="57" t="inlineStr">
        <is>
          <t>Open Field</t>
        </is>
      </c>
      <c r="E2401" s="57" t="inlineStr">
        <is>
          <t>Open field</t>
        </is>
      </c>
      <c r="F2401" s="57" t="inlineStr"/>
    </row>
    <row r="2402" ht="25" customHeight="1" s="55">
      <c r="A2402" s="57" t="inlineStr">
        <is>
          <t>Specific Gravity</t>
        </is>
      </c>
      <c r="B2402" s="57" t="n">
        <v>184</v>
      </c>
      <c r="C2402" s="57" t="inlineStr">
        <is>
          <t>Harvest</t>
        </is>
      </c>
      <c r="D2402" s="57" t="inlineStr">
        <is>
          <t>second</t>
        </is>
      </c>
      <c r="E2402" s="57" t="inlineStr">
        <is>
          <t>Second</t>
        </is>
      </c>
      <c r="F2402" s="57" t="inlineStr"/>
    </row>
    <row r="2403" ht="25" customHeight="1" s="55">
      <c r="A2403" s="57" t="inlineStr">
        <is>
          <t>Specific Gravity</t>
        </is>
      </c>
      <c r="B2403" s="57" t="n">
        <v>184</v>
      </c>
      <c r="C2403" s="57" t="inlineStr">
        <is>
          <t>Date of harvest</t>
        </is>
      </c>
      <c r="D2403" s="57" t="inlineStr"/>
      <c r="E2403" s="57" t="inlineStr">
        <is>
          <t>2026-08-11</t>
        </is>
      </c>
      <c r="F2403" s="57" t="inlineStr">
        <is>
          <t>forward_filled</t>
        </is>
      </c>
    </row>
    <row r="2404" ht="25" customHeight="1" s="55">
      <c r="A2404" s="57" t="inlineStr">
        <is>
          <t>Specific Gravity</t>
        </is>
      </c>
      <c r="B2404" s="57" t="n">
        <v>185</v>
      </c>
      <c r="C2404" s="57" t="inlineStr">
        <is>
          <t>Genotypes</t>
        </is>
      </c>
      <c r="D2404" s="57" t="inlineStr">
        <is>
          <t>26-033</t>
        </is>
      </c>
      <c r="E2404" s="57" t="inlineStr">
        <is>
          <t>UKYT-26-033</t>
        </is>
      </c>
      <c r="F2404" s="57" t="inlineStr"/>
    </row>
    <row r="2405" ht="25" customHeight="1" s="55">
      <c r="A2405" s="57" t="inlineStr">
        <is>
          <t>Specific Gravity</t>
        </is>
      </c>
      <c r="B2405" s="57" t="n">
        <v>185</v>
      </c>
      <c r="C2405" s="57" t="inlineStr">
        <is>
          <t>Location</t>
        </is>
      </c>
      <c r="D2405" s="57" t="inlineStr">
        <is>
          <t>Open Field</t>
        </is>
      </c>
      <c r="E2405" s="57" t="inlineStr">
        <is>
          <t>Open field</t>
        </is>
      </c>
      <c r="F2405" s="57" t="inlineStr"/>
    </row>
    <row r="2406" ht="25" customHeight="1" s="55">
      <c r="A2406" s="57" t="inlineStr">
        <is>
          <t>Specific Gravity</t>
        </is>
      </c>
      <c r="B2406" s="57" t="n">
        <v>185</v>
      </c>
      <c r="C2406" s="57" t="inlineStr">
        <is>
          <t>Harvest</t>
        </is>
      </c>
      <c r="D2406" s="57" t="inlineStr">
        <is>
          <t>second</t>
        </is>
      </c>
      <c r="E2406" s="57" t="inlineStr">
        <is>
          <t>Second</t>
        </is>
      </c>
      <c r="F2406" s="57" t="inlineStr"/>
    </row>
    <row r="2407" ht="25" customHeight="1" s="55">
      <c r="A2407" s="57" t="inlineStr">
        <is>
          <t>Specific Gravity</t>
        </is>
      </c>
      <c r="B2407" s="57" t="n">
        <v>185</v>
      </c>
      <c r="C2407" s="57" t="inlineStr">
        <is>
          <t>Date of harvest</t>
        </is>
      </c>
      <c r="D2407" s="57" t="inlineStr"/>
      <c r="E2407" s="57" t="inlineStr">
        <is>
          <t>2026-08-11</t>
        </is>
      </c>
      <c r="F2407" s="57" t="inlineStr">
        <is>
          <t>forward_filled</t>
        </is>
      </c>
    </row>
    <row r="2408" ht="25" customHeight="1" s="55">
      <c r="A2408" s="57" t="inlineStr">
        <is>
          <t>Specific Gravity</t>
        </is>
      </c>
      <c r="B2408" s="57" t="n">
        <v>186</v>
      </c>
      <c r="C2408" s="57" t="inlineStr">
        <is>
          <t>Genotypes</t>
        </is>
      </c>
      <c r="D2408" s="57" t="inlineStr">
        <is>
          <t>26-034</t>
        </is>
      </c>
      <c r="E2408" s="57" t="inlineStr">
        <is>
          <t>UKYT-26-034</t>
        </is>
      </c>
      <c r="F2408" s="57" t="inlineStr"/>
    </row>
    <row r="2409" ht="25" customHeight="1" s="55">
      <c r="A2409" s="57" t="inlineStr">
        <is>
          <t>Specific Gravity</t>
        </is>
      </c>
      <c r="B2409" s="57" t="n">
        <v>186</v>
      </c>
      <c r="C2409" s="57" t="inlineStr">
        <is>
          <t>Location</t>
        </is>
      </c>
      <c r="D2409" s="57" t="inlineStr">
        <is>
          <t>Open Field</t>
        </is>
      </c>
      <c r="E2409" s="57" t="inlineStr">
        <is>
          <t>Open field</t>
        </is>
      </c>
      <c r="F2409" s="57" t="inlineStr"/>
    </row>
    <row r="2410" ht="25" customHeight="1" s="55">
      <c r="A2410" s="57" t="inlineStr">
        <is>
          <t>Specific Gravity</t>
        </is>
      </c>
      <c r="B2410" s="57" t="n">
        <v>186</v>
      </c>
      <c r="C2410" s="57" t="inlineStr">
        <is>
          <t>Harvest</t>
        </is>
      </c>
      <c r="D2410" s="57" t="inlineStr">
        <is>
          <t>second</t>
        </is>
      </c>
      <c r="E2410" s="57" t="inlineStr">
        <is>
          <t>Second</t>
        </is>
      </c>
      <c r="F2410" s="57" t="inlineStr"/>
    </row>
    <row r="2411" ht="25" customHeight="1" s="55">
      <c r="A2411" s="57" t="inlineStr">
        <is>
          <t>Specific Gravity</t>
        </is>
      </c>
      <c r="B2411" s="57" t="n">
        <v>186</v>
      </c>
      <c r="C2411" s="57" t="inlineStr">
        <is>
          <t>Date of harvest</t>
        </is>
      </c>
      <c r="D2411" s="57" t="inlineStr"/>
      <c r="E2411" s="57" t="inlineStr">
        <is>
          <t>2026-08-11</t>
        </is>
      </c>
      <c r="F2411" s="57" t="inlineStr">
        <is>
          <t>forward_filled</t>
        </is>
      </c>
    </row>
    <row r="2412" ht="25" customHeight="1" s="55">
      <c r="A2412" s="57" t="inlineStr">
        <is>
          <t>Specific Gravity</t>
        </is>
      </c>
      <c r="B2412" s="57" t="n">
        <v>187</v>
      </c>
      <c r="C2412" s="57" t="inlineStr">
        <is>
          <t>Genotypes</t>
        </is>
      </c>
      <c r="D2412" s="57" t="inlineStr">
        <is>
          <t>25-012</t>
        </is>
      </c>
      <c r="E2412" s="57" t="inlineStr">
        <is>
          <t>UKYT-25-012</t>
        </is>
      </c>
      <c r="F2412" s="57" t="inlineStr"/>
    </row>
    <row r="2413" ht="25" customHeight="1" s="55">
      <c r="A2413" s="57" t="inlineStr">
        <is>
          <t>Specific Gravity</t>
        </is>
      </c>
      <c r="B2413" s="57" t="n">
        <v>187</v>
      </c>
      <c r="C2413" s="57" t="inlineStr">
        <is>
          <t>Location</t>
        </is>
      </c>
      <c r="D2413" s="57" t="inlineStr">
        <is>
          <t>Open Field</t>
        </is>
      </c>
      <c r="E2413" s="57" t="inlineStr">
        <is>
          <t>Open field</t>
        </is>
      </c>
      <c r="F2413" s="57" t="inlineStr"/>
    </row>
    <row r="2414" ht="25" customHeight="1" s="55">
      <c r="A2414" s="57" t="inlineStr">
        <is>
          <t>Specific Gravity</t>
        </is>
      </c>
      <c r="B2414" s="57" t="n">
        <v>187</v>
      </c>
      <c r="C2414" s="57" t="inlineStr">
        <is>
          <t>Harvest</t>
        </is>
      </c>
      <c r="D2414" s="57" t="inlineStr">
        <is>
          <t>second</t>
        </is>
      </c>
      <c r="E2414" s="57" t="inlineStr">
        <is>
          <t>Second</t>
        </is>
      </c>
      <c r="F2414" s="57" t="inlineStr"/>
    </row>
    <row r="2415" ht="25" customHeight="1" s="55">
      <c r="A2415" s="57" t="inlineStr">
        <is>
          <t>Specific Gravity</t>
        </is>
      </c>
      <c r="B2415" s="57" t="n">
        <v>187</v>
      </c>
      <c r="C2415" s="57" t="inlineStr">
        <is>
          <t>Date of harvest</t>
        </is>
      </c>
      <c r="D2415" s="57" t="inlineStr"/>
      <c r="E2415" s="57" t="inlineStr">
        <is>
          <t>2026-08-11</t>
        </is>
      </c>
      <c r="F2415" s="57" t="inlineStr">
        <is>
          <t>forward_filled</t>
        </is>
      </c>
    </row>
    <row r="2416" ht="25" customHeight="1" s="55">
      <c r="A2416" s="57" t="inlineStr">
        <is>
          <t>Specific Gravity</t>
        </is>
      </c>
      <c r="B2416" s="57" t="n">
        <v>188</v>
      </c>
      <c r="C2416" s="57" t="inlineStr">
        <is>
          <t>Genotypes</t>
        </is>
      </c>
      <c r="D2416" s="57" t="inlineStr">
        <is>
          <t>NC 25203G</t>
        </is>
      </c>
      <c r="E2416" s="57" t="inlineStr">
        <is>
          <t>NC25203G</t>
        </is>
      </c>
      <c r="F2416" s="57" t="inlineStr"/>
    </row>
    <row r="2417" ht="25" customHeight="1" s="55">
      <c r="A2417" s="57" t="inlineStr">
        <is>
          <t>Specific Gravity</t>
        </is>
      </c>
      <c r="B2417" s="57" t="n">
        <v>188</v>
      </c>
      <c r="C2417" s="57" t="inlineStr">
        <is>
          <t>Location</t>
        </is>
      </c>
      <c r="D2417" s="57" t="inlineStr">
        <is>
          <t>Open Field</t>
        </is>
      </c>
      <c r="E2417" s="57" t="inlineStr">
        <is>
          <t>Open field</t>
        </is>
      </c>
      <c r="F2417" s="57" t="inlineStr"/>
    </row>
    <row r="2418" ht="25" customHeight="1" s="55">
      <c r="A2418" s="57" t="inlineStr">
        <is>
          <t>Specific Gravity</t>
        </is>
      </c>
      <c r="B2418" s="57" t="n">
        <v>188</v>
      </c>
      <c r="C2418" s="57" t="inlineStr">
        <is>
          <t>Harvest</t>
        </is>
      </c>
      <c r="D2418" s="57" t="inlineStr">
        <is>
          <t>second</t>
        </is>
      </c>
      <c r="E2418" s="57" t="inlineStr">
        <is>
          <t>Second</t>
        </is>
      </c>
      <c r="F2418" s="57" t="inlineStr"/>
    </row>
    <row r="2419" ht="25" customHeight="1" s="55">
      <c r="A2419" s="57" t="inlineStr">
        <is>
          <t>Specific Gravity</t>
        </is>
      </c>
      <c r="B2419" s="57" t="n">
        <v>188</v>
      </c>
      <c r="C2419" s="57" t="inlineStr">
        <is>
          <t>Date of harvest</t>
        </is>
      </c>
      <c r="D2419" s="57" t="inlineStr"/>
      <c r="E2419" s="57" t="inlineStr">
        <is>
          <t>2026-08-11</t>
        </is>
      </c>
      <c r="F2419" s="57" t="inlineStr">
        <is>
          <t>forward_filled</t>
        </is>
      </c>
    </row>
    <row r="2420" ht="25" customHeight="1" s="55">
      <c r="A2420" s="57" t="inlineStr">
        <is>
          <t>Specific Gravity</t>
        </is>
      </c>
      <c r="B2420" s="57" t="n">
        <v>189</v>
      </c>
      <c r="C2420" s="57" t="inlineStr">
        <is>
          <t>Genotypes</t>
        </is>
      </c>
      <c r="D2420" s="57" t="inlineStr">
        <is>
          <t>26-006</t>
        </is>
      </c>
      <c r="E2420" s="57" t="inlineStr">
        <is>
          <t>UKYT-26-006</t>
        </is>
      </c>
      <c r="F2420" s="57" t="inlineStr"/>
    </row>
    <row r="2421" ht="25" customHeight="1" s="55">
      <c r="A2421" s="57" t="inlineStr">
        <is>
          <t>Specific Gravity</t>
        </is>
      </c>
      <c r="B2421" s="57" t="n">
        <v>189</v>
      </c>
      <c r="C2421" s="57" t="inlineStr">
        <is>
          <t>Location</t>
        </is>
      </c>
      <c r="D2421" s="57" t="inlineStr">
        <is>
          <t>Open Field</t>
        </is>
      </c>
      <c r="E2421" s="57" t="inlineStr">
        <is>
          <t>Open field</t>
        </is>
      </c>
      <c r="F2421" s="57" t="inlineStr"/>
    </row>
    <row r="2422" ht="25" customHeight="1" s="55">
      <c r="A2422" s="57" t="inlineStr">
        <is>
          <t>Specific Gravity</t>
        </is>
      </c>
      <c r="B2422" s="57" t="n">
        <v>189</v>
      </c>
      <c r="C2422" s="57" t="inlineStr">
        <is>
          <t>Harvest</t>
        </is>
      </c>
      <c r="D2422" s="57" t="inlineStr">
        <is>
          <t>second</t>
        </is>
      </c>
      <c r="E2422" s="57" t="inlineStr">
        <is>
          <t>Second</t>
        </is>
      </c>
      <c r="F2422" s="57" t="inlineStr"/>
    </row>
    <row r="2423" ht="25" customHeight="1" s="55">
      <c r="A2423" s="57" t="inlineStr">
        <is>
          <t>Specific Gravity</t>
        </is>
      </c>
      <c r="B2423" s="57" t="n">
        <v>189</v>
      </c>
      <c r="C2423" s="57" t="inlineStr">
        <is>
          <t>Date of harvest</t>
        </is>
      </c>
      <c r="D2423" s="57" t="inlineStr"/>
      <c r="E2423" s="57" t="inlineStr">
        <is>
          <t>2026-08-11</t>
        </is>
      </c>
      <c r="F2423" s="57" t="inlineStr">
        <is>
          <t>forward_filled</t>
        </is>
      </c>
    </row>
    <row r="2424" ht="25" customHeight="1" s="55">
      <c r="A2424" s="57" t="inlineStr">
        <is>
          <t>Specific Gravity</t>
        </is>
      </c>
      <c r="B2424" s="57" t="n">
        <v>190</v>
      </c>
      <c r="C2424" s="57" t="inlineStr">
        <is>
          <t>Location</t>
        </is>
      </c>
      <c r="D2424" s="57" t="inlineStr">
        <is>
          <t>Open Field</t>
        </is>
      </c>
      <c r="E2424" s="57" t="inlineStr">
        <is>
          <t>Open field</t>
        </is>
      </c>
      <c r="F2424" s="57" t="inlineStr"/>
    </row>
    <row r="2425" ht="25" customHeight="1" s="55">
      <c r="A2425" s="57" t="inlineStr">
        <is>
          <t>Specific Gravity</t>
        </is>
      </c>
      <c r="B2425" s="57" t="n">
        <v>190</v>
      </c>
      <c r="C2425" s="57" t="inlineStr">
        <is>
          <t>Harvest</t>
        </is>
      </c>
      <c r="D2425" s="57" t="inlineStr">
        <is>
          <t>second</t>
        </is>
      </c>
      <c r="E2425" s="57" t="inlineStr">
        <is>
          <t>Second</t>
        </is>
      </c>
      <c r="F2425" s="57" t="inlineStr"/>
    </row>
    <row r="2426" ht="25" customHeight="1" s="55">
      <c r="A2426" s="57" t="inlineStr">
        <is>
          <t>Specific Gravity</t>
        </is>
      </c>
      <c r="B2426" s="57" t="n">
        <v>190</v>
      </c>
      <c r="C2426" s="57" t="inlineStr">
        <is>
          <t>Date of harvest</t>
        </is>
      </c>
      <c r="D2426" s="57" t="inlineStr"/>
      <c r="E2426" s="57" t="inlineStr">
        <is>
          <t>2026-08-11</t>
        </is>
      </c>
      <c r="F2426" s="57" t="inlineStr">
        <is>
          <t>forward_filled</t>
        </is>
      </c>
    </row>
    <row r="2427" ht="25" customHeight="1" s="55">
      <c r="A2427" s="57" t="inlineStr">
        <is>
          <t>Specific Gravity</t>
        </is>
      </c>
      <c r="B2427" s="57" t="n">
        <v>191</v>
      </c>
      <c r="C2427" s="57" t="inlineStr">
        <is>
          <t>Genotypes</t>
        </is>
      </c>
      <c r="D2427" s="57" t="inlineStr">
        <is>
          <t>26-032</t>
        </is>
      </c>
      <c r="E2427" s="57" t="inlineStr">
        <is>
          <t>UKYT-26-032</t>
        </is>
      </c>
      <c r="F2427" s="57" t="inlineStr"/>
    </row>
    <row r="2428" ht="25" customHeight="1" s="55">
      <c r="A2428" s="57" t="inlineStr">
        <is>
          <t>Specific Gravity</t>
        </is>
      </c>
      <c r="B2428" s="57" t="n">
        <v>191</v>
      </c>
      <c r="C2428" s="57" t="inlineStr">
        <is>
          <t>Location</t>
        </is>
      </c>
      <c r="D2428" s="57" t="inlineStr">
        <is>
          <t>Open Field</t>
        </is>
      </c>
      <c r="E2428" s="57" t="inlineStr">
        <is>
          <t>Open field</t>
        </is>
      </c>
      <c r="F2428" s="57" t="inlineStr"/>
    </row>
    <row r="2429" ht="25" customHeight="1" s="55">
      <c r="A2429" s="57" t="inlineStr">
        <is>
          <t>Specific Gravity</t>
        </is>
      </c>
      <c r="B2429" s="57" t="n">
        <v>191</v>
      </c>
      <c r="C2429" s="57" t="inlineStr">
        <is>
          <t>Harvest</t>
        </is>
      </c>
      <c r="D2429" s="57" t="inlineStr">
        <is>
          <t>second</t>
        </is>
      </c>
      <c r="E2429" s="57" t="inlineStr">
        <is>
          <t>Second</t>
        </is>
      </c>
      <c r="F2429" s="57" t="inlineStr"/>
    </row>
    <row r="2430" ht="25" customHeight="1" s="55">
      <c r="A2430" s="57" t="inlineStr">
        <is>
          <t>Specific Gravity</t>
        </is>
      </c>
      <c r="B2430" s="57" t="n">
        <v>191</v>
      </c>
      <c r="C2430" s="57" t="inlineStr">
        <is>
          <t>Date of harvest</t>
        </is>
      </c>
      <c r="D2430" s="57" t="inlineStr"/>
      <c r="E2430" s="57" t="inlineStr">
        <is>
          <t>2026-08-11</t>
        </is>
      </c>
      <c r="F2430" s="57" t="inlineStr">
        <is>
          <t>forward_filled</t>
        </is>
      </c>
    </row>
    <row r="2431" ht="25" customHeight="1" s="55">
      <c r="A2431" s="57" t="inlineStr">
        <is>
          <t>Specific Gravity</t>
        </is>
      </c>
      <c r="B2431" s="57" t="n">
        <v>192</v>
      </c>
      <c r="C2431" s="57" t="inlineStr">
        <is>
          <t>Genotypes</t>
        </is>
      </c>
      <c r="D2431" s="57" t="inlineStr">
        <is>
          <t>25-004</t>
        </is>
      </c>
      <c r="E2431" s="57" t="inlineStr">
        <is>
          <t>UKYT-25-004</t>
        </is>
      </c>
      <c r="F2431" s="57" t="inlineStr"/>
    </row>
    <row r="2432" ht="25" customHeight="1" s="55">
      <c r="A2432" s="57" t="inlineStr">
        <is>
          <t>Specific Gravity</t>
        </is>
      </c>
      <c r="B2432" s="57" t="n">
        <v>192</v>
      </c>
      <c r="C2432" s="57" t="inlineStr">
        <is>
          <t>Location</t>
        </is>
      </c>
      <c r="D2432" s="57" t="inlineStr">
        <is>
          <t>Open Field</t>
        </is>
      </c>
      <c r="E2432" s="57" t="inlineStr">
        <is>
          <t>Open field</t>
        </is>
      </c>
      <c r="F2432" s="57" t="inlineStr"/>
    </row>
    <row r="2433" ht="25" customHeight="1" s="55">
      <c r="A2433" s="57" t="inlineStr">
        <is>
          <t>Specific Gravity</t>
        </is>
      </c>
      <c r="B2433" s="57" t="n">
        <v>192</v>
      </c>
      <c r="C2433" s="57" t="inlineStr">
        <is>
          <t>Harvest</t>
        </is>
      </c>
      <c r="D2433" s="57" t="inlineStr">
        <is>
          <t>second</t>
        </is>
      </c>
      <c r="E2433" s="57" t="inlineStr">
        <is>
          <t>Second</t>
        </is>
      </c>
      <c r="F2433" s="57" t="inlineStr"/>
    </row>
    <row r="2434" ht="25" customHeight="1" s="55">
      <c r="A2434" s="57" t="inlineStr">
        <is>
          <t>Specific Gravity</t>
        </is>
      </c>
      <c r="B2434" s="57" t="n">
        <v>192</v>
      </c>
      <c r="C2434" s="57" t="inlineStr">
        <is>
          <t>Date of harvest</t>
        </is>
      </c>
      <c r="D2434" s="57" t="inlineStr"/>
      <c r="E2434" s="57" t="inlineStr">
        <is>
          <t>2026-08-11</t>
        </is>
      </c>
      <c r="F2434" s="57" t="inlineStr">
        <is>
          <t>forward_filled</t>
        </is>
      </c>
    </row>
    <row r="2435" ht="25" customHeight="1" s="55">
      <c r="A2435" s="57" t="inlineStr">
        <is>
          <t>Specific Gravity</t>
        </is>
      </c>
      <c r="B2435" s="57" t="n">
        <v>193</v>
      </c>
      <c r="C2435" s="57" t="inlineStr">
        <is>
          <t>Genotypes</t>
        </is>
      </c>
      <c r="D2435" s="57" t="inlineStr">
        <is>
          <t>26-036</t>
        </is>
      </c>
      <c r="E2435" s="57" t="inlineStr">
        <is>
          <t>UKYT-26-036</t>
        </is>
      </c>
      <c r="F2435" s="57" t="inlineStr"/>
    </row>
    <row r="2436" ht="25" customHeight="1" s="55">
      <c r="A2436" s="57" t="inlineStr">
        <is>
          <t>Specific Gravity</t>
        </is>
      </c>
      <c r="B2436" s="57" t="n">
        <v>193</v>
      </c>
      <c r="C2436" s="57" t="inlineStr">
        <is>
          <t>Location</t>
        </is>
      </c>
      <c r="D2436" s="57" t="inlineStr">
        <is>
          <t>Open Field</t>
        </is>
      </c>
      <c r="E2436" s="57" t="inlineStr">
        <is>
          <t>Open field</t>
        </is>
      </c>
      <c r="F2436" s="57" t="inlineStr"/>
    </row>
    <row r="2437" ht="25" customHeight="1" s="55">
      <c r="A2437" s="57" t="inlineStr">
        <is>
          <t>Specific Gravity</t>
        </is>
      </c>
      <c r="B2437" s="57" t="n">
        <v>193</v>
      </c>
      <c r="C2437" s="57" t="inlineStr">
        <is>
          <t>Harvest</t>
        </is>
      </c>
      <c r="D2437" s="57" t="inlineStr">
        <is>
          <t>second</t>
        </is>
      </c>
      <c r="E2437" s="57" t="inlineStr">
        <is>
          <t>Second</t>
        </is>
      </c>
      <c r="F2437" s="57" t="inlineStr"/>
    </row>
    <row r="2438" ht="25" customHeight="1" s="55">
      <c r="A2438" s="57" t="inlineStr">
        <is>
          <t>Specific Gravity</t>
        </is>
      </c>
      <c r="B2438" s="57" t="n">
        <v>193</v>
      </c>
      <c r="C2438" s="57" t="inlineStr">
        <is>
          <t>Date of harvest</t>
        </is>
      </c>
      <c r="D2438" s="57" t="inlineStr"/>
      <c r="E2438" s="57" t="inlineStr">
        <is>
          <t>2026-08-11</t>
        </is>
      </c>
      <c r="F2438" s="57" t="inlineStr">
        <is>
          <t>forward_filled</t>
        </is>
      </c>
    </row>
    <row r="2439" ht="25" customHeight="1" s="55">
      <c r="A2439" s="57" t="inlineStr">
        <is>
          <t>Specific Gravity</t>
        </is>
      </c>
      <c r="B2439" s="57" t="n">
        <v>194</v>
      </c>
      <c r="C2439" s="57" t="inlineStr">
        <is>
          <t>Genotypes</t>
        </is>
      </c>
      <c r="D2439" s="57" t="inlineStr">
        <is>
          <t>26-022</t>
        </is>
      </c>
      <c r="E2439" s="57" t="inlineStr">
        <is>
          <t>UKYT-26-022</t>
        </is>
      </c>
      <c r="F2439" s="57" t="inlineStr"/>
    </row>
    <row r="2440" ht="25" customHeight="1" s="55">
      <c r="A2440" s="57" t="inlineStr">
        <is>
          <t>Specific Gravity</t>
        </is>
      </c>
      <c r="B2440" s="57" t="n">
        <v>194</v>
      </c>
      <c r="C2440" s="57" t="inlineStr">
        <is>
          <t>Location</t>
        </is>
      </c>
      <c r="D2440" s="57" t="inlineStr">
        <is>
          <t>Open Field</t>
        </is>
      </c>
      <c r="E2440" s="57" t="inlineStr">
        <is>
          <t>Open field</t>
        </is>
      </c>
      <c r="F2440" s="57" t="inlineStr"/>
    </row>
    <row r="2441" ht="25" customHeight="1" s="55">
      <c r="A2441" s="57" t="inlineStr">
        <is>
          <t>Specific Gravity</t>
        </is>
      </c>
      <c r="B2441" s="57" t="n">
        <v>194</v>
      </c>
      <c r="C2441" s="57" t="inlineStr">
        <is>
          <t>Harvest</t>
        </is>
      </c>
      <c r="D2441" s="57" t="inlineStr">
        <is>
          <t>second</t>
        </is>
      </c>
      <c r="E2441" s="57" t="inlineStr">
        <is>
          <t>Second</t>
        </is>
      </c>
      <c r="F2441" s="57" t="inlineStr"/>
    </row>
    <row r="2442" ht="25" customHeight="1" s="55">
      <c r="A2442" s="57" t="inlineStr">
        <is>
          <t>Specific Gravity</t>
        </is>
      </c>
      <c r="B2442" s="57" t="n">
        <v>194</v>
      </c>
      <c r="C2442" s="57" t="inlineStr">
        <is>
          <t>Date of harvest</t>
        </is>
      </c>
      <c r="D2442" s="57" t="inlineStr"/>
      <c r="E2442" s="57" t="inlineStr">
        <is>
          <t>2026-08-11</t>
        </is>
      </c>
      <c r="F2442" s="57" t="inlineStr">
        <is>
          <t>forward_filled</t>
        </is>
      </c>
    </row>
    <row r="2443" ht="25" customHeight="1" s="55">
      <c r="A2443" s="57" t="inlineStr">
        <is>
          <t>Specific Gravity</t>
        </is>
      </c>
      <c r="B2443" s="57" t="n">
        <v>195</v>
      </c>
      <c r="C2443" s="57" t="inlineStr">
        <is>
          <t>Genotypes</t>
        </is>
      </c>
      <c r="D2443" s="57" t="inlineStr">
        <is>
          <t>Maglia R Cherry</t>
        </is>
      </c>
      <c r="E2443" s="57" t="inlineStr">
        <is>
          <t>Maglia Rosa Cherry</t>
        </is>
      </c>
      <c r="F2443" s="57" t="inlineStr"/>
    </row>
    <row r="2444" ht="25" customHeight="1" s="55">
      <c r="A2444" s="57" t="inlineStr">
        <is>
          <t>Specific Gravity</t>
        </is>
      </c>
      <c r="B2444" s="57" t="n">
        <v>195</v>
      </c>
      <c r="C2444" s="57" t="inlineStr">
        <is>
          <t>Location</t>
        </is>
      </c>
      <c r="D2444" s="57" t="inlineStr">
        <is>
          <t>Open Field</t>
        </is>
      </c>
      <c r="E2444" s="57" t="inlineStr">
        <is>
          <t>Open field</t>
        </is>
      </c>
      <c r="F2444" s="57" t="inlineStr"/>
    </row>
    <row r="2445" ht="25" customHeight="1" s="55">
      <c r="A2445" s="57" t="inlineStr">
        <is>
          <t>Specific Gravity</t>
        </is>
      </c>
      <c r="B2445" s="57" t="n">
        <v>195</v>
      </c>
      <c r="C2445" s="57" t="inlineStr">
        <is>
          <t>Harvest</t>
        </is>
      </c>
      <c r="D2445" s="57" t="inlineStr">
        <is>
          <t>second</t>
        </is>
      </c>
      <c r="E2445" s="57" t="inlineStr">
        <is>
          <t>Second</t>
        </is>
      </c>
      <c r="F2445" s="57" t="inlineStr"/>
    </row>
    <row r="2446" ht="25" customHeight="1" s="55">
      <c r="A2446" s="57" t="inlineStr">
        <is>
          <t>Specific Gravity</t>
        </is>
      </c>
      <c r="B2446" s="57" t="n">
        <v>195</v>
      </c>
      <c r="C2446" s="57" t="inlineStr">
        <is>
          <t>Date of harvest</t>
        </is>
      </c>
      <c r="D2446" s="57" t="inlineStr"/>
      <c r="E2446" s="57" t="inlineStr">
        <is>
          <t>2026-08-11</t>
        </is>
      </c>
      <c r="F2446" s="57" t="inlineStr">
        <is>
          <t>forward_filled</t>
        </is>
      </c>
    </row>
    <row r="2447" ht="25" customHeight="1" s="55">
      <c r="A2447" s="57" t="inlineStr">
        <is>
          <t>Specific Gravity</t>
        </is>
      </c>
      <c r="B2447" s="57" t="n">
        <v>196</v>
      </c>
      <c r="C2447" s="57" t="inlineStr">
        <is>
          <t>Genotypes</t>
        </is>
      </c>
      <c r="D2447" s="57" t="inlineStr">
        <is>
          <t>25-001 R3</t>
        </is>
      </c>
      <c r="E2447" s="57" t="inlineStr">
        <is>
          <t>UKYT-25-001</t>
        </is>
      </c>
      <c r="F2447" s="57" t="inlineStr"/>
    </row>
    <row r="2448" ht="25" customHeight="1" s="55">
      <c r="A2448" s="57" t="inlineStr">
        <is>
          <t>Specific Gravity</t>
        </is>
      </c>
      <c r="B2448" s="57" t="n">
        <v>196</v>
      </c>
      <c r="C2448" s="57" t="inlineStr">
        <is>
          <t>Location</t>
        </is>
      </c>
      <c r="D2448" s="57" t="inlineStr">
        <is>
          <t>Open Field</t>
        </is>
      </c>
      <c r="E2448" s="57" t="inlineStr">
        <is>
          <t>Open field</t>
        </is>
      </c>
      <c r="F2448" s="57" t="inlineStr"/>
    </row>
    <row r="2449" ht="25" customHeight="1" s="55">
      <c r="A2449" s="57" t="inlineStr">
        <is>
          <t>Specific Gravity</t>
        </is>
      </c>
      <c r="B2449" s="57" t="n">
        <v>196</v>
      </c>
      <c r="C2449" s="57" t="inlineStr">
        <is>
          <t>Harvest</t>
        </is>
      </c>
      <c r="D2449" s="57" t="inlineStr">
        <is>
          <t>second</t>
        </is>
      </c>
      <c r="E2449" s="57" t="inlineStr">
        <is>
          <t>Second</t>
        </is>
      </c>
      <c r="F2449" s="57" t="inlineStr"/>
    </row>
    <row r="2450" ht="25" customHeight="1" s="55">
      <c r="A2450" s="57" t="inlineStr">
        <is>
          <t>Specific Gravity</t>
        </is>
      </c>
      <c r="B2450" s="57" t="n">
        <v>196</v>
      </c>
      <c r="C2450" s="57" t="inlineStr">
        <is>
          <t>Date of harvest</t>
        </is>
      </c>
      <c r="D2450" s="57" t="inlineStr"/>
      <c r="E2450" s="57" t="inlineStr">
        <is>
          <t>2026-08-11</t>
        </is>
      </c>
      <c r="F2450" s="57" t="inlineStr">
        <is>
          <t>forward_filled</t>
        </is>
      </c>
    </row>
    <row r="2451" ht="25" customHeight="1" s="55">
      <c r="A2451" s="57" t="inlineStr">
        <is>
          <t>Specific Gravity</t>
        </is>
      </c>
      <c r="B2451" s="57" t="n">
        <v>197</v>
      </c>
      <c r="C2451" s="57" t="inlineStr">
        <is>
          <t>Genotypes</t>
        </is>
      </c>
      <c r="D2451" s="57" t="inlineStr">
        <is>
          <t>25241 G</t>
        </is>
      </c>
      <c r="E2451" s="57" t="inlineStr">
        <is>
          <t>UKYT-25-241</t>
        </is>
      </c>
      <c r="F2451" s="57" t="inlineStr"/>
    </row>
    <row r="2452" ht="25" customHeight="1" s="55">
      <c r="A2452" s="57" t="inlineStr">
        <is>
          <t>Specific Gravity</t>
        </is>
      </c>
      <c r="B2452" s="57" t="n">
        <v>197</v>
      </c>
      <c r="C2452" s="57" t="inlineStr">
        <is>
          <t>Location</t>
        </is>
      </c>
      <c r="D2452" s="57" t="inlineStr">
        <is>
          <t>Open Field</t>
        </is>
      </c>
      <c r="E2452" s="57" t="inlineStr">
        <is>
          <t>Open field</t>
        </is>
      </c>
      <c r="F2452" s="57" t="inlineStr"/>
    </row>
    <row r="2453" ht="25" customHeight="1" s="55">
      <c r="A2453" s="57" t="inlineStr">
        <is>
          <t>Specific Gravity</t>
        </is>
      </c>
      <c r="B2453" s="57" t="n">
        <v>197</v>
      </c>
      <c r="C2453" s="57" t="inlineStr">
        <is>
          <t>Harvest</t>
        </is>
      </c>
      <c r="D2453" s="57" t="inlineStr">
        <is>
          <t>second</t>
        </is>
      </c>
      <c r="E2453" s="57" t="inlineStr">
        <is>
          <t>Second</t>
        </is>
      </c>
      <c r="F2453" s="57" t="inlineStr"/>
    </row>
    <row r="2454" ht="25" customHeight="1" s="55">
      <c r="A2454" s="57" t="inlineStr">
        <is>
          <t>Specific Gravity</t>
        </is>
      </c>
      <c r="B2454" s="57" t="n">
        <v>197</v>
      </c>
      <c r="C2454" s="57" t="inlineStr">
        <is>
          <t>Date of harvest</t>
        </is>
      </c>
      <c r="D2454" s="57" t="inlineStr"/>
      <c r="E2454" s="57" t="inlineStr">
        <is>
          <t>2026-08-11</t>
        </is>
      </c>
      <c r="F2454" s="57" t="inlineStr">
        <is>
          <t>forward_filled</t>
        </is>
      </c>
    </row>
    <row r="2455" ht="25" customHeight="1" s="55">
      <c r="A2455" s="57" t="inlineStr">
        <is>
          <t>Specific Gravity</t>
        </is>
      </c>
      <c r="B2455" s="57" t="n">
        <v>198</v>
      </c>
      <c r="C2455" s="57" t="inlineStr">
        <is>
          <t>Genotypes</t>
        </is>
      </c>
      <c r="D2455" s="57" t="inlineStr">
        <is>
          <t>26-030</t>
        </is>
      </c>
      <c r="E2455" s="57" t="inlineStr">
        <is>
          <t>UKYT-26-030</t>
        </is>
      </c>
      <c r="F2455" s="57" t="inlineStr"/>
    </row>
    <row r="2456" ht="25" customHeight="1" s="55">
      <c r="A2456" s="57" t="inlineStr">
        <is>
          <t>Specific Gravity</t>
        </is>
      </c>
      <c r="B2456" s="57" t="n">
        <v>198</v>
      </c>
      <c r="C2456" s="57" t="inlineStr">
        <is>
          <t>Location</t>
        </is>
      </c>
      <c r="D2456" s="57" t="inlineStr">
        <is>
          <t>Open Field</t>
        </is>
      </c>
      <c r="E2456" s="57" t="inlineStr">
        <is>
          <t>Open field</t>
        </is>
      </c>
      <c r="F2456" s="57" t="inlineStr"/>
    </row>
    <row r="2457" ht="25" customHeight="1" s="55">
      <c r="A2457" s="57" t="inlineStr">
        <is>
          <t>Specific Gravity</t>
        </is>
      </c>
      <c r="B2457" s="57" t="n">
        <v>198</v>
      </c>
      <c r="C2457" s="57" t="inlineStr">
        <is>
          <t>Harvest</t>
        </is>
      </c>
      <c r="D2457" s="57" t="inlineStr">
        <is>
          <t>second</t>
        </is>
      </c>
      <c r="E2457" s="57" t="inlineStr">
        <is>
          <t>Second</t>
        </is>
      </c>
      <c r="F2457" s="57" t="inlineStr"/>
    </row>
    <row r="2458" ht="25" customHeight="1" s="55">
      <c r="A2458" s="57" t="inlineStr">
        <is>
          <t>Specific Gravity</t>
        </is>
      </c>
      <c r="B2458" s="57" t="n">
        <v>198</v>
      </c>
      <c r="C2458" s="57" t="inlineStr">
        <is>
          <t>Date of harvest</t>
        </is>
      </c>
      <c r="D2458" s="57" t="inlineStr"/>
      <c r="E2458" s="57" t="inlineStr">
        <is>
          <t>2026-08-11</t>
        </is>
      </c>
      <c r="F2458" s="57" t="inlineStr">
        <is>
          <t>forward_filled</t>
        </is>
      </c>
    </row>
    <row r="2459" ht="25" customHeight="1" s="55">
      <c r="A2459" s="57" t="inlineStr">
        <is>
          <t>Specific Gravity</t>
        </is>
      </c>
      <c r="B2459" s="57" t="n">
        <v>199</v>
      </c>
      <c r="C2459" s="57" t="inlineStr">
        <is>
          <t>Location</t>
        </is>
      </c>
      <c r="D2459" s="57" t="inlineStr">
        <is>
          <t>Open Field</t>
        </is>
      </c>
      <c r="E2459" s="57" t="inlineStr">
        <is>
          <t>Open field</t>
        </is>
      </c>
      <c r="F2459" s="57" t="inlineStr"/>
    </row>
    <row r="2460" ht="25" customHeight="1" s="55">
      <c r="A2460" s="57" t="inlineStr">
        <is>
          <t>Specific Gravity</t>
        </is>
      </c>
      <c r="B2460" s="57" t="n">
        <v>199</v>
      </c>
      <c r="C2460" s="57" t="inlineStr">
        <is>
          <t>Harvest</t>
        </is>
      </c>
      <c r="D2460" s="57" t="inlineStr">
        <is>
          <t>second</t>
        </is>
      </c>
      <c r="E2460" s="57" t="inlineStr">
        <is>
          <t>Second</t>
        </is>
      </c>
      <c r="F2460" s="57" t="inlineStr"/>
    </row>
    <row r="2461" ht="25" customHeight="1" s="55">
      <c r="A2461" s="57" t="inlineStr">
        <is>
          <t>Specific Gravity</t>
        </is>
      </c>
      <c r="B2461" s="57" t="n">
        <v>199</v>
      </c>
      <c r="C2461" s="57" t="inlineStr">
        <is>
          <t>Date of harvest</t>
        </is>
      </c>
      <c r="D2461" s="57" t="inlineStr"/>
      <c r="E2461" s="57" t="inlineStr">
        <is>
          <t>2026-08-11</t>
        </is>
      </c>
      <c r="F2461" s="57" t="inlineStr">
        <is>
          <t>forward_filled</t>
        </is>
      </c>
    </row>
    <row r="2462" ht="25" customHeight="1" s="55">
      <c r="A2462" s="57" t="inlineStr">
        <is>
          <t>Specific Gravity</t>
        </is>
      </c>
      <c r="B2462" s="57" t="n">
        <v>200</v>
      </c>
      <c r="C2462" s="57" t="inlineStr">
        <is>
          <t>Genotypes</t>
        </is>
      </c>
      <c r="D2462" s="57" t="inlineStr">
        <is>
          <t>26-035</t>
        </is>
      </c>
      <c r="E2462" s="57" t="inlineStr">
        <is>
          <t>UKYT-26-035</t>
        </is>
      </c>
      <c r="F2462" s="57" t="inlineStr"/>
    </row>
    <row r="2463" ht="25" customHeight="1" s="55">
      <c r="A2463" s="57" t="inlineStr">
        <is>
          <t>Specific Gravity</t>
        </is>
      </c>
      <c r="B2463" s="57" t="n">
        <v>200</v>
      </c>
      <c r="C2463" s="57" t="inlineStr">
        <is>
          <t>Location</t>
        </is>
      </c>
      <c r="D2463" s="57" t="inlineStr">
        <is>
          <t>Open Field</t>
        </is>
      </c>
      <c r="E2463" s="57" t="inlineStr">
        <is>
          <t>Open field</t>
        </is>
      </c>
      <c r="F2463" s="57" t="inlineStr"/>
    </row>
    <row r="2464" ht="25" customHeight="1" s="55">
      <c r="A2464" s="57" t="inlineStr">
        <is>
          <t>Specific Gravity</t>
        </is>
      </c>
      <c r="B2464" s="57" t="n">
        <v>200</v>
      </c>
      <c r="C2464" s="57" t="inlineStr">
        <is>
          <t>Harvest</t>
        </is>
      </c>
      <c r="D2464" s="57" t="inlineStr">
        <is>
          <t>second</t>
        </is>
      </c>
      <c r="E2464" s="57" t="inlineStr">
        <is>
          <t>Second</t>
        </is>
      </c>
      <c r="F2464" s="57" t="inlineStr"/>
    </row>
    <row r="2465" ht="25" customHeight="1" s="55">
      <c r="A2465" s="57" t="inlineStr">
        <is>
          <t>Specific Gravity</t>
        </is>
      </c>
      <c r="B2465" s="57" t="n">
        <v>200</v>
      </c>
      <c r="C2465" s="57" t="inlineStr">
        <is>
          <t>Date of harvest</t>
        </is>
      </c>
      <c r="D2465" s="57" t="inlineStr"/>
      <c r="E2465" s="57" t="inlineStr">
        <is>
          <t>2026-08-11</t>
        </is>
      </c>
      <c r="F2465" s="57" t="inlineStr">
        <is>
          <t>forward_filled</t>
        </is>
      </c>
    </row>
    <row r="2466" ht="25" customHeight="1" s="55">
      <c r="A2466" s="57" t="inlineStr">
        <is>
          <t>Specific Gravity</t>
        </is>
      </c>
      <c r="B2466" s="57" t="n">
        <v>201</v>
      </c>
      <c r="C2466" s="57" t="inlineStr">
        <is>
          <t>Genotypes</t>
        </is>
      </c>
      <c r="D2466" s="57" t="inlineStr">
        <is>
          <t>NC 25317</t>
        </is>
      </c>
      <c r="E2466" s="57" t="inlineStr">
        <is>
          <t>NC25317</t>
        </is>
      </c>
      <c r="F2466" s="57" t="inlineStr"/>
    </row>
    <row r="2467" ht="25" customHeight="1" s="55">
      <c r="A2467" s="57" t="inlineStr">
        <is>
          <t>Specific Gravity</t>
        </is>
      </c>
      <c r="B2467" s="57" t="n">
        <v>201</v>
      </c>
      <c r="C2467" s="57" t="inlineStr">
        <is>
          <t>Location</t>
        </is>
      </c>
      <c r="D2467" s="57" t="inlineStr">
        <is>
          <t>Open Field</t>
        </is>
      </c>
      <c r="E2467" s="57" t="inlineStr">
        <is>
          <t>Open field</t>
        </is>
      </c>
      <c r="F2467" s="57" t="inlineStr"/>
    </row>
    <row r="2468" ht="25" customHeight="1" s="55">
      <c r="A2468" s="57" t="inlineStr">
        <is>
          <t>Specific Gravity</t>
        </is>
      </c>
      <c r="B2468" s="57" t="n">
        <v>201</v>
      </c>
      <c r="C2468" s="57" t="inlineStr">
        <is>
          <t>Harvest</t>
        </is>
      </c>
      <c r="D2468" s="57" t="inlineStr">
        <is>
          <t>second</t>
        </is>
      </c>
      <c r="E2468" s="57" t="inlineStr">
        <is>
          <t>Second</t>
        </is>
      </c>
      <c r="F2468" s="57" t="inlineStr"/>
    </row>
    <row r="2469" ht="25" customHeight="1" s="55">
      <c r="A2469" s="57" t="inlineStr">
        <is>
          <t>Specific Gravity</t>
        </is>
      </c>
      <c r="B2469" s="57" t="n">
        <v>201</v>
      </c>
      <c r="C2469" s="57" t="inlineStr">
        <is>
          <t>Date of harvest</t>
        </is>
      </c>
      <c r="D2469" s="57" t="inlineStr"/>
      <c r="E2469" s="57" t="inlineStr">
        <is>
          <t>2026-08-11</t>
        </is>
      </c>
      <c r="F2469" s="57" t="inlineStr">
        <is>
          <t>forward_filled</t>
        </is>
      </c>
    </row>
    <row r="2470" ht="25" customHeight="1" s="55">
      <c r="A2470" s="57" t="inlineStr">
        <is>
          <t>Specific Gravity</t>
        </is>
      </c>
      <c r="B2470" s="57" t="n">
        <v>202</v>
      </c>
      <c r="C2470" s="57" t="inlineStr">
        <is>
          <t>Genotypes</t>
        </is>
      </c>
      <c r="D2470" s="57" t="inlineStr">
        <is>
          <t xml:space="preserve">26-021 </t>
        </is>
      </c>
      <c r="E2470" s="57" t="inlineStr">
        <is>
          <t>UKYT-26-021</t>
        </is>
      </c>
      <c r="F2470" s="57" t="inlineStr"/>
    </row>
    <row r="2471" ht="25" customHeight="1" s="55">
      <c r="A2471" s="57" t="inlineStr">
        <is>
          <t>Specific Gravity</t>
        </is>
      </c>
      <c r="B2471" s="57" t="n">
        <v>202</v>
      </c>
      <c r="C2471" s="57" t="inlineStr">
        <is>
          <t>Location</t>
        </is>
      </c>
      <c r="D2471" s="57" t="inlineStr">
        <is>
          <t>Open Field</t>
        </is>
      </c>
      <c r="E2471" s="57" t="inlineStr">
        <is>
          <t>Open field</t>
        </is>
      </c>
      <c r="F2471" s="57" t="inlineStr"/>
    </row>
    <row r="2472" ht="25" customHeight="1" s="55">
      <c r="A2472" s="57" t="inlineStr">
        <is>
          <t>Specific Gravity</t>
        </is>
      </c>
      <c r="B2472" s="57" t="n">
        <v>202</v>
      </c>
      <c r="C2472" s="57" t="inlineStr">
        <is>
          <t>Harvest</t>
        </is>
      </c>
      <c r="D2472" s="57" t="inlineStr">
        <is>
          <t>second</t>
        </is>
      </c>
      <c r="E2472" s="57" t="inlineStr">
        <is>
          <t>Second</t>
        </is>
      </c>
      <c r="F2472" s="57" t="inlineStr"/>
    </row>
    <row r="2473" ht="25" customHeight="1" s="55">
      <c r="A2473" s="57" t="inlineStr">
        <is>
          <t>Specific Gravity</t>
        </is>
      </c>
      <c r="B2473" s="57" t="n">
        <v>202</v>
      </c>
      <c r="C2473" s="57" t="inlineStr">
        <is>
          <t>Date of harvest</t>
        </is>
      </c>
      <c r="D2473" s="57" t="inlineStr"/>
      <c r="E2473" s="57" t="inlineStr">
        <is>
          <t>2026-08-11</t>
        </is>
      </c>
      <c r="F2473" s="57" t="inlineStr">
        <is>
          <t>forward_filled</t>
        </is>
      </c>
    </row>
    <row r="2474" ht="25" customHeight="1" s="55">
      <c r="A2474" s="57" t="inlineStr">
        <is>
          <t>Specific Gravity</t>
        </is>
      </c>
      <c r="B2474" s="57" t="n">
        <v>203</v>
      </c>
      <c r="C2474" s="57" t="inlineStr">
        <is>
          <t>Genotypes</t>
        </is>
      </c>
      <c r="D2474" s="57" t="inlineStr">
        <is>
          <t>25-014</t>
        </is>
      </c>
      <c r="E2474" s="57" t="inlineStr">
        <is>
          <t>UKYT-25-014</t>
        </is>
      </c>
      <c r="F2474" s="57" t="inlineStr"/>
    </row>
    <row r="2475" ht="25" customHeight="1" s="55">
      <c r="A2475" s="57" t="inlineStr">
        <is>
          <t>Specific Gravity</t>
        </is>
      </c>
      <c r="B2475" s="57" t="n">
        <v>203</v>
      </c>
      <c r="C2475" s="57" t="inlineStr">
        <is>
          <t>Location</t>
        </is>
      </c>
      <c r="D2475" s="57" t="inlineStr">
        <is>
          <t>Open Field</t>
        </is>
      </c>
      <c r="E2475" s="57" t="inlineStr">
        <is>
          <t>Open field</t>
        </is>
      </c>
      <c r="F2475" s="57" t="inlineStr"/>
    </row>
    <row r="2476" ht="25" customHeight="1" s="55">
      <c r="A2476" s="57" t="inlineStr">
        <is>
          <t>Specific Gravity</t>
        </is>
      </c>
      <c r="B2476" s="57" t="n">
        <v>203</v>
      </c>
      <c r="C2476" s="57" t="inlineStr">
        <is>
          <t>Harvest</t>
        </is>
      </c>
      <c r="D2476" s="57" t="inlineStr">
        <is>
          <t>second</t>
        </is>
      </c>
      <c r="E2476" s="57" t="inlineStr">
        <is>
          <t>Second</t>
        </is>
      </c>
      <c r="F2476" s="57" t="inlineStr"/>
    </row>
    <row r="2477" ht="25" customHeight="1" s="55">
      <c r="A2477" s="57" t="inlineStr">
        <is>
          <t>Specific Gravity</t>
        </is>
      </c>
      <c r="B2477" s="57" t="n">
        <v>203</v>
      </c>
      <c r="C2477" s="57" t="inlineStr">
        <is>
          <t>Date of harvest</t>
        </is>
      </c>
      <c r="D2477" s="57" t="inlineStr"/>
      <c r="E2477" s="57" t="inlineStr">
        <is>
          <t>2026-08-11</t>
        </is>
      </c>
      <c r="F2477" s="57" t="inlineStr">
        <is>
          <t>forward_filled</t>
        </is>
      </c>
    </row>
    <row r="2478" ht="25" customHeight="1" s="55">
      <c r="A2478" s="57" t="inlineStr">
        <is>
          <t>Specific Gravity</t>
        </is>
      </c>
      <c r="B2478" s="57" t="n">
        <v>204</v>
      </c>
      <c r="C2478" s="57" t="inlineStr">
        <is>
          <t>Genotypes</t>
        </is>
      </c>
      <c r="D2478" s="57" t="inlineStr">
        <is>
          <t>25230 G</t>
        </is>
      </c>
      <c r="E2478" s="57" t="inlineStr">
        <is>
          <t>UKYT-25-230</t>
        </is>
      </c>
      <c r="F2478" s="57" t="inlineStr"/>
    </row>
    <row r="2479" ht="25" customHeight="1" s="55">
      <c r="A2479" s="57" t="inlineStr">
        <is>
          <t>Specific Gravity</t>
        </is>
      </c>
      <c r="B2479" s="57" t="n">
        <v>204</v>
      </c>
      <c r="C2479" s="57" t="inlineStr">
        <is>
          <t>Location</t>
        </is>
      </c>
      <c r="D2479" s="57" t="inlineStr">
        <is>
          <t>Open Field</t>
        </is>
      </c>
      <c r="E2479" s="57" t="inlineStr">
        <is>
          <t>Open field</t>
        </is>
      </c>
      <c r="F2479" s="57" t="inlineStr"/>
    </row>
    <row r="2480" ht="25" customHeight="1" s="55">
      <c r="A2480" s="57" t="inlineStr">
        <is>
          <t>Specific Gravity</t>
        </is>
      </c>
      <c r="B2480" s="57" t="n">
        <v>204</v>
      </c>
      <c r="C2480" s="57" t="inlineStr">
        <is>
          <t>Harvest</t>
        </is>
      </c>
      <c r="D2480" s="57" t="inlineStr">
        <is>
          <t>second</t>
        </is>
      </c>
      <c r="E2480" s="57" t="inlineStr">
        <is>
          <t>Second</t>
        </is>
      </c>
      <c r="F2480" s="57" t="inlineStr"/>
    </row>
    <row r="2481" ht="25" customHeight="1" s="55">
      <c r="A2481" s="57" t="inlineStr">
        <is>
          <t>Specific Gravity</t>
        </is>
      </c>
      <c r="B2481" s="57" t="n">
        <v>204</v>
      </c>
      <c r="C2481" s="57" t="inlineStr">
        <is>
          <t>Date of harvest</t>
        </is>
      </c>
      <c r="D2481" s="57" t="inlineStr"/>
      <c r="E2481" s="57" t="inlineStr">
        <is>
          <t>2026-08-11</t>
        </is>
      </c>
      <c r="F2481" s="57" t="inlineStr">
        <is>
          <t>forward_filled</t>
        </is>
      </c>
    </row>
    <row r="2482" ht="25" customHeight="1" s="55">
      <c r="A2482" s="57" t="inlineStr">
        <is>
          <t>Specific Gravity</t>
        </is>
      </c>
      <c r="B2482" s="57" t="n">
        <v>205</v>
      </c>
      <c r="C2482" s="57" t="inlineStr">
        <is>
          <t>Genotypes</t>
        </is>
      </c>
      <c r="D2482" s="57" t="inlineStr">
        <is>
          <t>26-028</t>
        </is>
      </c>
      <c r="E2482" s="57" t="inlineStr">
        <is>
          <t>UKYT-26-028</t>
        </is>
      </c>
      <c r="F2482" s="57" t="inlineStr"/>
    </row>
    <row r="2483" ht="25" customHeight="1" s="55">
      <c r="A2483" s="57" t="inlineStr">
        <is>
          <t>Specific Gravity</t>
        </is>
      </c>
      <c r="B2483" s="57" t="n">
        <v>205</v>
      </c>
      <c r="C2483" s="57" t="inlineStr">
        <is>
          <t>Location</t>
        </is>
      </c>
      <c r="D2483" s="57" t="inlineStr">
        <is>
          <t>Open Field</t>
        </is>
      </c>
      <c r="E2483" s="57" t="inlineStr">
        <is>
          <t>Open field</t>
        </is>
      </c>
      <c r="F2483" s="57" t="inlineStr"/>
    </row>
    <row r="2484" ht="25" customHeight="1" s="55">
      <c r="A2484" s="57" t="inlineStr">
        <is>
          <t>Specific Gravity</t>
        </is>
      </c>
      <c r="B2484" s="57" t="n">
        <v>205</v>
      </c>
      <c r="C2484" s="57" t="inlineStr">
        <is>
          <t>Harvest</t>
        </is>
      </c>
      <c r="D2484" s="57" t="inlineStr">
        <is>
          <t>second</t>
        </is>
      </c>
      <c r="E2484" s="57" t="inlineStr">
        <is>
          <t>Second</t>
        </is>
      </c>
      <c r="F2484" s="57" t="inlineStr"/>
    </row>
    <row r="2485" ht="25" customHeight="1" s="55">
      <c r="A2485" s="57" t="inlineStr">
        <is>
          <t>Specific Gravity</t>
        </is>
      </c>
      <c r="B2485" s="57" t="n">
        <v>205</v>
      </c>
      <c r="C2485" s="57" t="inlineStr">
        <is>
          <t>Date of harvest</t>
        </is>
      </c>
      <c r="D2485" s="57" t="inlineStr"/>
      <c r="E2485" s="57" t="inlineStr">
        <is>
          <t>2026-08-11</t>
        </is>
      </c>
      <c r="F2485" s="57" t="inlineStr">
        <is>
          <t>forward_filled</t>
        </is>
      </c>
    </row>
    <row r="2486" ht="25" customHeight="1" s="55">
      <c r="A2486" s="57" t="inlineStr">
        <is>
          <t>Specific Gravity</t>
        </is>
      </c>
      <c r="B2486" s="57" t="n">
        <v>207</v>
      </c>
      <c r="C2486" s="57" t="inlineStr">
        <is>
          <t>Genotypes</t>
        </is>
      </c>
      <c r="D2486" s="57" t="inlineStr">
        <is>
          <t>NC 25209 G</t>
        </is>
      </c>
      <c r="E2486" s="57" t="inlineStr">
        <is>
          <t>NC25209G</t>
        </is>
      </c>
      <c r="F2486" s="57" t="inlineStr"/>
    </row>
    <row r="2487" ht="25" customHeight="1" s="55">
      <c r="A2487" s="57" t="inlineStr">
        <is>
          <t>Specific Gravity</t>
        </is>
      </c>
      <c r="B2487" s="57" t="n">
        <v>207</v>
      </c>
      <c r="C2487" s="57" t="inlineStr">
        <is>
          <t>Location</t>
        </is>
      </c>
      <c r="D2487" s="57" t="inlineStr">
        <is>
          <t>Open Field</t>
        </is>
      </c>
      <c r="E2487" s="57" t="inlineStr">
        <is>
          <t>Open field</t>
        </is>
      </c>
      <c r="F2487" s="57" t="inlineStr"/>
    </row>
    <row r="2488" ht="25" customHeight="1" s="55">
      <c r="A2488" s="57" t="inlineStr">
        <is>
          <t>Specific Gravity</t>
        </is>
      </c>
      <c r="B2488" s="57" t="n">
        <v>207</v>
      </c>
      <c r="C2488" s="57" t="inlineStr">
        <is>
          <t>Harvest</t>
        </is>
      </c>
      <c r="D2488" s="57" t="inlineStr">
        <is>
          <t>second</t>
        </is>
      </c>
      <c r="E2488" s="57" t="inlineStr">
        <is>
          <t>Second</t>
        </is>
      </c>
      <c r="F2488" s="57" t="inlineStr"/>
    </row>
    <row r="2489" ht="25" customHeight="1" s="55">
      <c r="A2489" s="57" t="inlineStr">
        <is>
          <t>Specific Gravity</t>
        </is>
      </c>
      <c r="B2489" s="57" t="n">
        <v>207</v>
      </c>
      <c r="C2489" s="57" t="inlineStr">
        <is>
          <t>Date of harvest</t>
        </is>
      </c>
      <c r="D2489" s="57" t="inlineStr"/>
      <c r="E2489" s="57" t="inlineStr">
        <is>
          <t>2026-08-11</t>
        </is>
      </c>
      <c r="F2489" s="57" t="inlineStr">
        <is>
          <t>forward_filled</t>
        </is>
      </c>
    </row>
    <row r="2490" ht="25" customHeight="1" s="55">
      <c r="A2490" s="57" t="inlineStr">
        <is>
          <t>Specific Gravity</t>
        </is>
      </c>
      <c r="B2490" s="57" t="n">
        <v>208</v>
      </c>
      <c r="C2490" s="57" t="inlineStr">
        <is>
          <t>Genotypes</t>
        </is>
      </c>
      <c r="D2490" s="57" t="inlineStr">
        <is>
          <t>26-03</t>
        </is>
      </c>
      <c r="E2490" s="57" t="inlineStr">
        <is>
          <t>UKYT-26-003</t>
        </is>
      </c>
      <c r="F2490" s="57" t="inlineStr"/>
    </row>
    <row r="2491" ht="25" customHeight="1" s="55">
      <c r="A2491" s="57" t="inlineStr">
        <is>
          <t>Specific Gravity</t>
        </is>
      </c>
      <c r="B2491" s="57" t="n">
        <v>208</v>
      </c>
      <c r="C2491" s="57" t="inlineStr">
        <is>
          <t>Location</t>
        </is>
      </c>
      <c r="D2491" s="57" t="inlineStr">
        <is>
          <t>Open Field</t>
        </is>
      </c>
      <c r="E2491" s="57" t="inlineStr">
        <is>
          <t>Open field</t>
        </is>
      </c>
      <c r="F2491" s="57" t="inlineStr"/>
    </row>
    <row r="2492" ht="25" customHeight="1" s="55">
      <c r="A2492" s="57" t="inlineStr">
        <is>
          <t>Specific Gravity</t>
        </is>
      </c>
      <c r="B2492" s="57" t="n">
        <v>208</v>
      </c>
      <c r="C2492" s="57" t="inlineStr">
        <is>
          <t>Harvest</t>
        </is>
      </c>
      <c r="D2492" s="57" t="inlineStr">
        <is>
          <t>second</t>
        </is>
      </c>
      <c r="E2492" s="57" t="inlineStr">
        <is>
          <t>Second</t>
        </is>
      </c>
      <c r="F2492" s="57" t="inlineStr"/>
    </row>
    <row r="2493" ht="25" customHeight="1" s="55">
      <c r="A2493" s="57" t="inlineStr">
        <is>
          <t>Specific Gravity</t>
        </is>
      </c>
      <c r="B2493" s="57" t="n">
        <v>208</v>
      </c>
      <c r="C2493" s="57" t="inlineStr">
        <is>
          <t>Date of harvest</t>
        </is>
      </c>
      <c r="D2493" s="57" t="inlineStr"/>
      <c r="E2493" s="57" t="inlineStr">
        <is>
          <t>2026-08-11</t>
        </is>
      </c>
      <c r="F2493" s="57" t="inlineStr">
        <is>
          <t>forward_filled</t>
        </is>
      </c>
    </row>
    <row r="2494" ht="25" customHeight="1" s="55">
      <c r="A2494" s="57" t="inlineStr">
        <is>
          <t>Specific Gravity</t>
        </is>
      </c>
      <c r="B2494" s="57" t="n">
        <v>209</v>
      </c>
      <c r="C2494" s="57" t="inlineStr">
        <is>
          <t>Genotypes</t>
        </is>
      </c>
      <c r="D2494" s="57" t="inlineStr">
        <is>
          <t>PEACE VINE</t>
        </is>
      </c>
      <c r="E2494" s="57" t="inlineStr">
        <is>
          <t>Peace Vine</t>
        </is>
      </c>
      <c r="F2494" s="57" t="inlineStr"/>
    </row>
    <row r="2495" ht="25" customHeight="1" s="55">
      <c r="A2495" s="57" t="inlineStr">
        <is>
          <t>Specific Gravity</t>
        </is>
      </c>
      <c r="B2495" s="57" t="n">
        <v>209</v>
      </c>
      <c r="C2495" s="57" t="inlineStr">
        <is>
          <t>Location</t>
        </is>
      </c>
      <c r="D2495" s="57" t="inlineStr">
        <is>
          <t>Open Field</t>
        </is>
      </c>
      <c r="E2495" s="57" t="inlineStr">
        <is>
          <t>Open field</t>
        </is>
      </c>
      <c r="F2495" s="57" t="inlineStr"/>
    </row>
    <row r="2496" ht="25" customHeight="1" s="55">
      <c r="A2496" s="57" t="inlineStr">
        <is>
          <t>Specific Gravity</t>
        </is>
      </c>
      <c r="B2496" s="57" t="n">
        <v>209</v>
      </c>
      <c r="C2496" s="57" t="inlineStr">
        <is>
          <t>Harvest</t>
        </is>
      </c>
      <c r="D2496" s="57" t="inlineStr">
        <is>
          <t>second</t>
        </is>
      </c>
      <c r="E2496" s="57" t="inlineStr">
        <is>
          <t>Second</t>
        </is>
      </c>
      <c r="F2496" s="57" t="inlineStr"/>
    </row>
    <row r="2497" ht="25" customHeight="1" s="55">
      <c r="A2497" s="57" t="inlineStr">
        <is>
          <t>Specific Gravity</t>
        </is>
      </c>
      <c r="B2497" s="57" t="n">
        <v>209</v>
      </c>
      <c r="C2497" s="57" t="inlineStr">
        <is>
          <t>Date of harvest</t>
        </is>
      </c>
      <c r="D2497" s="57" t="inlineStr"/>
      <c r="E2497" s="57" t="inlineStr">
        <is>
          <t>2026-08-11</t>
        </is>
      </c>
      <c r="F2497" s="57" t="inlineStr">
        <is>
          <t>forward_filled</t>
        </is>
      </c>
    </row>
    <row r="2498" ht="25" customHeight="1" s="55">
      <c r="A2498" s="57" t="inlineStr">
        <is>
          <t>Specific Gravity</t>
        </is>
      </c>
      <c r="B2498" s="57" t="n">
        <v>210</v>
      </c>
      <c r="C2498" s="57" t="inlineStr">
        <is>
          <t>Genotypes</t>
        </is>
      </c>
      <c r="D2498" s="57" t="inlineStr">
        <is>
          <t>26-038</t>
        </is>
      </c>
      <c r="E2498" s="57" t="inlineStr">
        <is>
          <t>UKYT-26-038</t>
        </is>
      </c>
      <c r="F2498" s="57" t="inlineStr"/>
    </row>
    <row r="2499" ht="25" customHeight="1" s="55">
      <c r="A2499" s="57" t="inlineStr">
        <is>
          <t>Specific Gravity</t>
        </is>
      </c>
      <c r="B2499" s="57" t="n">
        <v>210</v>
      </c>
      <c r="C2499" s="57" t="inlineStr">
        <is>
          <t>Location</t>
        </is>
      </c>
      <c r="D2499" s="57" t="inlineStr">
        <is>
          <t>Open Field</t>
        </is>
      </c>
      <c r="E2499" s="57" t="inlineStr">
        <is>
          <t>Open field</t>
        </is>
      </c>
      <c r="F2499" s="57" t="inlineStr"/>
    </row>
    <row r="2500" ht="25" customHeight="1" s="55">
      <c r="A2500" s="57" t="inlineStr">
        <is>
          <t>Specific Gravity</t>
        </is>
      </c>
      <c r="B2500" s="57" t="n">
        <v>210</v>
      </c>
      <c r="C2500" s="57" t="inlineStr">
        <is>
          <t>Harvest</t>
        </is>
      </c>
      <c r="D2500" s="57" t="inlineStr">
        <is>
          <t>second</t>
        </is>
      </c>
      <c r="E2500" s="57" t="inlineStr">
        <is>
          <t>Second</t>
        </is>
      </c>
      <c r="F2500" s="57" t="inlineStr"/>
    </row>
    <row r="2501" ht="25" customHeight="1" s="55">
      <c r="A2501" s="57" t="inlineStr">
        <is>
          <t>Specific Gravity</t>
        </is>
      </c>
      <c r="B2501" s="57" t="n">
        <v>210</v>
      </c>
      <c r="C2501" s="57" t="inlineStr">
        <is>
          <t>Date of harvest</t>
        </is>
      </c>
      <c r="D2501" s="57" t="inlineStr"/>
      <c r="E2501" s="57" t="inlineStr">
        <is>
          <t>2026-08-11</t>
        </is>
      </c>
      <c r="F2501" s="57" t="inlineStr">
        <is>
          <t>forward_filled</t>
        </is>
      </c>
    </row>
    <row r="2502" ht="25" customHeight="1" s="55">
      <c r="A2502" s="57" t="inlineStr">
        <is>
          <t>Specific Gravity</t>
        </is>
      </c>
      <c r="B2502" s="57" t="n">
        <v>211</v>
      </c>
      <c r="C2502" s="57" t="inlineStr">
        <is>
          <t>Genotypes</t>
        </is>
      </c>
      <c r="D2502" s="57" t="inlineStr">
        <is>
          <t>NC 24271 G</t>
        </is>
      </c>
      <c r="E2502" s="57" t="inlineStr">
        <is>
          <t>NC24271G</t>
        </is>
      </c>
      <c r="F2502" s="57" t="inlineStr"/>
    </row>
    <row r="2503" ht="25" customHeight="1" s="55">
      <c r="A2503" s="57" t="inlineStr">
        <is>
          <t>Specific Gravity</t>
        </is>
      </c>
      <c r="B2503" s="57" t="n">
        <v>211</v>
      </c>
      <c r="C2503" s="57" t="inlineStr">
        <is>
          <t>Location</t>
        </is>
      </c>
      <c r="D2503" s="57" t="inlineStr">
        <is>
          <t>Open Field</t>
        </is>
      </c>
      <c r="E2503" s="57" t="inlineStr">
        <is>
          <t>Open field</t>
        </is>
      </c>
      <c r="F2503" s="57" t="inlineStr"/>
    </row>
    <row r="2504" ht="25" customHeight="1" s="55">
      <c r="A2504" s="57" t="inlineStr">
        <is>
          <t>Specific Gravity</t>
        </is>
      </c>
      <c r="B2504" s="57" t="n">
        <v>211</v>
      </c>
      <c r="C2504" s="57" t="inlineStr">
        <is>
          <t>Harvest</t>
        </is>
      </c>
      <c r="D2504" s="57" t="inlineStr">
        <is>
          <t>second</t>
        </is>
      </c>
      <c r="E2504" s="57" t="inlineStr">
        <is>
          <t>Second</t>
        </is>
      </c>
      <c r="F2504" s="57" t="inlineStr"/>
    </row>
    <row r="2505" ht="25" customHeight="1" s="55">
      <c r="A2505" s="57" t="inlineStr">
        <is>
          <t>Specific Gravity</t>
        </is>
      </c>
      <c r="B2505" s="57" t="n">
        <v>211</v>
      </c>
      <c r="C2505" s="57" t="inlineStr">
        <is>
          <t>Date of harvest</t>
        </is>
      </c>
      <c r="D2505" s="57" t="inlineStr"/>
      <c r="E2505" s="57" t="inlineStr">
        <is>
          <t>2026-08-11</t>
        </is>
      </c>
      <c r="F2505" s="57" t="inlineStr">
        <is>
          <t>forward_filled</t>
        </is>
      </c>
    </row>
    <row r="2506" ht="25" customHeight="1" s="55">
      <c r="A2506" s="57" t="inlineStr">
        <is>
          <t>Specific Gravity</t>
        </is>
      </c>
      <c r="B2506" s="57" t="n">
        <v>212</v>
      </c>
      <c r="C2506" s="57" t="inlineStr">
        <is>
          <t>Genotypes</t>
        </is>
      </c>
      <c r="D2506" s="57" t="inlineStr">
        <is>
          <t>26-032</t>
        </is>
      </c>
      <c r="E2506" s="57" t="inlineStr">
        <is>
          <t>UKYT-26-032</t>
        </is>
      </c>
      <c r="F2506" s="57" t="inlineStr"/>
    </row>
    <row r="2507" ht="25" customHeight="1" s="55">
      <c r="A2507" s="57" t="inlineStr">
        <is>
          <t>Specific Gravity</t>
        </is>
      </c>
      <c r="B2507" s="57" t="n">
        <v>212</v>
      </c>
      <c r="C2507" s="57" t="inlineStr">
        <is>
          <t>Location</t>
        </is>
      </c>
      <c r="D2507" s="57" t="inlineStr">
        <is>
          <t>Open Field</t>
        </is>
      </c>
      <c r="E2507" s="57" t="inlineStr">
        <is>
          <t>Open field</t>
        </is>
      </c>
      <c r="F2507" s="57" t="inlineStr"/>
    </row>
    <row r="2508" ht="25" customHeight="1" s="55">
      <c r="A2508" s="57" t="inlineStr">
        <is>
          <t>Specific Gravity</t>
        </is>
      </c>
      <c r="B2508" s="57" t="n">
        <v>212</v>
      </c>
      <c r="C2508" s="57" t="inlineStr">
        <is>
          <t>Harvest</t>
        </is>
      </c>
      <c r="D2508" s="57" t="inlineStr">
        <is>
          <t>second</t>
        </is>
      </c>
      <c r="E2508" s="57" t="inlineStr">
        <is>
          <t>Second</t>
        </is>
      </c>
      <c r="F2508" s="57" t="inlineStr"/>
    </row>
    <row r="2509" ht="25" customHeight="1" s="55">
      <c r="A2509" s="57" t="inlineStr">
        <is>
          <t>Specific Gravity</t>
        </is>
      </c>
      <c r="B2509" s="57" t="n">
        <v>213</v>
      </c>
      <c r="C2509" s="57" t="inlineStr">
        <is>
          <t>Genotypes</t>
        </is>
      </c>
      <c r="D2509" s="57" t="inlineStr">
        <is>
          <t>Mt. Fresh</t>
        </is>
      </c>
      <c r="E2509" s="57" t="inlineStr">
        <is>
          <t>Mountain Fresh</t>
        </is>
      </c>
      <c r="F2509" s="57" t="inlineStr"/>
    </row>
    <row r="2510" ht="25" customHeight="1" s="55">
      <c r="A2510" s="57" t="inlineStr">
        <is>
          <t>Specific Gravity</t>
        </is>
      </c>
      <c r="B2510" s="57" t="n">
        <v>213</v>
      </c>
      <c r="C2510" s="57" t="inlineStr">
        <is>
          <t>Location</t>
        </is>
      </c>
      <c r="D2510" s="57" t="inlineStr">
        <is>
          <t>Open Field</t>
        </is>
      </c>
      <c r="E2510" s="57" t="inlineStr">
        <is>
          <t>Open field</t>
        </is>
      </c>
      <c r="F2510" s="57" t="inlineStr"/>
    </row>
    <row r="2511" ht="25" customHeight="1" s="55">
      <c r="A2511" s="57" t="inlineStr">
        <is>
          <t>Specific Gravity</t>
        </is>
      </c>
      <c r="B2511" s="57" t="n">
        <v>213</v>
      </c>
      <c r="C2511" s="57" t="inlineStr">
        <is>
          <t>Harvest</t>
        </is>
      </c>
      <c r="D2511" s="57" t="inlineStr">
        <is>
          <t>second</t>
        </is>
      </c>
      <c r="E2511" s="57" t="inlineStr">
        <is>
          <t>Second</t>
        </is>
      </c>
      <c r="F2511" s="57" t="inlineStr"/>
    </row>
    <row r="2512" ht="25" customHeight="1" s="55">
      <c r="A2512" s="57" t="inlineStr">
        <is>
          <t>Specific Gravity</t>
        </is>
      </c>
      <c r="B2512" s="57" t="n">
        <v>214</v>
      </c>
      <c r="C2512" s="57" t="inlineStr">
        <is>
          <t>Genotypes</t>
        </is>
      </c>
      <c r="D2512" s="57" t="inlineStr">
        <is>
          <t>26-008</t>
        </is>
      </c>
      <c r="E2512" s="57" t="inlineStr">
        <is>
          <t>UKYT-26-008</t>
        </is>
      </c>
      <c r="F2512" s="57" t="inlineStr"/>
    </row>
    <row r="2513" ht="25" customHeight="1" s="55">
      <c r="A2513" s="57" t="inlineStr">
        <is>
          <t>Specific Gravity</t>
        </is>
      </c>
      <c r="B2513" s="57" t="n">
        <v>214</v>
      </c>
      <c r="C2513" s="57" t="inlineStr">
        <is>
          <t>Location</t>
        </is>
      </c>
      <c r="D2513" s="57" t="inlineStr">
        <is>
          <t>Open Field</t>
        </is>
      </c>
      <c r="E2513" s="57" t="inlineStr">
        <is>
          <t>Open field</t>
        </is>
      </c>
      <c r="F2513" s="57" t="inlineStr"/>
    </row>
    <row r="2514" ht="25" customHeight="1" s="55">
      <c r="A2514" s="57" t="inlineStr">
        <is>
          <t>Specific Gravity</t>
        </is>
      </c>
      <c r="B2514" s="57" t="n">
        <v>214</v>
      </c>
      <c r="C2514" s="57" t="inlineStr">
        <is>
          <t>Harvest</t>
        </is>
      </c>
      <c r="D2514" s="57" t="inlineStr">
        <is>
          <t>second</t>
        </is>
      </c>
      <c r="E2514" s="57" t="inlineStr">
        <is>
          <t>Second</t>
        </is>
      </c>
      <c r="F2514" s="57" t="inlineStr"/>
    </row>
    <row r="2515" ht="25" customHeight="1" s="55">
      <c r="A2515" s="57" t="inlineStr">
        <is>
          <t>Specific Gravity</t>
        </is>
      </c>
      <c r="B2515" s="57" t="n">
        <v>215</v>
      </c>
      <c r="C2515" s="57" t="inlineStr">
        <is>
          <t>Genotypes</t>
        </is>
      </c>
      <c r="D2515" s="57" t="inlineStr">
        <is>
          <t>26-038</t>
        </is>
      </c>
      <c r="E2515" s="57" t="inlineStr">
        <is>
          <t>UKYT-26-038</t>
        </is>
      </c>
      <c r="F2515" s="57" t="inlineStr"/>
    </row>
    <row r="2516" ht="25" customHeight="1" s="55">
      <c r="A2516" s="57" t="inlineStr">
        <is>
          <t>Specific Gravity</t>
        </is>
      </c>
      <c r="B2516" s="57" t="n">
        <v>215</v>
      </c>
      <c r="C2516" s="57" t="inlineStr">
        <is>
          <t>Location</t>
        </is>
      </c>
      <c r="D2516" s="57" t="inlineStr">
        <is>
          <t>Open Field</t>
        </is>
      </c>
      <c r="E2516" s="57" t="inlineStr">
        <is>
          <t>Open field</t>
        </is>
      </c>
      <c r="F2516" s="57" t="inlineStr"/>
    </row>
    <row r="2517" ht="25" customHeight="1" s="55">
      <c r="A2517" s="57" t="inlineStr">
        <is>
          <t>Specific Gravity</t>
        </is>
      </c>
      <c r="B2517" s="57" t="n">
        <v>215</v>
      </c>
      <c r="C2517" s="57" t="inlineStr">
        <is>
          <t>Harvest</t>
        </is>
      </c>
      <c r="D2517" s="57" t="inlineStr">
        <is>
          <t>second</t>
        </is>
      </c>
      <c r="E2517" s="57" t="inlineStr">
        <is>
          <t>Second</t>
        </is>
      </c>
      <c r="F2517" s="57" t="inlineStr"/>
    </row>
    <row r="2518" ht="25" customHeight="1" s="55">
      <c r="A2518" s="57" t="inlineStr">
        <is>
          <t>Specific Gravity</t>
        </is>
      </c>
      <c r="B2518" s="57" t="n">
        <v>216</v>
      </c>
      <c r="C2518" s="57" t="inlineStr">
        <is>
          <t>Genotypes</t>
        </is>
      </c>
      <c r="D2518" s="57" t="inlineStr">
        <is>
          <t>Peachvine Ch.</t>
        </is>
      </c>
      <c r="E2518" s="57" t="inlineStr">
        <is>
          <t>Peace Vine</t>
        </is>
      </c>
      <c r="F2518" s="57" t="inlineStr"/>
    </row>
    <row r="2519" ht="25" customHeight="1" s="55">
      <c r="A2519" s="57" t="inlineStr">
        <is>
          <t>Specific Gravity</t>
        </is>
      </c>
      <c r="B2519" s="57" t="n">
        <v>216</v>
      </c>
      <c r="C2519" s="57" t="inlineStr">
        <is>
          <t>Location</t>
        </is>
      </c>
      <c r="D2519" s="57" t="inlineStr">
        <is>
          <t>Open Field</t>
        </is>
      </c>
      <c r="E2519" s="57" t="inlineStr">
        <is>
          <t>Open field</t>
        </is>
      </c>
      <c r="F2519" s="57" t="inlineStr"/>
    </row>
    <row r="2520" ht="25" customHeight="1" s="55">
      <c r="A2520" s="57" t="inlineStr">
        <is>
          <t>Specific Gravity</t>
        </is>
      </c>
      <c r="B2520" s="57" t="n">
        <v>216</v>
      </c>
      <c r="C2520" s="57" t="inlineStr">
        <is>
          <t>Harvest</t>
        </is>
      </c>
      <c r="D2520" s="57" t="inlineStr">
        <is>
          <t>second</t>
        </is>
      </c>
      <c r="E2520" s="57" t="inlineStr">
        <is>
          <t>Second</t>
        </is>
      </c>
      <c r="F2520" s="57" t="inlineStr"/>
    </row>
    <row r="2521" ht="25" customHeight="1" s="55">
      <c r="A2521" s="57" t="inlineStr">
        <is>
          <t>Specific Gravity</t>
        </is>
      </c>
      <c r="B2521" s="57" t="n">
        <v>217</v>
      </c>
      <c r="C2521" s="57" t="inlineStr">
        <is>
          <t>Genotypes</t>
        </is>
      </c>
      <c r="D2521" s="57" t="inlineStr">
        <is>
          <t>26-037</t>
        </is>
      </c>
      <c r="E2521" s="57" t="inlineStr">
        <is>
          <t>UKYT-26-037</t>
        </is>
      </c>
      <c r="F2521" s="57" t="inlineStr"/>
    </row>
    <row r="2522" ht="25" customHeight="1" s="55">
      <c r="A2522" s="57" t="inlineStr">
        <is>
          <t>Specific Gravity</t>
        </is>
      </c>
      <c r="B2522" s="57" t="n">
        <v>217</v>
      </c>
      <c r="C2522" s="57" t="inlineStr">
        <is>
          <t>Location</t>
        </is>
      </c>
      <c r="D2522" s="57" t="inlineStr">
        <is>
          <t>Open Field</t>
        </is>
      </c>
      <c r="E2522" s="57" t="inlineStr">
        <is>
          <t>Open field</t>
        </is>
      </c>
      <c r="F2522" s="57" t="inlineStr"/>
    </row>
    <row r="2523" ht="25" customHeight="1" s="55">
      <c r="A2523" s="57" t="inlineStr">
        <is>
          <t>Specific Gravity</t>
        </is>
      </c>
      <c r="B2523" s="57" t="n">
        <v>217</v>
      </c>
      <c r="C2523" s="57" t="inlineStr">
        <is>
          <t>Harvest</t>
        </is>
      </c>
      <c r="D2523" s="57" t="inlineStr">
        <is>
          <t>second</t>
        </is>
      </c>
      <c r="E2523" s="57" t="inlineStr">
        <is>
          <t>Second</t>
        </is>
      </c>
      <c r="F2523" s="57" t="inlineStr"/>
    </row>
    <row r="2524" ht="25" customHeight="1" s="55">
      <c r="A2524" s="57" t="inlineStr">
        <is>
          <t>Specific Gravity</t>
        </is>
      </c>
      <c r="B2524" s="57" t="n">
        <v>218</v>
      </c>
      <c r="C2524" s="57" t="inlineStr">
        <is>
          <t>Genotypes</t>
        </is>
      </c>
      <c r="D2524" s="57" t="inlineStr">
        <is>
          <t>26-013</t>
        </is>
      </c>
      <c r="E2524" s="57" t="inlineStr">
        <is>
          <t>UKYT-26-013</t>
        </is>
      </c>
      <c r="F2524" s="57" t="inlineStr"/>
    </row>
    <row r="2525" ht="25" customHeight="1" s="55">
      <c r="A2525" s="57" t="inlineStr">
        <is>
          <t>Specific Gravity</t>
        </is>
      </c>
      <c r="B2525" s="57" t="n">
        <v>218</v>
      </c>
      <c r="C2525" s="57" t="inlineStr">
        <is>
          <t>Location</t>
        </is>
      </c>
      <c r="D2525" s="57" t="inlineStr">
        <is>
          <t>Open Field</t>
        </is>
      </c>
      <c r="E2525" s="57" t="inlineStr">
        <is>
          <t>Open field</t>
        </is>
      </c>
      <c r="F2525" s="57" t="inlineStr"/>
    </row>
    <row r="2526" ht="25" customHeight="1" s="55">
      <c r="A2526" s="57" t="inlineStr">
        <is>
          <t>Specific Gravity</t>
        </is>
      </c>
      <c r="B2526" s="57" t="n">
        <v>218</v>
      </c>
      <c r="C2526" s="57" t="inlineStr">
        <is>
          <t>Harvest</t>
        </is>
      </c>
      <c r="D2526" s="57" t="inlineStr">
        <is>
          <t>second</t>
        </is>
      </c>
      <c r="E2526" s="57" t="inlineStr">
        <is>
          <t>Second</t>
        </is>
      </c>
      <c r="F2526" s="57" t="inlineStr"/>
    </row>
    <row r="2527" ht="25" customHeight="1" s="55">
      <c r="A2527" s="57" t="inlineStr">
        <is>
          <t>Specific Gravity</t>
        </is>
      </c>
      <c r="B2527" s="57" t="n">
        <v>219</v>
      </c>
      <c r="C2527" s="57" t="inlineStr">
        <is>
          <t>Genotypes</t>
        </is>
      </c>
      <c r="D2527" s="57" t="inlineStr">
        <is>
          <t>Maglia Rosa Ch</t>
        </is>
      </c>
      <c r="E2527" s="57" t="inlineStr">
        <is>
          <t>Maglia Rosa Cherry</t>
        </is>
      </c>
      <c r="F2527" s="57" t="inlineStr"/>
    </row>
    <row r="2528" ht="25" customHeight="1" s="55">
      <c r="A2528" s="57" t="inlineStr">
        <is>
          <t>Specific Gravity</t>
        </is>
      </c>
      <c r="B2528" s="57" t="n">
        <v>219</v>
      </c>
      <c r="C2528" s="57" t="inlineStr">
        <is>
          <t>Location</t>
        </is>
      </c>
      <c r="D2528" s="57" t="inlineStr">
        <is>
          <t>Open Field</t>
        </is>
      </c>
      <c r="E2528" s="57" t="inlineStr">
        <is>
          <t>Open field</t>
        </is>
      </c>
      <c r="F2528" s="57" t="inlineStr"/>
    </row>
    <row r="2529" ht="25" customHeight="1" s="55">
      <c r="A2529" s="57" t="inlineStr">
        <is>
          <t>Specific Gravity</t>
        </is>
      </c>
      <c r="B2529" s="57" t="n">
        <v>219</v>
      </c>
      <c r="C2529" s="57" t="inlineStr">
        <is>
          <t>Harvest</t>
        </is>
      </c>
      <c r="D2529" s="57" t="inlineStr">
        <is>
          <t>second</t>
        </is>
      </c>
      <c r="E2529" s="57" t="inlineStr">
        <is>
          <t>Second</t>
        </is>
      </c>
      <c r="F2529" s="57" t="inlineStr"/>
    </row>
    <row r="2530" ht="25" customHeight="1" s="55">
      <c r="A2530" s="57" t="inlineStr">
        <is>
          <t>Specific Gravity</t>
        </is>
      </c>
      <c r="B2530" s="57" t="n">
        <v>220</v>
      </c>
      <c r="C2530" s="57" t="inlineStr">
        <is>
          <t>Genotypes</t>
        </is>
      </c>
      <c r="D2530" s="57" t="inlineStr">
        <is>
          <t>25-005</t>
        </is>
      </c>
      <c r="E2530" s="57" t="inlineStr">
        <is>
          <t>UKYT-25-005</t>
        </is>
      </c>
      <c r="F2530" s="57" t="inlineStr"/>
    </row>
    <row r="2531" ht="25" customHeight="1" s="55">
      <c r="A2531" s="57" t="inlineStr">
        <is>
          <t>Specific Gravity</t>
        </is>
      </c>
      <c r="B2531" s="57" t="n">
        <v>220</v>
      </c>
      <c r="C2531" s="57" t="inlineStr">
        <is>
          <t>Location</t>
        </is>
      </c>
      <c r="D2531" s="57" t="inlineStr">
        <is>
          <t>Open Field</t>
        </is>
      </c>
      <c r="E2531" s="57" t="inlineStr">
        <is>
          <t>Open field</t>
        </is>
      </c>
      <c r="F2531" s="57" t="inlineStr"/>
    </row>
    <row r="2532" ht="25" customHeight="1" s="55">
      <c r="A2532" s="57" t="inlineStr">
        <is>
          <t>Specific Gravity</t>
        </is>
      </c>
      <c r="B2532" s="57" t="n">
        <v>220</v>
      </c>
      <c r="C2532" s="57" t="inlineStr">
        <is>
          <t>Harvest</t>
        </is>
      </c>
      <c r="D2532" s="57" t="inlineStr">
        <is>
          <t>second</t>
        </is>
      </c>
      <c r="E2532" s="57" t="inlineStr">
        <is>
          <t>Second</t>
        </is>
      </c>
      <c r="F2532" s="57" t="inlineStr"/>
    </row>
    <row r="2533" ht="25" customHeight="1" s="55">
      <c r="A2533" s="57" t="inlineStr">
        <is>
          <t>Specific Gravity</t>
        </is>
      </c>
      <c r="B2533" s="57" t="n">
        <v>221</v>
      </c>
      <c r="C2533" s="57" t="inlineStr">
        <is>
          <t>Genotypes</t>
        </is>
      </c>
      <c r="D2533" s="57" t="inlineStr">
        <is>
          <t>26-024</t>
        </is>
      </c>
      <c r="E2533" s="57" t="inlineStr">
        <is>
          <t>UKYT-26-024</t>
        </is>
      </c>
      <c r="F2533" s="57" t="inlineStr"/>
    </row>
    <row r="2534" ht="25" customHeight="1" s="55">
      <c r="A2534" s="57" t="inlineStr">
        <is>
          <t>Specific Gravity</t>
        </is>
      </c>
      <c r="B2534" s="57" t="n">
        <v>221</v>
      </c>
      <c r="C2534" s="57" t="inlineStr">
        <is>
          <t>Location</t>
        </is>
      </c>
      <c r="D2534" s="57" t="inlineStr">
        <is>
          <t>Open Field</t>
        </is>
      </c>
      <c r="E2534" s="57" t="inlineStr">
        <is>
          <t>Open field</t>
        </is>
      </c>
      <c r="F2534" s="57" t="inlineStr"/>
    </row>
    <row r="2535" ht="25" customHeight="1" s="55">
      <c r="A2535" s="57" t="inlineStr">
        <is>
          <t>Specific Gravity</t>
        </is>
      </c>
      <c r="B2535" s="57" t="n">
        <v>221</v>
      </c>
      <c r="C2535" s="57" t="inlineStr">
        <is>
          <t>Harvest</t>
        </is>
      </c>
      <c r="D2535" s="57" t="inlineStr">
        <is>
          <t>second</t>
        </is>
      </c>
      <c r="E2535" s="57" t="inlineStr">
        <is>
          <t>Second</t>
        </is>
      </c>
      <c r="F2535" s="57" t="inlineStr"/>
    </row>
    <row r="2536" ht="25" customHeight="1" s="55">
      <c r="A2536" s="57" t="inlineStr">
        <is>
          <t>Specific Gravity</t>
        </is>
      </c>
      <c r="B2536" s="57" t="n">
        <v>222</v>
      </c>
      <c r="C2536" s="57" t="inlineStr">
        <is>
          <t>Genotypes</t>
        </is>
      </c>
      <c r="D2536" s="57" t="inlineStr">
        <is>
          <t>26-032</t>
        </is>
      </c>
      <c r="E2536" s="57" t="inlineStr">
        <is>
          <t>UKYT-26-032</t>
        </is>
      </c>
      <c r="F2536" s="57" t="inlineStr"/>
    </row>
    <row r="2537" ht="25" customHeight="1" s="55">
      <c r="A2537" s="57" t="inlineStr">
        <is>
          <t>Specific Gravity</t>
        </is>
      </c>
      <c r="B2537" s="57" t="n">
        <v>222</v>
      </c>
      <c r="C2537" s="57" t="inlineStr">
        <is>
          <t>Location</t>
        </is>
      </c>
      <c r="D2537" s="57" t="inlineStr">
        <is>
          <t>Open Field</t>
        </is>
      </c>
      <c r="E2537" s="57" t="inlineStr">
        <is>
          <t>Open field</t>
        </is>
      </c>
      <c r="F2537" s="57" t="inlineStr"/>
    </row>
    <row r="2538" ht="25" customHeight="1" s="55">
      <c r="A2538" s="57" t="inlineStr">
        <is>
          <t>Specific Gravity</t>
        </is>
      </c>
      <c r="B2538" s="57" t="n">
        <v>222</v>
      </c>
      <c r="C2538" s="57" t="inlineStr">
        <is>
          <t>Harvest</t>
        </is>
      </c>
      <c r="D2538" s="57" t="inlineStr">
        <is>
          <t>second</t>
        </is>
      </c>
      <c r="E2538" s="57" t="inlineStr">
        <is>
          <t>Second</t>
        </is>
      </c>
      <c r="F2538" s="57" t="inlineStr"/>
    </row>
    <row r="2539" ht="25" customHeight="1" s="55">
      <c r="A2539" s="57" t="inlineStr">
        <is>
          <t>Specific Gravity</t>
        </is>
      </c>
      <c r="B2539" s="57" t="n">
        <v>223</v>
      </c>
      <c r="C2539" s="57" t="inlineStr">
        <is>
          <t>Genotypes</t>
        </is>
      </c>
      <c r="D2539" s="57" t="inlineStr">
        <is>
          <t>26-037</t>
        </is>
      </c>
      <c r="E2539" s="57" t="inlineStr">
        <is>
          <t>UKYT-26-037</t>
        </is>
      </c>
      <c r="F2539" s="57" t="inlineStr"/>
    </row>
    <row r="2540" ht="25" customHeight="1" s="55">
      <c r="A2540" s="57" t="inlineStr">
        <is>
          <t>Specific Gravity</t>
        </is>
      </c>
      <c r="B2540" s="57" t="n">
        <v>223</v>
      </c>
      <c r="C2540" s="57" t="inlineStr">
        <is>
          <t>Location</t>
        </is>
      </c>
      <c r="D2540" s="57" t="inlineStr">
        <is>
          <t>Open Field</t>
        </is>
      </c>
      <c r="E2540" s="57" t="inlineStr">
        <is>
          <t>Open field</t>
        </is>
      </c>
      <c r="F2540" s="57" t="inlineStr"/>
    </row>
    <row r="2541" ht="25" customHeight="1" s="55">
      <c r="A2541" s="57" t="inlineStr">
        <is>
          <t>Specific Gravity</t>
        </is>
      </c>
      <c r="B2541" s="57" t="n">
        <v>223</v>
      </c>
      <c r="C2541" s="57" t="inlineStr">
        <is>
          <t>Harvest</t>
        </is>
      </c>
      <c r="D2541" s="57" t="inlineStr">
        <is>
          <t>second</t>
        </is>
      </c>
      <c r="E2541" s="57" t="inlineStr">
        <is>
          <t>Second</t>
        </is>
      </c>
      <c r="F2541" s="57" t="inlineStr"/>
    </row>
    <row r="2542" ht="25" customHeight="1" s="55">
      <c r="A2542" s="57" t="inlineStr">
        <is>
          <t>Specific Gravity</t>
        </is>
      </c>
      <c r="B2542" s="57" t="n">
        <v>224</v>
      </c>
      <c r="C2542" s="57" t="inlineStr">
        <is>
          <t>Genotypes</t>
        </is>
      </c>
      <c r="D2542" s="57" t="inlineStr">
        <is>
          <t>26-026</t>
        </is>
      </c>
      <c r="E2542" s="57" t="inlineStr">
        <is>
          <t>UKYT-26-026</t>
        </is>
      </c>
      <c r="F2542" s="57" t="inlineStr"/>
    </row>
    <row r="2543" ht="25" customHeight="1" s="55">
      <c r="A2543" s="57" t="inlineStr">
        <is>
          <t>Specific Gravity</t>
        </is>
      </c>
      <c r="B2543" s="57" t="n">
        <v>224</v>
      </c>
      <c r="C2543" s="57" t="inlineStr">
        <is>
          <t>Location</t>
        </is>
      </c>
      <c r="D2543" s="57" t="inlineStr">
        <is>
          <t>Open Field</t>
        </is>
      </c>
      <c r="E2543" s="57" t="inlineStr">
        <is>
          <t>Open field</t>
        </is>
      </c>
      <c r="F2543" s="57" t="inlineStr"/>
    </row>
    <row r="2544" ht="25" customHeight="1" s="55">
      <c r="A2544" s="57" t="inlineStr">
        <is>
          <t>Specific Gravity</t>
        </is>
      </c>
      <c r="B2544" s="57" t="n">
        <v>224</v>
      </c>
      <c r="C2544" s="57" t="inlineStr">
        <is>
          <t>Harvest</t>
        </is>
      </c>
      <c r="D2544" s="57" t="inlineStr">
        <is>
          <t>second</t>
        </is>
      </c>
      <c r="E2544" s="57" t="inlineStr">
        <is>
          <t>Second</t>
        </is>
      </c>
      <c r="F2544" s="57" t="inlineStr"/>
    </row>
    <row r="2545" ht="25" customHeight="1" s="55">
      <c r="A2545" s="57" t="inlineStr">
        <is>
          <t>Specific Gravity</t>
        </is>
      </c>
      <c r="B2545" s="57" t="n">
        <v>225</v>
      </c>
      <c r="C2545" s="57" t="inlineStr">
        <is>
          <t>Genotypes</t>
        </is>
      </c>
      <c r="D2545" s="57" t="inlineStr">
        <is>
          <t>26-034</t>
        </is>
      </c>
      <c r="E2545" s="57" t="inlineStr">
        <is>
          <t>UKYT-26-034</t>
        </is>
      </c>
      <c r="F2545" s="57" t="inlineStr"/>
    </row>
    <row r="2546" ht="25" customHeight="1" s="55">
      <c r="A2546" s="57" t="inlineStr">
        <is>
          <t>Specific Gravity</t>
        </is>
      </c>
      <c r="B2546" s="57" t="n">
        <v>225</v>
      </c>
      <c r="C2546" s="57" t="inlineStr">
        <is>
          <t>Location</t>
        </is>
      </c>
      <c r="D2546" s="57" t="inlineStr">
        <is>
          <t>Open Field</t>
        </is>
      </c>
      <c r="E2546" s="57" t="inlineStr">
        <is>
          <t>Open field</t>
        </is>
      </c>
      <c r="F2546" s="57" t="inlineStr"/>
    </row>
    <row r="2547" ht="25" customHeight="1" s="55">
      <c r="A2547" s="57" t="inlineStr">
        <is>
          <t>Specific Gravity</t>
        </is>
      </c>
      <c r="B2547" s="57" t="n">
        <v>225</v>
      </c>
      <c r="C2547" s="57" t="inlineStr">
        <is>
          <t>Harvest</t>
        </is>
      </c>
      <c r="D2547" s="57" t="inlineStr">
        <is>
          <t>second</t>
        </is>
      </c>
      <c r="E2547" s="57" t="inlineStr">
        <is>
          <t>Second</t>
        </is>
      </c>
      <c r="F2547" s="57" t="inlineStr"/>
    </row>
    <row r="2548" ht="25" customHeight="1" s="55">
      <c r="A2548" s="57" t="inlineStr">
        <is>
          <t>Specific Gravity</t>
        </is>
      </c>
      <c r="B2548" s="57" t="n">
        <v>226</v>
      </c>
      <c r="C2548" s="57" t="inlineStr">
        <is>
          <t>Genotypes</t>
        </is>
      </c>
      <c r="D2548" s="57" t="inlineStr">
        <is>
          <t>26-007</t>
        </is>
      </c>
      <c r="E2548" s="57" t="inlineStr">
        <is>
          <t>UKYT-26-007</t>
        </is>
      </c>
      <c r="F2548" s="57" t="inlineStr"/>
    </row>
    <row r="2549" ht="25" customHeight="1" s="55">
      <c r="A2549" s="57" t="inlineStr">
        <is>
          <t>Specific Gravity</t>
        </is>
      </c>
      <c r="B2549" s="57" t="n">
        <v>226</v>
      </c>
      <c r="C2549" s="57" t="inlineStr">
        <is>
          <t>Location</t>
        </is>
      </c>
      <c r="D2549" s="57" t="inlineStr">
        <is>
          <t>Open Field</t>
        </is>
      </c>
      <c r="E2549" s="57" t="inlineStr">
        <is>
          <t>Open field</t>
        </is>
      </c>
      <c r="F2549" s="57" t="inlineStr"/>
    </row>
    <row r="2550" ht="25" customHeight="1" s="55">
      <c r="A2550" s="57" t="inlineStr">
        <is>
          <t>Specific Gravity</t>
        </is>
      </c>
      <c r="B2550" s="57" t="n">
        <v>226</v>
      </c>
      <c r="C2550" s="57" t="inlineStr">
        <is>
          <t>Harvest</t>
        </is>
      </c>
      <c r="D2550" s="57" t="inlineStr">
        <is>
          <t>second</t>
        </is>
      </c>
      <c r="E2550" s="57" t="inlineStr">
        <is>
          <t>Second</t>
        </is>
      </c>
      <c r="F2550" s="57" t="inlineStr"/>
    </row>
    <row r="2551" ht="25" customHeight="1" s="55">
      <c r="A2551" s="57" t="inlineStr">
        <is>
          <t>Specific Gravity</t>
        </is>
      </c>
      <c r="B2551" s="57" t="n">
        <v>227</v>
      </c>
      <c r="C2551" s="57" t="inlineStr">
        <is>
          <t>Genotypes</t>
        </is>
      </c>
      <c r="D2551" s="57" t="inlineStr">
        <is>
          <t>26-033</t>
        </is>
      </c>
      <c r="E2551" s="57" t="inlineStr">
        <is>
          <t>UKYT-26-033</t>
        </is>
      </c>
      <c r="F2551" s="57" t="inlineStr"/>
    </row>
    <row r="2552" ht="25" customHeight="1" s="55">
      <c r="A2552" s="57" t="inlineStr">
        <is>
          <t>Specific Gravity</t>
        </is>
      </c>
      <c r="B2552" s="57" t="n">
        <v>227</v>
      </c>
      <c r="C2552" s="57" t="inlineStr">
        <is>
          <t>Location</t>
        </is>
      </c>
      <c r="D2552" s="57" t="inlineStr">
        <is>
          <t>Open Field</t>
        </is>
      </c>
      <c r="E2552" s="57" t="inlineStr">
        <is>
          <t>Open field</t>
        </is>
      </c>
      <c r="F2552" s="57" t="inlineStr"/>
    </row>
    <row r="2553" ht="25" customHeight="1" s="55">
      <c r="A2553" s="57" t="inlineStr">
        <is>
          <t>Specific Gravity</t>
        </is>
      </c>
      <c r="B2553" s="57" t="n">
        <v>227</v>
      </c>
      <c r="C2553" s="57" t="inlineStr">
        <is>
          <t>Harvest</t>
        </is>
      </c>
      <c r="D2553" s="57" t="inlineStr">
        <is>
          <t>second</t>
        </is>
      </c>
      <c r="E2553" s="57" t="inlineStr">
        <is>
          <t>Second</t>
        </is>
      </c>
      <c r="F2553" s="57" t="inlineStr"/>
    </row>
    <row r="2554" ht="25" customHeight="1" s="55">
      <c r="A2554" s="57" t="inlineStr">
        <is>
          <t>Specific Gravity</t>
        </is>
      </c>
      <c r="B2554" s="57" t="n">
        <v>228</v>
      </c>
      <c r="C2554" s="57" t="inlineStr">
        <is>
          <t>Genotypes</t>
        </is>
      </c>
      <c r="D2554" s="57" t="inlineStr">
        <is>
          <t>26-019</t>
        </is>
      </c>
      <c r="E2554" s="57" t="inlineStr">
        <is>
          <t>UKYT-26-019</t>
        </is>
      </c>
      <c r="F2554" s="57" t="inlineStr"/>
    </row>
    <row r="2555" ht="25" customHeight="1" s="55">
      <c r="A2555" s="57" t="inlineStr">
        <is>
          <t>Specific Gravity</t>
        </is>
      </c>
      <c r="B2555" s="57" t="n">
        <v>228</v>
      </c>
      <c r="C2555" s="57" t="inlineStr">
        <is>
          <t>Location</t>
        </is>
      </c>
      <c r="D2555" s="57" t="inlineStr">
        <is>
          <t>Open Field</t>
        </is>
      </c>
      <c r="E2555" s="57" t="inlineStr">
        <is>
          <t>Open field</t>
        </is>
      </c>
      <c r="F2555" s="57" t="inlineStr"/>
    </row>
    <row r="2556" ht="25" customHeight="1" s="55">
      <c r="A2556" s="57" t="inlineStr">
        <is>
          <t>Specific Gravity</t>
        </is>
      </c>
      <c r="B2556" s="57" t="n">
        <v>228</v>
      </c>
      <c r="C2556" s="57" t="inlineStr">
        <is>
          <t>Harvest</t>
        </is>
      </c>
      <c r="D2556" s="57" t="inlineStr">
        <is>
          <t>second</t>
        </is>
      </c>
      <c r="E2556" s="57" t="inlineStr">
        <is>
          <t>Second</t>
        </is>
      </c>
      <c r="F2556" s="57" t="inlineStr"/>
    </row>
    <row r="2557" ht="25" customHeight="1" s="55">
      <c r="A2557" s="57" t="inlineStr">
        <is>
          <t>Specific Gravity</t>
        </is>
      </c>
      <c r="B2557" s="57" t="n">
        <v>229</v>
      </c>
      <c r="C2557" s="57" t="inlineStr">
        <is>
          <t>Genotypes</t>
        </is>
      </c>
      <c r="D2557" s="57" t="inlineStr">
        <is>
          <t>26-036 R2</t>
        </is>
      </c>
      <c r="E2557" s="57" t="inlineStr">
        <is>
          <t>UKYT-26-036</t>
        </is>
      </c>
      <c r="F2557" s="57" t="inlineStr"/>
    </row>
    <row r="2558" ht="25" customHeight="1" s="55">
      <c r="A2558" s="57" t="inlineStr">
        <is>
          <t>Specific Gravity</t>
        </is>
      </c>
      <c r="B2558" s="57" t="n">
        <v>229</v>
      </c>
      <c r="C2558" s="57" t="inlineStr">
        <is>
          <t>Location</t>
        </is>
      </c>
      <c r="D2558" s="57" t="inlineStr">
        <is>
          <t>Open Field</t>
        </is>
      </c>
      <c r="E2558" s="57" t="inlineStr">
        <is>
          <t>Open field</t>
        </is>
      </c>
      <c r="F2558" s="57" t="inlineStr"/>
    </row>
    <row r="2559" ht="25" customHeight="1" s="55">
      <c r="A2559" s="57" t="inlineStr">
        <is>
          <t>Specific Gravity</t>
        </is>
      </c>
      <c r="B2559" s="57" t="n">
        <v>229</v>
      </c>
      <c r="C2559" s="57" t="inlineStr">
        <is>
          <t>Harvest</t>
        </is>
      </c>
      <c r="D2559" s="57" t="inlineStr">
        <is>
          <t>second</t>
        </is>
      </c>
      <c r="E2559" s="57" t="inlineStr">
        <is>
          <t>Second</t>
        </is>
      </c>
      <c r="F2559" s="57" t="inlineStr"/>
    </row>
    <row r="2560" ht="25" customHeight="1" s="55">
      <c r="A2560" s="57" t="inlineStr">
        <is>
          <t>Specific Gravity</t>
        </is>
      </c>
      <c r="B2560" s="57" t="n">
        <v>230</v>
      </c>
      <c r="C2560" s="57" t="inlineStr">
        <is>
          <t>Genotypes</t>
        </is>
      </c>
      <c r="D2560" s="57" t="inlineStr">
        <is>
          <t>26-029</t>
        </is>
      </c>
      <c r="E2560" s="57" t="inlineStr">
        <is>
          <t>UKYT-26-029</t>
        </is>
      </c>
      <c r="F2560" s="57" t="inlineStr"/>
    </row>
    <row r="2561" ht="25" customHeight="1" s="55">
      <c r="A2561" s="57" t="inlineStr">
        <is>
          <t>Specific Gravity</t>
        </is>
      </c>
      <c r="B2561" s="57" t="n">
        <v>230</v>
      </c>
      <c r="C2561" s="57" t="inlineStr">
        <is>
          <t>Location</t>
        </is>
      </c>
      <c r="D2561" s="57" t="inlineStr">
        <is>
          <t>Open Field</t>
        </is>
      </c>
      <c r="E2561" s="57" t="inlineStr">
        <is>
          <t>Open field</t>
        </is>
      </c>
      <c r="F2561" s="57" t="inlineStr"/>
    </row>
    <row r="2562" ht="25" customHeight="1" s="55">
      <c r="A2562" s="57" t="inlineStr">
        <is>
          <t>Specific Gravity</t>
        </is>
      </c>
      <c r="B2562" s="57" t="n">
        <v>230</v>
      </c>
      <c r="C2562" s="57" t="inlineStr">
        <is>
          <t>Harvest</t>
        </is>
      </c>
      <c r="D2562" s="57" t="inlineStr">
        <is>
          <t>second</t>
        </is>
      </c>
      <c r="E2562" s="57" t="inlineStr">
        <is>
          <t>Second</t>
        </is>
      </c>
      <c r="F2562" s="57" t="inlineStr"/>
    </row>
    <row r="2563" ht="25" customHeight="1" s="55">
      <c r="A2563" s="57" t="inlineStr">
        <is>
          <t>Specific Gravity</t>
        </is>
      </c>
      <c r="B2563" s="57" t="n">
        <v>231</v>
      </c>
      <c r="C2563" s="57" t="inlineStr">
        <is>
          <t>Genotypes</t>
        </is>
      </c>
      <c r="D2563" s="57" t="inlineStr">
        <is>
          <t>Mt. Fresh</t>
        </is>
      </c>
      <c r="E2563" s="57" t="inlineStr">
        <is>
          <t>Mountain Fresh</t>
        </is>
      </c>
      <c r="F2563" s="57" t="inlineStr"/>
    </row>
    <row r="2564" ht="25" customHeight="1" s="55">
      <c r="A2564" s="57" t="inlineStr">
        <is>
          <t>Specific Gravity</t>
        </is>
      </c>
      <c r="B2564" s="57" t="n">
        <v>231</v>
      </c>
      <c r="C2564" s="57" t="inlineStr">
        <is>
          <t>Location</t>
        </is>
      </c>
      <c r="D2564" s="57" t="inlineStr">
        <is>
          <t>Open Field</t>
        </is>
      </c>
      <c r="E2564" s="57" t="inlineStr">
        <is>
          <t>Open field</t>
        </is>
      </c>
      <c r="F2564" s="57" t="inlineStr"/>
    </row>
    <row r="2565" ht="25" customHeight="1" s="55">
      <c r="A2565" s="57" t="inlineStr">
        <is>
          <t>Specific Gravity</t>
        </is>
      </c>
      <c r="B2565" s="57" t="n">
        <v>231</v>
      </c>
      <c r="C2565" s="57" t="inlineStr">
        <is>
          <t>Harvest</t>
        </is>
      </c>
      <c r="D2565" s="57" t="inlineStr">
        <is>
          <t>second</t>
        </is>
      </c>
      <c r="E2565" s="57" t="inlineStr">
        <is>
          <t>Second</t>
        </is>
      </c>
      <c r="F2565" s="57" t="inlineStr"/>
    </row>
    <row r="2566" ht="25" customHeight="1" s="55">
      <c r="A2566" s="57" t="inlineStr">
        <is>
          <t>Specific Gravity</t>
        </is>
      </c>
      <c r="B2566" s="57" t="n">
        <v>232</v>
      </c>
      <c r="C2566" s="57" t="inlineStr">
        <is>
          <t>Genotypes</t>
        </is>
      </c>
      <c r="D2566" s="57" t="inlineStr">
        <is>
          <t>26-030</t>
        </is>
      </c>
      <c r="E2566" s="57" t="inlineStr">
        <is>
          <t>UKYT-26-030</t>
        </is>
      </c>
      <c r="F2566" s="57" t="inlineStr"/>
    </row>
    <row r="2567" ht="25" customHeight="1" s="55">
      <c r="A2567" s="57" t="inlineStr">
        <is>
          <t>Specific Gravity</t>
        </is>
      </c>
      <c r="B2567" s="57" t="n">
        <v>232</v>
      </c>
      <c r="C2567" s="57" t="inlineStr">
        <is>
          <t>Location</t>
        </is>
      </c>
      <c r="D2567" s="57" t="inlineStr">
        <is>
          <t>Open Field</t>
        </is>
      </c>
      <c r="E2567" s="57" t="inlineStr">
        <is>
          <t>Open field</t>
        </is>
      </c>
      <c r="F2567" s="57" t="inlineStr"/>
    </row>
    <row r="2568" ht="25" customHeight="1" s="55">
      <c r="A2568" s="57" t="inlineStr">
        <is>
          <t>Specific Gravity</t>
        </is>
      </c>
      <c r="B2568" s="57" t="n">
        <v>232</v>
      </c>
      <c r="C2568" s="57" t="inlineStr">
        <is>
          <t>Harvest</t>
        </is>
      </c>
      <c r="D2568" s="57" t="inlineStr">
        <is>
          <t>second</t>
        </is>
      </c>
      <c r="E2568" s="57" t="inlineStr">
        <is>
          <t>Second</t>
        </is>
      </c>
      <c r="F2568" s="57" t="inlineStr"/>
    </row>
    <row r="2569" ht="25" customHeight="1" s="55">
      <c r="A2569" s="57" t="inlineStr">
        <is>
          <t>Specific Gravity</t>
        </is>
      </c>
      <c r="B2569" s="57" t="n">
        <v>233</v>
      </c>
      <c r="C2569" s="57" t="inlineStr">
        <is>
          <t>Genotypes</t>
        </is>
      </c>
      <c r="D2569" s="57" t="inlineStr">
        <is>
          <t>25-012</t>
        </is>
      </c>
      <c r="E2569" s="57" t="inlineStr">
        <is>
          <t>UKYT-25-012</t>
        </is>
      </c>
      <c r="F2569" s="57" t="inlineStr"/>
    </row>
    <row r="2570" ht="25" customHeight="1" s="55">
      <c r="A2570" s="57" t="inlineStr">
        <is>
          <t>Specific Gravity</t>
        </is>
      </c>
      <c r="B2570" s="57" t="n">
        <v>233</v>
      </c>
      <c r="C2570" s="57" t="inlineStr">
        <is>
          <t>Location</t>
        </is>
      </c>
      <c r="D2570" s="57" t="inlineStr">
        <is>
          <t>Open Field</t>
        </is>
      </c>
      <c r="E2570" s="57" t="inlineStr">
        <is>
          <t>Open field</t>
        </is>
      </c>
      <c r="F2570" s="57" t="inlineStr"/>
    </row>
    <row r="2571" ht="25" customHeight="1" s="55">
      <c r="A2571" s="57" t="inlineStr">
        <is>
          <t>Specific Gravity</t>
        </is>
      </c>
      <c r="B2571" s="57" t="n">
        <v>233</v>
      </c>
      <c r="C2571" s="57" t="inlineStr">
        <is>
          <t>Harvest</t>
        </is>
      </c>
      <c r="D2571" s="57" t="inlineStr">
        <is>
          <t>second</t>
        </is>
      </c>
      <c r="E2571" s="57" t="inlineStr">
        <is>
          <t>Second</t>
        </is>
      </c>
      <c r="F2571" s="57" t="inlineStr"/>
    </row>
    <row r="2572" ht="25" customHeight="1" s="55">
      <c r="A2572" s="57" t="inlineStr">
        <is>
          <t>Specific Gravity</t>
        </is>
      </c>
      <c r="B2572" s="57" t="n">
        <v>234</v>
      </c>
      <c r="C2572" s="57" t="inlineStr">
        <is>
          <t>Genotypes</t>
        </is>
      </c>
      <c r="D2572" s="57" t="inlineStr">
        <is>
          <t>26-006</t>
        </is>
      </c>
      <c r="E2572" s="57" t="inlineStr">
        <is>
          <t>UKYT-26-006</t>
        </is>
      </c>
      <c r="F2572" s="57" t="inlineStr"/>
    </row>
    <row r="2573" ht="25" customHeight="1" s="55">
      <c r="A2573" s="57" t="inlineStr">
        <is>
          <t>Specific Gravity</t>
        </is>
      </c>
      <c r="B2573" s="57" t="n">
        <v>234</v>
      </c>
      <c r="C2573" s="57" t="inlineStr">
        <is>
          <t>Location</t>
        </is>
      </c>
      <c r="D2573" s="57" t="inlineStr">
        <is>
          <t>Open Field</t>
        </is>
      </c>
      <c r="E2573" s="57" t="inlineStr">
        <is>
          <t>Open field</t>
        </is>
      </c>
      <c r="F2573" s="57" t="inlineStr"/>
    </row>
    <row r="2574" ht="25" customHeight="1" s="55">
      <c r="A2574" s="57" t="inlineStr">
        <is>
          <t>Specific Gravity</t>
        </is>
      </c>
      <c r="B2574" s="57" t="n">
        <v>234</v>
      </c>
      <c r="C2574" s="57" t="inlineStr">
        <is>
          <t>Harvest</t>
        </is>
      </c>
      <c r="D2574" s="57" t="inlineStr">
        <is>
          <t>second</t>
        </is>
      </c>
      <c r="E2574" s="57" t="inlineStr">
        <is>
          <t>Second</t>
        </is>
      </c>
      <c r="F2574" s="57" t="inlineStr"/>
    </row>
    <row r="2575" ht="25" customHeight="1" s="55">
      <c r="A2575" s="57" t="inlineStr">
        <is>
          <t>Specific Gravity</t>
        </is>
      </c>
      <c r="B2575" s="57" t="n">
        <v>235</v>
      </c>
      <c r="C2575" s="57" t="inlineStr">
        <is>
          <t>Genotypes</t>
        </is>
      </c>
      <c r="D2575" s="57" t="inlineStr">
        <is>
          <t>26-023</t>
        </is>
      </c>
      <c r="E2575" s="57" t="inlineStr">
        <is>
          <t>UKYT-26-023</t>
        </is>
      </c>
      <c r="F2575" s="57" t="inlineStr"/>
    </row>
    <row r="2576" ht="25" customHeight="1" s="55">
      <c r="A2576" s="57" t="inlineStr">
        <is>
          <t>Specific Gravity</t>
        </is>
      </c>
      <c r="B2576" s="57" t="n">
        <v>235</v>
      </c>
      <c r="C2576" s="57" t="inlineStr">
        <is>
          <t>Location</t>
        </is>
      </c>
      <c r="D2576" s="57" t="inlineStr">
        <is>
          <t>Open Field</t>
        </is>
      </c>
      <c r="E2576" s="57" t="inlineStr">
        <is>
          <t>Open field</t>
        </is>
      </c>
      <c r="F2576" s="57" t="inlineStr"/>
    </row>
    <row r="2577" ht="25" customHeight="1" s="55">
      <c r="A2577" s="57" t="inlineStr">
        <is>
          <t>Specific Gravity</t>
        </is>
      </c>
      <c r="B2577" s="57" t="n">
        <v>235</v>
      </c>
      <c r="C2577" s="57" t="inlineStr">
        <is>
          <t>Harvest</t>
        </is>
      </c>
      <c r="D2577" s="57" t="inlineStr">
        <is>
          <t>second</t>
        </is>
      </c>
      <c r="E2577" s="57" t="inlineStr">
        <is>
          <t>Second</t>
        </is>
      </c>
      <c r="F2577" s="57" t="inlineStr"/>
    </row>
    <row r="2578" ht="25" customHeight="1" s="55">
      <c r="A2578" s="57" t="inlineStr">
        <is>
          <t>Specific Gravity</t>
        </is>
      </c>
      <c r="B2578" s="57" t="n">
        <v>236</v>
      </c>
      <c r="C2578" s="57" t="inlineStr">
        <is>
          <t>Genotypes</t>
        </is>
      </c>
      <c r="D2578" s="57" t="inlineStr">
        <is>
          <t>25-03</t>
        </is>
      </c>
      <c r="E2578" s="57" t="inlineStr">
        <is>
          <t>UKYT-25-003</t>
        </is>
      </c>
      <c r="F2578" s="57" t="inlineStr"/>
    </row>
    <row r="2579" ht="25" customHeight="1" s="55">
      <c r="A2579" s="57" t="inlineStr">
        <is>
          <t>Specific Gravity</t>
        </is>
      </c>
      <c r="B2579" s="57" t="n">
        <v>236</v>
      </c>
      <c r="C2579" s="57" t="inlineStr">
        <is>
          <t>Location</t>
        </is>
      </c>
      <c r="D2579" s="57" t="inlineStr">
        <is>
          <t>Open Field</t>
        </is>
      </c>
      <c r="E2579" s="57" t="inlineStr">
        <is>
          <t>Open field</t>
        </is>
      </c>
      <c r="F2579" s="57" t="inlineStr"/>
    </row>
    <row r="2580" ht="25" customHeight="1" s="55">
      <c r="A2580" s="57" t="inlineStr">
        <is>
          <t>Specific Gravity</t>
        </is>
      </c>
      <c r="B2580" s="57" t="n">
        <v>236</v>
      </c>
      <c r="C2580" s="57" t="inlineStr">
        <is>
          <t>Harvest</t>
        </is>
      </c>
      <c r="D2580" s="57" t="inlineStr">
        <is>
          <t>second</t>
        </is>
      </c>
      <c r="E2580" s="57" t="inlineStr">
        <is>
          <t>Second</t>
        </is>
      </c>
      <c r="F2580" s="57" t="inlineStr"/>
    </row>
    <row r="2581" ht="25" customHeight="1" s="55">
      <c r="A2581" s="57" t="inlineStr">
        <is>
          <t>Specific Gravity</t>
        </is>
      </c>
      <c r="B2581" s="57" t="n">
        <v>237</v>
      </c>
      <c r="C2581" s="57" t="inlineStr">
        <is>
          <t>Genotypes</t>
        </is>
      </c>
      <c r="D2581" s="57" t="inlineStr">
        <is>
          <t>26-043</t>
        </is>
      </c>
      <c r="E2581" s="57" t="inlineStr">
        <is>
          <t>UKYT-26-043</t>
        </is>
      </c>
      <c r="F2581" s="57" t="inlineStr"/>
    </row>
    <row r="2582" ht="25" customHeight="1" s="55">
      <c r="A2582" s="57" t="inlineStr">
        <is>
          <t>Specific Gravity</t>
        </is>
      </c>
      <c r="B2582" s="57" t="n">
        <v>237</v>
      </c>
      <c r="C2582" s="57" t="inlineStr">
        <is>
          <t>Location</t>
        </is>
      </c>
      <c r="D2582" s="57" t="inlineStr">
        <is>
          <t>Open Field</t>
        </is>
      </c>
      <c r="E2582" s="57" t="inlineStr">
        <is>
          <t>Open field</t>
        </is>
      </c>
      <c r="F2582" s="57" t="inlineStr"/>
    </row>
    <row r="2583" ht="25" customHeight="1" s="55">
      <c r="A2583" s="57" t="inlineStr">
        <is>
          <t>Specific Gravity</t>
        </is>
      </c>
      <c r="B2583" s="57" t="n">
        <v>237</v>
      </c>
      <c r="C2583" s="57" t="inlineStr">
        <is>
          <t>Harvest</t>
        </is>
      </c>
      <c r="D2583" s="57" t="inlineStr">
        <is>
          <t>second</t>
        </is>
      </c>
      <c r="E2583" s="57" t="inlineStr">
        <is>
          <t>Second</t>
        </is>
      </c>
      <c r="F2583" s="57" t="inlineStr"/>
    </row>
    <row r="2584" ht="25" customHeight="1" s="55">
      <c r="A2584" s="57" t="inlineStr">
        <is>
          <t>Specific Gravity</t>
        </is>
      </c>
      <c r="B2584" s="57" t="n">
        <v>238</v>
      </c>
      <c r="C2584" s="57" t="inlineStr">
        <is>
          <t>Genotypes</t>
        </is>
      </c>
      <c r="D2584" s="57" t="inlineStr">
        <is>
          <t>26-013.</t>
        </is>
      </c>
      <c r="E2584" s="57" t="inlineStr">
        <is>
          <t>UKYT-26-013</t>
        </is>
      </c>
      <c r="F2584" s="57" t="inlineStr"/>
    </row>
    <row r="2585" ht="25" customHeight="1" s="55">
      <c r="A2585" s="57" t="inlineStr">
        <is>
          <t>Specific Gravity</t>
        </is>
      </c>
      <c r="B2585" s="57" t="n">
        <v>238</v>
      </c>
      <c r="C2585" s="57" t="inlineStr">
        <is>
          <t>Location</t>
        </is>
      </c>
      <c r="D2585" s="57" t="inlineStr">
        <is>
          <t>Open Field</t>
        </is>
      </c>
      <c r="E2585" s="57" t="inlineStr">
        <is>
          <t>Open field</t>
        </is>
      </c>
      <c r="F2585" s="57" t="inlineStr"/>
    </row>
    <row r="2586" ht="25" customHeight="1" s="55">
      <c r="A2586" s="57" t="inlineStr">
        <is>
          <t>Specific Gravity</t>
        </is>
      </c>
      <c r="B2586" s="57" t="n">
        <v>238</v>
      </c>
      <c r="C2586" s="57" t="inlineStr">
        <is>
          <t>Harvest</t>
        </is>
      </c>
      <c r="D2586" s="57" t="inlineStr">
        <is>
          <t>second</t>
        </is>
      </c>
      <c r="E2586" s="57" t="inlineStr">
        <is>
          <t>Second</t>
        </is>
      </c>
      <c r="F2586" s="57" t="inlineStr"/>
    </row>
    <row r="2587" ht="25" customHeight="1" s="55">
      <c r="A2587" s="57" t="inlineStr">
        <is>
          <t>Specific Gravity</t>
        </is>
      </c>
      <c r="B2587" s="57" t="n">
        <v>239</v>
      </c>
      <c r="C2587" s="57" t="inlineStr">
        <is>
          <t>Genotypes</t>
        </is>
      </c>
      <c r="D2587" s="57" t="inlineStr">
        <is>
          <t>26-011</t>
        </is>
      </c>
      <c r="E2587" s="57" t="inlineStr">
        <is>
          <t>UKYT-26-011</t>
        </is>
      </c>
      <c r="F2587" s="57" t="inlineStr"/>
    </row>
    <row r="2588" ht="25" customHeight="1" s="55">
      <c r="A2588" s="57" t="inlineStr">
        <is>
          <t>Specific Gravity</t>
        </is>
      </c>
      <c r="B2588" s="57" t="n">
        <v>239</v>
      </c>
      <c r="C2588" s="57" t="inlineStr">
        <is>
          <t>Location</t>
        </is>
      </c>
      <c r="D2588" s="57" t="inlineStr">
        <is>
          <t>Open Field</t>
        </is>
      </c>
      <c r="E2588" s="57" t="inlineStr">
        <is>
          <t>Open field</t>
        </is>
      </c>
      <c r="F2588" s="57" t="inlineStr"/>
    </row>
    <row r="2589" ht="25" customHeight="1" s="55">
      <c r="A2589" s="57" t="inlineStr">
        <is>
          <t>Specific Gravity</t>
        </is>
      </c>
      <c r="B2589" s="57" t="n">
        <v>239</v>
      </c>
      <c r="C2589" s="57" t="inlineStr">
        <is>
          <t>Harvest</t>
        </is>
      </c>
      <c r="D2589" s="57" t="inlineStr">
        <is>
          <t>second</t>
        </is>
      </c>
      <c r="E2589" s="57" t="inlineStr">
        <is>
          <t>Second</t>
        </is>
      </c>
      <c r="F2589" s="57" t="inlineStr"/>
    </row>
    <row r="2590" ht="25" customHeight="1" s="55">
      <c r="A2590" s="57" t="inlineStr">
        <is>
          <t>Specific Gravity</t>
        </is>
      </c>
      <c r="B2590" s="57" t="n">
        <v>240</v>
      </c>
      <c r="C2590" s="57" t="inlineStr">
        <is>
          <t>Genotypes</t>
        </is>
      </c>
      <c r="D2590" s="57" t="inlineStr">
        <is>
          <t>26-009</t>
        </is>
      </c>
      <c r="E2590" s="57" t="inlineStr">
        <is>
          <t>UKYT-26-009</t>
        </is>
      </c>
      <c r="F2590" s="57" t="inlineStr"/>
    </row>
    <row r="2591" ht="25" customHeight="1" s="55">
      <c r="A2591" s="57" t="inlineStr">
        <is>
          <t>Specific Gravity</t>
        </is>
      </c>
      <c r="B2591" s="57" t="n">
        <v>240</v>
      </c>
      <c r="C2591" s="57" t="inlineStr">
        <is>
          <t>Location</t>
        </is>
      </c>
      <c r="D2591" s="57" t="inlineStr">
        <is>
          <t>Open Field</t>
        </is>
      </c>
      <c r="E2591" s="57" t="inlineStr">
        <is>
          <t>Open field</t>
        </is>
      </c>
      <c r="F2591" s="57" t="inlineStr"/>
    </row>
    <row r="2592" ht="25" customHeight="1" s="55">
      <c r="A2592" s="57" t="inlineStr">
        <is>
          <t>Specific Gravity</t>
        </is>
      </c>
      <c r="B2592" s="57" t="n">
        <v>240</v>
      </c>
      <c r="C2592" s="57" t="inlineStr">
        <is>
          <t>Harvest</t>
        </is>
      </c>
      <c r="D2592" s="57" t="inlineStr">
        <is>
          <t>second</t>
        </is>
      </c>
      <c r="E2592" s="57" t="inlineStr">
        <is>
          <t>Second</t>
        </is>
      </c>
      <c r="F2592" s="57" t="inlineStr"/>
    </row>
    <row r="2593" ht="25" customHeight="1" s="55">
      <c r="A2593" s="57" t="inlineStr">
        <is>
          <t>Specific Gravity</t>
        </is>
      </c>
      <c r="B2593" s="57" t="n">
        <v>241</v>
      </c>
      <c r="C2593" s="57" t="inlineStr">
        <is>
          <t>Genotypes</t>
        </is>
      </c>
      <c r="D2593" s="57" t="inlineStr">
        <is>
          <t>26-031</t>
        </is>
      </c>
      <c r="E2593" s="57" t="inlineStr">
        <is>
          <t>UKYT-26-031</t>
        </is>
      </c>
      <c r="F2593" s="57" t="inlineStr"/>
    </row>
    <row r="2594" ht="25" customHeight="1" s="55">
      <c r="A2594" s="57" t="inlineStr">
        <is>
          <t>Specific Gravity</t>
        </is>
      </c>
      <c r="B2594" s="57" t="n">
        <v>241</v>
      </c>
      <c r="C2594" s="57" t="inlineStr">
        <is>
          <t>Location</t>
        </is>
      </c>
      <c r="D2594" s="57" t="inlineStr">
        <is>
          <t>Open Field</t>
        </is>
      </c>
      <c r="E2594" s="57" t="inlineStr">
        <is>
          <t>Open field</t>
        </is>
      </c>
      <c r="F2594" s="57" t="inlineStr"/>
    </row>
    <row r="2595" ht="25" customHeight="1" s="55">
      <c r="A2595" s="57" t="inlineStr">
        <is>
          <t>Specific Gravity</t>
        </is>
      </c>
      <c r="B2595" s="57" t="n">
        <v>241</v>
      </c>
      <c r="C2595" s="57" t="inlineStr">
        <is>
          <t>Harvest</t>
        </is>
      </c>
      <c r="D2595" s="57" t="inlineStr">
        <is>
          <t>second</t>
        </is>
      </c>
      <c r="E2595" s="57" t="inlineStr">
        <is>
          <t>Second</t>
        </is>
      </c>
      <c r="F2595" s="57" t="inlineStr"/>
    </row>
    <row r="2596" ht="25" customHeight="1" s="55">
      <c r="A2596" s="57" t="inlineStr">
        <is>
          <t>Specific Gravity</t>
        </is>
      </c>
      <c r="B2596" s="57" t="n">
        <v>242</v>
      </c>
      <c r="C2596" s="57" t="inlineStr">
        <is>
          <t>Genotypes</t>
        </is>
      </c>
      <c r="D2596" s="57" t="inlineStr">
        <is>
          <t>26-008</t>
        </is>
      </c>
      <c r="E2596" s="57" t="inlineStr">
        <is>
          <t>UKYT-26-008</t>
        </is>
      </c>
      <c r="F2596" s="57" t="inlineStr"/>
    </row>
    <row r="2597" ht="25" customHeight="1" s="55">
      <c r="A2597" s="57" t="inlineStr">
        <is>
          <t>Specific Gravity</t>
        </is>
      </c>
      <c r="B2597" s="57" t="n">
        <v>242</v>
      </c>
      <c r="C2597" s="57" t="inlineStr">
        <is>
          <t>Location</t>
        </is>
      </c>
      <c r="D2597" s="57" t="inlineStr">
        <is>
          <t>Open Field</t>
        </is>
      </c>
      <c r="E2597" s="57" t="inlineStr">
        <is>
          <t>Open field</t>
        </is>
      </c>
      <c r="F2597" s="57" t="inlineStr"/>
    </row>
    <row r="2598" ht="25" customHeight="1" s="55">
      <c r="A2598" s="57" t="inlineStr">
        <is>
          <t>Specific Gravity</t>
        </is>
      </c>
      <c r="B2598" s="57" t="n">
        <v>242</v>
      </c>
      <c r="C2598" s="57" t="inlineStr">
        <is>
          <t>Harvest</t>
        </is>
      </c>
      <c r="D2598" s="57" t="inlineStr">
        <is>
          <t>second</t>
        </is>
      </c>
      <c r="E2598" s="57" t="inlineStr">
        <is>
          <t>Second</t>
        </is>
      </c>
      <c r="F2598" s="57" t="inlineStr"/>
    </row>
    <row r="2599" ht="25" customHeight="1" s="55">
      <c r="A2599" s="57" t="inlineStr">
        <is>
          <t>Specific Gravity</t>
        </is>
      </c>
      <c r="B2599" s="57" t="n">
        <v>151</v>
      </c>
      <c r="C2599" s="57" t="inlineStr">
        <is>
          <t>Reading 2</t>
        </is>
      </c>
      <c r="D2599" s="57" t="inlineStr">
        <is>
          <t>1.22</t>
        </is>
      </c>
      <c r="E2599" s="57" t="inlineStr">
        <is>
          <t>1.022</t>
        </is>
      </c>
      <c r="F2599" s="57" t="inlineStr">
        <is>
          <t>typo_fix</t>
        </is>
      </c>
    </row>
    <row r="2600" ht="25" customHeight="1" s="55">
      <c r="A2600" s="57" t="inlineStr">
        <is>
          <t>Carotenoid</t>
        </is>
      </c>
      <c r="B2600" s="57" t="n">
        <v>5</v>
      </c>
      <c r="C2600" s="57" t="inlineStr">
        <is>
          <t>Sample</t>
        </is>
      </c>
      <c r="D2600" s="57" t="inlineStr">
        <is>
          <t>25-005</t>
        </is>
      </c>
      <c r="E2600" s="57" t="inlineStr">
        <is>
          <t>UKYT-25-005</t>
        </is>
      </c>
      <c r="F2600" s="57" t="inlineStr"/>
    </row>
    <row r="2601" ht="25" customHeight="1" s="55">
      <c r="A2601" s="57" t="inlineStr">
        <is>
          <t>Carotenoid</t>
        </is>
      </c>
      <c r="B2601" s="57" t="n">
        <v>6</v>
      </c>
      <c r="C2601" s="57" t="inlineStr">
        <is>
          <t>Sample</t>
        </is>
      </c>
      <c r="D2601" s="57" t="inlineStr">
        <is>
          <t>25-013</t>
        </is>
      </c>
      <c r="E2601" s="57" t="inlineStr">
        <is>
          <t>UKYT-25-013</t>
        </is>
      </c>
      <c r="F2601" s="57" t="inlineStr"/>
    </row>
    <row r="2602" ht="25" customHeight="1" s="55">
      <c r="A2602" s="57" t="inlineStr">
        <is>
          <t>Carotenoid</t>
        </is>
      </c>
      <c r="B2602" s="57" t="n">
        <v>7</v>
      </c>
      <c r="C2602" s="57" t="inlineStr">
        <is>
          <t>Sample</t>
        </is>
      </c>
      <c r="D2602" s="57" t="inlineStr">
        <is>
          <t>25-017</t>
        </is>
      </c>
      <c r="E2602" s="57" t="inlineStr">
        <is>
          <t>UKYT-25-017</t>
        </is>
      </c>
      <c r="F2602" s="57" t="inlineStr"/>
    </row>
    <row r="2603" ht="25" customHeight="1" s="55">
      <c r="A2603" s="57" t="inlineStr">
        <is>
          <t>Carotenoid</t>
        </is>
      </c>
      <c r="B2603" s="57" t="n">
        <v>8</v>
      </c>
      <c r="C2603" s="57" t="inlineStr">
        <is>
          <t>Sample</t>
        </is>
      </c>
      <c r="D2603" s="57" t="inlineStr">
        <is>
          <t>26-001</t>
        </is>
      </c>
      <c r="E2603" s="57" t="inlineStr">
        <is>
          <t>UKYT-26-001</t>
        </is>
      </c>
      <c r="F2603" s="57" t="inlineStr"/>
    </row>
    <row r="2604" ht="25" customHeight="1" s="55">
      <c r="A2604" s="57" t="inlineStr">
        <is>
          <t>Carotenoid</t>
        </is>
      </c>
      <c r="B2604" s="57" t="n">
        <v>9</v>
      </c>
      <c r="C2604" s="57" t="inlineStr">
        <is>
          <t>Sample</t>
        </is>
      </c>
      <c r="D2604" s="57" t="inlineStr">
        <is>
          <t>25-006</t>
        </is>
      </c>
      <c r="E2604" s="57" t="inlineStr">
        <is>
          <t>UKYT-25-006</t>
        </is>
      </c>
      <c r="F2604" s="57" t="inlineStr"/>
    </row>
    <row r="2605" ht="25" customHeight="1" s="55">
      <c r="A2605" s="57" t="inlineStr">
        <is>
          <t>Carotenoid</t>
        </is>
      </c>
      <c r="B2605" s="57" t="n">
        <v>10</v>
      </c>
      <c r="C2605" s="57" t="inlineStr">
        <is>
          <t>Sample</t>
        </is>
      </c>
      <c r="D2605" s="57" t="inlineStr">
        <is>
          <t>26-006</t>
        </is>
      </c>
      <c r="E2605" s="57" t="inlineStr">
        <is>
          <t>UKYT-26-006</t>
        </is>
      </c>
      <c r="F2605" s="57" t="inlineStr"/>
    </row>
    <row r="2606" ht="25" customHeight="1" s="55">
      <c r="A2606" s="57" t="inlineStr">
        <is>
          <t>Carotenoid</t>
        </is>
      </c>
      <c r="B2606" s="57" t="n">
        <v>11</v>
      </c>
      <c r="C2606" s="57" t="inlineStr">
        <is>
          <t>Sample</t>
        </is>
      </c>
      <c r="D2606" s="57" t="inlineStr">
        <is>
          <t>25-007</t>
        </is>
      </c>
      <c r="E2606" s="57" t="inlineStr">
        <is>
          <t>UKYT-25-007</t>
        </is>
      </c>
      <c r="F2606" s="57" t="inlineStr"/>
    </row>
    <row r="2607" ht="25" customHeight="1" s="55">
      <c r="A2607" s="57" t="inlineStr">
        <is>
          <t>Carotenoid</t>
        </is>
      </c>
      <c r="B2607" s="57" t="n">
        <v>12</v>
      </c>
      <c r="C2607" s="57" t="inlineStr">
        <is>
          <t>Sample</t>
        </is>
      </c>
      <c r="D2607" s="57" t="inlineStr">
        <is>
          <t>25-011</t>
        </is>
      </c>
      <c r="E2607" s="57" t="inlineStr">
        <is>
          <t>UKYT-25-011</t>
        </is>
      </c>
      <c r="F2607" s="57" t="inlineStr"/>
    </row>
    <row r="2608" ht="25" customHeight="1" s="55">
      <c r="A2608" s="57" t="inlineStr">
        <is>
          <t>Carotenoid</t>
        </is>
      </c>
      <c r="B2608" s="57" t="n">
        <v>13</v>
      </c>
      <c r="C2608" s="57" t="inlineStr">
        <is>
          <t>Sample</t>
        </is>
      </c>
      <c r="D2608" s="57" t="inlineStr">
        <is>
          <t>25-012</t>
        </is>
      </c>
      <c r="E2608" s="57" t="inlineStr">
        <is>
          <t>UKYT-25-012</t>
        </is>
      </c>
      <c r="F2608" s="57" t="inlineStr"/>
    </row>
    <row r="2609" ht="25" customHeight="1" s="55">
      <c r="A2609" s="57" t="inlineStr">
        <is>
          <t>GABA</t>
        </is>
      </c>
      <c r="B2609" s="57" t="n">
        <v>2</v>
      </c>
      <c r="C2609" s="57" t="inlineStr">
        <is>
          <t>Sample</t>
        </is>
      </c>
      <c r="D2609" s="57" t="inlineStr">
        <is>
          <t>25-003</t>
        </is>
      </c>
      <c r="E2609" s="57" t="inlineStr">
        <is>
          <t>UKYT-25-003</t>
        </is>
      </c>
      <c r="F2609" s="57" t="inlineStr"/>
    </row>
    <row r="2610" ht="25" customHeight="1" s="55">
      <c r="A2610" s="57" t="inlineStr">
        <is>
          <t>GABA</t>
        </is>
      </c>
      <c r="B2610" s="57" t="n">
        <v>3</v>
      </c>
      <c r="C2610" s="57" t="inlineStr">
        <is>
          <t>Sample</t>
        </is>
      </c>
      <c r="D2610" s="57" t="inlineStr">
        <is>
          <t>25-004</t>
        </is>
      </c>
      <c r="E2610" s="57" t="inlineStr">
        <is>
          <t>UKYT-25-004</t>
        </is>
      </c>
      <c r="F2610" s="57" t="inlineStr"/>
    </row>
    <row r="2611" ht="25" customHeight="1" s="55">
      <c r="A2611" s="57" t="inlineStr">
        <is>
          <t>GABA</t>
        </is>
      </c>
      <c r="B2611" s="57" t="n">
        <v>4</v>
      </c>
      <c r="C2611" s="57" t="inlineStr">
        <is>
          <t>Sample</t>
        </is>
      </c>
      <c r="D2611" s="57" t="inlineStr">
        <is>
          <t>25-008</t>
        </is>
      </c>
      <c r="E2611" s="57" t="inlineStr">
        <is>
          <t>UKYT-25-008</t>
        </is>
      </c>
      <c r="F2611" s="57" t="inlineStr"/>
    </row>
    <row r="2612" ht="25" customHeight="1" s="55">
      <c r="A2612" s="57" t="inlineStr">
        <is>
          <t>GABA</t>
        </is>
      </c>
      <c r="B2612" s="57" t="n">
        <v>5</v>
      </c>
      <c r="C2612" s="57" t="inlineStr">
        <is>
          <t>Sample</t>
        </is>
      </c>
      <c r="D2612" s="57" t="inlineStr">
        <is>
          <t>25-010</t>
        </is>
      </c>
      <c r="E2612" s="57" t="inlineStr">
        <is>
          <t>UKYT-25-010</t>
        </is>
      </c>
      <c r="F2612" s="57" t="inlineStr"/>
    </row>
    <row r="2613" ht="25" customHeight="1" s="55">
      <c r="A2613" s="57" t="inlineStr">
        <is>
          <t>GABA</t>
        </is>
      </c>
      <c r="B2613" s="57" t="n">
        <v>6</v>
      </c>
      <c r="C2613" s="57" t="inlineStr">
        <is>
          <t>Sample</t>
        </is>
      </c>
      <c r="D2613" s="57" t="inlineStr">
        <is>
          <t>25-001</t>
        </is>
      </c>
      <c r="E2613" s="57" t="inlineStr">
        <is>
          <t>UKYT-25-001</t>
        </is>
      </c>
      <c r="F2613" s="57" t="inlineStr"/>
    </row>
    <row r="2614" ht="25" customHeight="1" s="55">
      <c r="A2614" s="57" t="inlineStr">
        <is>
          <t>GABA</t>
        </is>
      </c>
      <c r="B2614" s="57" t="n">
        <v>7</v>
      </c>
      <c r="C2614" s="57" t="inlineStr">
        <is>
          <t>Sample</t>
        </is>
      </c>
      <c r="D2614" s="57" t="inlineStr">
        <is>
          <t>25-005</t>
        </is>
      </c>
      <c r="E2614" s="57" t="inlineStr">
        <is>
          <t>UKYT-25-005</t>
        </is>
      </c>
      <c r="F2614" s="57" t="inlineStr"/>
    </row>
    <row r="2615" ht="25" customHeight="1" s="55">
      <c r="A2615" s="57" t="inlineStr">
        <is>
          <t>GABA</t>
        </is>
      </c>
      <c r="B2615" s="57" t="n">
        <v>8</v>
      </c>
      <c r="C2615" s="57" t="inlineStr">
        <is>
          <t>Sample</t>
        </is>
      </c>
      <c r="D2615" s="57" t="inlineStr">
        <is>
          <t>25-007</t>
        </is>
      </c>
      <c r="E2615" s="57" t="inlineStr">
        <is>
          <t>UKYT-25-007</t>
        </is>
      </c>
      <c r="F2615" s="57" t="inlineStr"/>
    </row>
    <row r="2616" ht="25" customHeight="1" s="55">
      <c r="A2616" s="57" t="inlineStr">
        <is>
          <t>GABA</t>
        </is>
      </c>
      <c r="B2616" s="57" t="n">
        <v>9</v>
      </c>
      <c r="C2616" s="57" t="inlineStr">
        <is>
          <t>Sample</t>
        </is>
      </c>
      <c r="D2616" s="57" t="inlineStr">
        <is>
          <t>25-010</t>
        </is>
      </c>
      <c r="E2616" s="57" t="inlineStr">
        <is>
          <t>UKYT-25-010</t>
        </is>
      </c>
      <c r="F2616" s="57" t="inlineStr"/>
    </row>
    <row r="2617" ht="25" customHeight="1" s="55">
      <c r="A2617" s="57" t="inlineStr">
        <is>
          <t>GABA</t>
        </is>
      </c>
      <c r="B2617" s="57" t="n">
        <v>10</v>
      </c>
      <c r="C2617" s="57" t="inlineStr">
        <is>
          <t>Sample</t>
        </is>
      </c>
      <c r="D2617" s="57" t="inlineStr">
        <is>
          <t>25-013</t>
        </is>
      </c>
      <c r="E2617" s="57" t="inlineStr">
        <is>
          <t>UKYT-25-013</t>
        </is>
      </c>
      <c r="F2617" s="57" t="inlineStr"/>
    </row>
    <row r="2618" ht="25" customHeight="1" s="55">
      <c r="A2618" s="57" t="inlineStr">
        <is>
          <t>GABA</t>
        </is>
      </c>
      <c r="B2618" s="57" t="n">
        <v>11</v>
      </c>
      <c r="C2618" s="57" t="inlineStr">
        <is>
          <t>Sample</t>
        </is>
      </c>
      <c r="D2618" s="57" t="inlineStr">
        <is>
          <t>25-017</t>
        </is>
      </c>
      <c r="E2618" s="57" t="inlineStr">
        <is>
          <t>UKYT-25-017</t>
        </is>
      </c>
      <c r="F2618" s="57" t="inlineStr"/>
    </row>
    <row r="2619" ht="25" customHeight="1" s="55">
      <c r="A2619" s="57" t="inlineStr">
        <is>
          <t>GABA</t>
        </is>
      </c>
      <c r="B2619" s="57" t="n">
        <v>12</v>
      </c>
      <c r="C2619" s="57" t="inlineStr">
        <is>
          <t>Sample</t>
        </is>
      </c>
      <c r="D2619" s="57" t="inlineStr">
        <is>
          <t>26-001</t>
        </is>
      </c>
      <c r="E2619" s="57" t="inlineStr">
        <is>
          <t>UKYT-26-001</t>
        </is>
      </c>
      <c r="F2619" s="57" t="inlineStr"/>
    </row>
    <row r="2620" ht="25" customHeight="1" s="55">
      <c r="A2620" s="57" t="inlineStr">
        <is>
          <t>GABA</t>
        </is>
      </c>
      <c r="B2620" s="57" t="n">
        <v>13</v>
      </c>
      <c r="C2620" s="57" t="inlineStr">
        <is>
          <t>Sample</t>
        </is>
      </c>
      <c r="D2620" s="57" t="inlineStr">
        <is>
          <t>25-004</t>
        </is>
      </c>
      <c r="E2620" s="57" t="inlineStr">
        <is>
          <t>UKYT-25-004</t>
        </is>
      </c>
      <c r="F2620" s="57" t="inlineStr"/>
    </row>
    <row r="2621" ht="25" customHeight="1" s="55">
      <c r="A2621" s="57" t="inlineStr">
        <is>
          <t>GABA</t>
        </is>
      </c>
      <c r="B2621" s="57" t="n">
        <v>14</v>
      </c>
      <c r="C2621" s="57" t="inlineStr">
        <is>
          <t>Sample</t>
        </is>
      </c>
      <c r="D2621" s="57" t="inlineStr">
        <is>
          <t>25-011</t>
        </is>
      </c>
      <c r="E2621" s="57" t="inlineStr">
        <is>
          <t>UKYT-25-011</t>
        </is>
      </c>
      <c r="F2621" s="57" t="inlineStr"/>
    </row>
    <row r="2622" ht="25" customHeight="1" s="55">
      <c r="A2622" s="57" t="inlineStr">
        <is>
          <t>GABA</t>
        </is>
      </c>
      <c r="B2622" s="57" t="n">
        <v>15</v>
      </c>
      <c r="C2622" s="57" t="inlineStr">
        <is>
          <t>Sample</t>
        </is>
      </c>
      <c r="D2622" s="57" t="inlineStr">
        <is>
          <t>25-012</t>
        </is>
      </c>
      <c r="E2622" s="57" t="inlineStr">
        <is>
          <t>UKYT-25-012</t>
        </is>
      </c>
      <c r="F2622" s="57" t="inlineStr"/>
    </row>
    <row r="2623" ht="25" customHeight="1" s="55">
      <c r="A2623" s="57" t="inlineStr">
        <is>
          <t>GABA</t>
        </is>
      </c>
      <c r="B2623" s="57" t="n">
        <v>16</v>
      </c>
      <c r="C2623" s="57" t="inlineStr">
        <is>
          <t>Sample</t>
        </is>
      </c>
      <c r="D2623" s="57" t="inlineStr">
        <is>
          <t>25-014</t>
        </is>
      </c>
      <c r="E2623" s="57" t="inlineStr">
        <is>
          <t>UKYT-25-014</t>
        </is>
      </c>
      <c r="F2623" s="57" t="inlineStr"/>
    </row>
    <row r="2624" ht="25" customHeight="1" s="55">
      <c r="A2624" s="57" t="inlineStr">
        <is>
          <t>GABA</t>
        </is>
      </c>
      <c r="B2624" s="57" t="n">
        <v>17</v>
      </c>
      <c r="C2624" s="57" t="inlineStr">
        <is>
          <t>Sample</t>
        </is>
      </c>
      <c r="D2624" s="57" t="inlineStr">
        <is>
          <t>26-001</t>
        </is>
      </c>
      <c r="E2624" s="57" t="inlineStr">
        <is>
          <t>UKYT-26-001</t>
        </is>
      </c>
      <c r="F2624" s="57" t="inlineStr"/>
    </row>
    <row r="2625" ht="25" customHeight="1" s="55">
      <c r="A2625" s="57" t="inlineStr">
        <is>
          <t>GABA</t>
        </is>
      </c>
      <c r="B2625" s="57" t="n">
        <v>18</v>
      </c>
      <c r="C2625" s="57" t="inlineStr">
        <is>
          <t>Sample</t>
        </is>
      </c>
      <c r="D2625" s="57" t="inlineStr">
        <is>
          <t>25-004</t>
        </is>
      </c>
      <c r="E2625" s="57" t="inlineStr">
        <is>
          <t>UKYT-25-004</t>
        </is>
      </c>
      <c r="F2625" s="57" t="inlineStr"/>
    </row>
    <row r="2626" ht="25" customHeight="1" s="55">
      <c r="A2626" s="57" t="inlineStr">
        <is>
          <t>GABA</t>
        </is>
      </c>
      <c r="B2626" s="57" t="n">
        <v>19</v>
      </c>
      <c r="C2626" s="57" t="inlineStr">
        <is>
          <t>Sample</t>
        </is>
      </c>
      <c r="D2626" s="57" t="inlineStr">
        <is>
          <t>25-011</t>
        </is>
      </c>
      <c r="E2626" s="57" t="inlineStr">
        <is>
          <t>UKYT-25-011</t>
        </is>
      </c>
      <c r="F2626" s="57" t="inlineStr"/>
    </row>
    <row r="2627" ht="25" customHeight="1" s="55">
      <c r="A2627" s="57" t="inlineStr">
        <is>
          <t>GABA</t>
        </is>
      </c>
      <c r="B2627" s="57" t="n">
        <v>20</v>
      </c>
      <c r="C2627" s="57" t="inlineStr">
        <is>
          <t>Sample</t>
        </is>
      </c>
      <c r="D2627" s="57" t="inlineStr">
        <is>
          <t>25-012</t>
        </is>
      </c>
      <c r="E2627" s="57" t="inlineStr">
        <is>
          <t>UKYT-25-012</t>
        </is>
      </c>
      <c r="F2627" s="57" t="inlineStr"/>
    </row>
    <row r="2628" ht="25" customHeight="1" s="55">
      <c r="A2628" s="57" t="inlineStr">
        <is>
          <t>GABA</t>
        </is>
      </c>
      <c r="B2628" s="57" t="n">
        <v>21</v>
      </c>
      <c r="C2628" s="57" t="inlineStr">
        <is>
          <t>Sample</t>
        </is>
      </c>
      <c r="D2628" s="57" t="inlineStr">
        <is>
          <t>25-014</t>
        </is>
      </c>
      <c r="E2628" s="57" t="inlineStr">
        <is>
          <t>UKYT-25-014</t>
        </is>
      </c>
      <c r="F2628" s="57" t="inlineStr"/>
    </row>
    <row r="2629" ht="25" customHeight="1" s="55">
      <c r="A2629" s="57" t="inlineStr">
        <is>
          <t>GABA</t>
        </is>
      </c>
      <c r="B2629" s="57" t="n">
        <v>22</v>
      </c>
      <c r="C2629" s="57" t="inlineStr">
        <is>
          <t>Sample</t>
        </is>
      </c>
      <c r="D2629" s="57" t="inlineStr">
        <is>
          <t>25-006</t>
        </is>
      </c>
      <c r="E2629" s="57" t="inlineStr">
        <is>
          <t>UKYT-25-006</t>
        </is>
      </c>
      <c r="F2629" s="57" t="inlineStr"/>
    </row>
    <row r="2630" ht="25" customHeight="1" s="55">
      <c r="A2630" s="57" t="inlineStr">
        <is>
          <t>GABA</t>
        </is>
      </c>
      <c r="B2630" s="57" t="n">
        <v>23</v>
      </c>
      <c r="C2630" s="57" t="inlineStr">
        <is>
          <t>Sample</t>
        </is>
      </c>
      <c r="D2630" s="57" t="inlineStr">
        <is>
          <t>25-007</t>
        </is>
      </c>
      <c r="E2630" s="57" t="inlineStr">
        <is>
          <t>UKYT-25-007</t>
        </is>
      </c>
      <c r="F2630" s="57" t="inlineStr"/>
    </row>
    <row r="2631" ht="25" customHeight="1" s="55">
      <c r="A2631" s="57" t="inlineStr">
        <is>
          <t>GABA</t>
        </is>
      </c>
      <c r="B2631" s="57" t="n">
        <v>24</v>
      </c>
      <c r="C2631" s="57" t="inlineStr">
        <is>
          <t>Sample</t>
        </is>
      </c>
      <c r="D2631" s="57" t="inlineStr">
        <is>
          <t>25-009</t>
        </is>
      </c>
      <c r="E2631" s="57" t="inlineStr">
        <is>
          <t>UKYT-25-009</t>
        </is>
      </c>
      <c r="F2631" s="57" t="inlineStr"/>
    </row>
    <row r="2632" ht="25" customHeight="1" s="55">
      <c r="A2632" s="57" t="inlineStr">
        <is>
          <t>GABA</t>
        </is>
      </c>
      <c r="B2632" s="57" t="n">
        <v>25</v>
      </c>
      <c r="C2632" s="57" t="inlineStr">
        <is>
          <t>Sample</t>
        </is>
      </c>
      <c r="D2632" s="57" t="inlineStr">
        <is>
          <t>25-011</t>
        </is>
      </c>
      <c r="E2632" s="57" t="inlineStr">
        <is>
          <t>UKYT-25-011</t>
        </is>
      </c>
      <c r="F2632" s="57" t="inlineStr"/>
    </row>
    <row r="2633" ht="25" customHeight="1" s="55">
      <c r="A2633" s="57" t="inlineStr">
        <is>
          <t>GABA</t>
        </is>
      </c>
      <c r="B2633" s="57" t="n">
        <v>26</v>
      </c>
      <c r="C2633" s="57" t="inlineStr">
        <is>
          <t>Sample</t>
        </is>
      </c>
      <c r="D2633" s="57" t="inlineStr">
        <is>
          <t>25-013</t>
        </is>
      </c>
      <c r="E2633" s="57" t="inlineStr">
        <is>
          <t>UKYT-25-013</t>
        </is>
      </c>
      <c r="F2633" s="57" t="inlineStr"/>
    </row>
    <row r="2634" ht="25" customHeight="1" s="55">
      <c r="A2634" s="57" t="inlineStr">
        <is>
          <t>GABA</t>
        </is>
      </c>
      <c r="B2634" s="57" t="n">
        <v>27</v>
      </c>
      <c r="C2634" s="57" t="inlineStr">
        <is>
          <t>Sample</t>
        </is>
      </c>
      <c r="D2634" s="57" t="inlineStr">
        <is>
          <t>25-017</t>
        </is>
      </c>
      <c r="E2634" s="57" t="inlineStr">
        <is>
          <t>UKYT-25-017</t>
        </is>
      </c>
      <c r="F2634" s="57" t="inlineStr"/>
    </row>
    <row r="2635" ht="25" customHeight="1" s="55">
      <c r="A2635" s="57" t="inlineStr">
        <is>
          <t>GABA</t>
        </is>
      </c>
      <c r="B2635" s="57" t="n">
        <v>28</v>
      </c>
      <c r="C2635" s="57" t="inlineStr">
        <is>
          <t>Sample</t>
        </is>
      </c>
      <c r="D2635" s="57" t="inlineStr">
        <is>
          <t>HT3 26-001 Rep 1</t>
        </is>
      </c>
      <c r="E2635" s="57" t="inlineStr">
        <is>
          <t>UKYT-26-001</t>
        </is>
      </c>
      <c r="F2635" s="57" t="inlineStr"/>
    </row>
    <row r="2636" ht="25" customHeight="1" s="55">
      <c r="A2636" s="57" t="inlineStr">
        <is>
          <t>GABA</t>
        </is>
      </c>
      <c r="B2636" s="57" t="n">
        <v>29</v>
      </c>
      <c r="C2636" s="57" t="inlineStr">
        <is>
          <t>Sample</t>
        </is>
      </c>
      <c r="D2636" s="57" t="inlineStr">
        <is>
          <t>HT3 26-001 Rep 2</t>
        </is>
      </c>
      <c r="E2636" s="57" t="inlineStr">
        <is>
          <t>UKYT-26-001</t>
        </is>
      </c>
      <c r="F2636" s="57" t="inlineStr"/>
    </row>
    <row r="2637" ht="25" customHeight="1" s="55">
      <c r="A2637" s="57" t="inlineStr">
        <is>
          <t>GABA</t>
        </is>
      </c>
      <c r="B2637" s="57" t="n">
        <v>30</v>
      </c>
      <c r="C2637" s="57" t="inlineStr">
        <is>
          <t>Sample</t>
        </is>
      </c>
      <c r="D2637" s="57" t="inlineStr">
        <is>
          <t>HT3 26-001 Rep 3</t>
        </is>
      </c>
      <c r="E2637" s="57" t="inlineStr">
        <is>
          <t>UKYT-26-001</t>
        </is>
      </c>
      <c r="F2637" s="57" t="inlineStr"/>
    </row>
    <row r="2638" ht="25" customHeight="1" s="55">
      <c r="A2638" s="57" t="inlineStr">
        <is>
          <t>GABA</t>
        </is>
      </c>
      <c r="B2638" s="57" t="n">
        <v>31</v>
      </c>
      <c r="C2638" s="57" t="inlineStr">
        <is>
          <t>Sample</t>
        </is>
      </c>
      <c r="D2638" s="57" t="inlineStr">
        <is>
          <t>HT3 26-001 Rep 4</t>
        </is>
      </c>
      <c r="E2638" s="57" t="inlineStr">
        <is>
          <t>UKYT-26-001</t>
        </is>
      </c>
      <c r="F2638" s="57" t="inlineStr"/>
    </row>
    <row r="2639" ht="25" customHeight="1" s="55">
      <c r="A2639" s="57" t="inlineStr">
        <is>
          <t>GABA</t>
        </is>
      </c>
      <c r="B2639" s="57" t="n">
        <v>32</v>
      </c>
      <c r="C2639" s="57" t="inlineStr">
        <is>
          <t>Sample</t>
        </is>
      </c>
      <c r="D2639" s="57" t="inlineStr">
        <is>
          <t>HT3 25-002 Rep 1</t>
        </is>
      </c>
      <c r="E2639" s="57" t="inlineStr">
        <is>
          <t>UKYT-25-002</t>
        </is>
      </c>
      <c r="F2639" s="57" t="inlineStr"/>
    </row>
    <row r="2640" ht="25" customHeight="1" s="55">
      <c r="A2640" s="57" t="inlineStr">
        <is>
          <t>GABA</t>
        </is>
      </c>
      <c r="B2640" s="57" t="n">
        <v>33</v>
      </c>
      <c r="C2640" s="57" t="inlineStr">
        <is>
          <t>Sample</t>
        </is>
      </c>
      <c r="D2640" s="57" t="inlineStr">
        <is>
          <t>HT3 25-002 Rep 2</t>
        </is>
      </c>
      <c r="E2640" s="57" t="inlineStr">
        <is>
          <t>UKYT-25-002</t>
        </is>
      </c>
      <c r="F2640" s="57" t="inlineStr"/>
    </row>
    <row r="2641" ht="25" customHeight="1" s="55">
      <c r="A2641" s="57" t="inlineStr">
        <is>
          <t>GABA</t>
        </is>
      </c>
      <c r="B2641" s="57" t="n">
        <v>34</v>
      </c>
      <c r="C2641" s="57" t="inlineStr">
        <is>
          <t>Sample</t>
        </is>
      </c>
      <c r="D2641" s="57" t="inlineStr">
        <is>
          <t>HT3 25-002 Rep 3</t>
        </is>
      </c>
      <c r="E2641" s="57" t="inlineStr">
        <is>
          <t>UKYT-25-002</t>
        </is>
      </c>
      <c r="F2641" s="57" t="inlineStr"/>
    </row>
    <row r="2642" ht="25" customHeight="1" s="55">
      <c r="A2642" s="57" t="inlineStr">
        <is>
          <t>GABA</t>
        </is>
      </c>
      <c r="B2642" s="57" t="n">
        <v>35</v>
      </c>
      <c r="C2642" s="57" t="inlineStr">
        <is>
          <t>Sample</t>
        </is>
      </c>
      <c r="D2642" s="57" t="inlineStr">
        <is>
          <t>HT3 25-002 Rep 4</t>
        </is>
      </c>
      <c r="E2642" s="57" t="inlineStr">
        <is>
          <t>UKYT-25-002</t>
        </is>
      </c>
      <c r="F2642" s="57" t="inlineStr"/>
    </row>
    <row r="2643" ht="25" customHeight="1" s="55">
      <c r="A2643" s="57" t="inlineStr">
        <is>
          <t>GABA</t>
        </is>
      </c>
      <c r="B2643" s="57" t="n">
        <v>36</v>
      </c>
      <c r="C2643" s="57" t="inlineStr">
        <is>
          <t>Sample</t>
        </is>
      </c>
      <c r="D2643" s="57" t="inlineStr">
        <is>
          <t>HT3 M. Fresh Rep 1</t>
        </is>
      </c>
      <c r="E2643" s="57" t="inlineStr">
        <is>
          <t>Mountain Fresh</t>
        </is>
      </c>
      <c r="F2643" s="57" t="inlineStr"/>
    </row>
    <row r="2644" ht="25" customHeight="1" s="55">
      <c r="A2644" s="57" t="inlineStr">
        <is>
          <t>GABA</t>
        </is>
      </c>
      <c r="B2644" s="57" t="n">
        <v>37</v>
      </c>
      <c r="C2644" s="57" t="inlineStr">
        <is>
          <t>Sample</t>
        </is>
      </c>
      <c r="D2644" s="57" t="inlineStr">
        <is>
          <t>HT3 M. Fresh Rep 2</t>
        </is>
      </c>
      <c r="E2644" s="57" t="inlineStr">
        <is>
          <t>Mountain Fresh</t>
        </is>
      </c>
      <c r="F2644" s="57" t="inlineStr"/>
    </row>
    <row r="2645" ht="25" customHeight="1" s="55">
      <c r="A2645" s="57" t="inlineStr">
        <is>
          <t>GABA</t>
        </is>
      </c>
      <c r="B2645" s="57" t="n">
        <v>38</v>
      </c>
      <c r="C2645" s="57" t="inlineStr">
        <is>
          <t>Sample</t>
        </is>
      </c>
      <c r="D2645" s="57" t="inlineStr">
        <is>
          <t>HT3 M. Fresh Rep 3</t>
        </is>
      </c>
      <c r="E2645" s="57" t="inlineStr">
        <is>
          <t>Mountain Fresh</t>
        </is>
      </c>
      <c r="F2645" s="57" t="inlineStr"/>
    </row>
    <row r="2646" ht="25" customHeight="1" s="55">
      <c r="A2646" s="57" t="inlineStr">
        <is>
          <t>GABA</t>
        </is>
      </c>
      <c r="B2646" s="57" t="n">
        <v>39</v>
      </c>
      <c r="C2646" s="57" t="inlineStr">
        <is>
          <t>Sample</t>
        </is>
      </c>
      <c r="D2646" s="57" t="inlineStr">
        <is>
          <t>HT3 M. Fresh Rep 4</t>
        </is>
      </c>
      <c r="E2646" s="57" t="inlineStr">
        <is>
          <t>Mountain Fresh</t>
        </is>
      </c>
      <c r="F2646" s="57" t="inlineStr"/>
    </row>
    <row r="2647" ht="25" customHeight="1" s="55">
      <c r="A2647" s="57" t="inlineStr">
        <is>
          <t>GABA</t>
        </is>
      </c>
      <c r="B2647" s="57" t="n">
        <v>40</v>
      </c>
      <c r="C2647" s="57" t="inlineStr">
        <is>
          <t>Sample</t>
        </is>
      </c>
      <c r="D2647" s="57" t="inlineStr">
        <is>
          <t>HT3 25-004 Rep 1</t>
        </is>
      </c>
      <c r="E2647" s="57" t="inlineStr">
        <is>
          <t>UKYT-25-004</t>
        </is>
      </c>
      <c r="F2647" s="57" t="inlineStr"/>
    </row>
    <row r="2648" ht="25" customHeight="1" s="55">
      <c r="A2648" s="57" t="inlineStr">
        <is>
          <t>GABA</t>
        </is>
      </c>
      <c r="B2648" s="57" t="n">
        <v>41</v>
      </c>
      <c r="C2648" s="57" t="inlineStr">
        <is>
          <t>Sample</t>
        </is>
      </c>
      <c r="D2648" s="57" t="inlineStr">
        <is>
          <t>HT3 25-004 Rep 2</t>
        </is>
      </c>
      <c r="E2648" s="57" t="inlineStr">
        <is>
          <t>UKYT-25-004</t>
        </is>
      </c>
      <c r="F2648" s="57" t="inlineStr"/>
    </row>
    <row r="2649" ht="25" customHeight="1" s="55">
      <c r="A2649" s="57" t="inlineStr">
        <is>
          <t>GABA</t>
        </is>
      </c>
      <c r="B2649" s="57" t="n">
        <v>42</v>
      </c>
      <c r="C2649" s="57" t="inlineStr">
        <is>
          <t>Sample</t>
        </is>
      </c>
      <c r="D2649" s="57" t="inlineStr">
        <is>
          <t>HT3 25-004 Rep 3</t>
        </is>
      </c>
      <c r="E2649" s="57" t="inlineStr">
        <is>
          <t>UKYT-25-004</t>
        </is>
      </c>
      <c r="F2649" s="57" t="inlineStr"/>
    </row>
    <row r="2650" ht="25" customHeight="1" s="55">
      <c r="A2650" s="57" t="inlineStr">
        <is>
          <t>GABA</t>
        </is>
      </c>
      <c r="B2650" s="57" t="n">
        <v>43</v>
      </c>
      <c r="C2650" s="57" t="inlineStr">
        <is>
          <t>Sample</t>
        </is>
      </c>
      <c r="D2650" s="57" t="inlineStr">
        <is>
          <t>HT3 25-004 Rep 4</t>
        </is>
      </c>
      <c r="E2650" s="57" t="inlineStr">
        <is>
          <t>UKYT-25-004</t>
        </is>
      </c>
      <c r="F2650" s="57" t="inlineStr"/>
    </row>
    <row r="2651" ht="25" customHeight="1" s="55">
      <c r="A2651" s="57" t="inlineStr">
        <is>
          <t>GABA</t>
        </is>
      </c>
      <c r="B2651" s="57" t="n">
        <v>44</v>
      </c>
      <c r="C2651" s="57" t="inlineStr">
        <is>
          <t>Sample</t>
        </is>
      </c>
      <c r="D2651" s="57" t="inlineStr">
        <is>
          <t>HT3 25-005 Rep 1</t>
        </is>
      </c>
      <c r="E2651" s="57" t="inlineStr">
        <is>
          <t>UKYT-25-005</t>
        </is>
      </c>
      <c r="F2651" s="57" t="inlineStr"/>
    </row>
    <row r="2652" ht="25" customHeight="1" s="55">
      <c r="A2652" s="57" t="inlineStr">
        <is>
          <t>GABA</t>
        </is>
      </c>
      <c r="B2652" s="57" t="n">
        <v>45</v>
      </c>
      <c r="C2652" s="57" t="inlineStr">
        <is>
          <t>Sample</t>
        </is>
      </c>
      <c r="D2652" s="57" t="inlineStr">
        <is>
          <t>HT3 25-005 Rep 2</t>
        </is>
      </c>
      <c r="E2652" s="57" t="inlineStr">
        <is>
          <t>UKYT-25-005</t>
        </is>
      </c>
      <c r="F2652" s="57" t="inlineStr"/>
    </row>
    <row r="2653" ht="25" customHeight="1" s="55">
      <c r="A2653" s="57" t="inlineStr">
        <is>
          <t>GABA</t>
        </is>
      </c>
      <c r="B2653" s="57" t="n">
        <v>46</v>
      </c>
      <c r="C2653" s="57" t="inlineStr">
        <is>
          <t>Sample</t>
        </is>
      </c>
      <c r="D2653" s="57" t="inlineStr">
        <is>
          <t>HT3 25-005 Rep 3</t>
        </is>
      </c>
      <c r="E2653" s="57" t="inlineStr">
        <is>
          <t>UKYT-25-005</t>
        </is>
      </c>
      <c r="F2653" s="57" t="inlineStr"/>
    </row>
    <row r="2654" ht="25" customHeight="1" s="55">
      <c r="A2654" s="57" t="inlineStr">
        <is>
          <t>GABA</t>
        </is>
      </c>
      <c r="B2654" s="57" t="n">
        <v>47</v>
      </c>
      <c r="C2654" s="57" t="inlineStr">
        <is>
          <t>Sample</t>
        </is>
      </c>
      <c r="D2654" s="57" t="inlineStr">
        <is>
          <t>HT3 25-005 Rep 4</t>
        </is>
      </c>
      <c r="E2654" s="57" t="inlineStr">
        <is>
          <t>UKYT-25-005</t>
        </is>
      </c>
      <c r="F2654" s="57" t="inlineStr"/>
    </row>
    <row r="2655" ht="25" customHeight="1" s="55">
      <c r="A2655" s="57" t="inlineStr">
        <is>
          <t>GABA</t>
        </is>
      </c>
      <c r="B2655" s="57" t="n">
        <v>48</v>
      </c>
      <c r="C2655" s="57" t="inlineStr">
        <is>
          <t>Sample</t>
        </is>
      </c>
      <c r="D2655" s="57" t="inlineStr">
        <is>
          <t>HT3 26-006 Rep 1</t>
        </is>
      </c>
      <c r="E2655" s="57" t="inlineStr">
        <is>
          <t>UKYT-26-006</t>
        </is>
      </c>
      <c r="F2655" s="57" t="inlineStr"/>
    </row>
    <row r="2656" ht="25" customHeight="1" s="55">
      <c r="A2656" s="57" t="inlineStr">
        <is>
          <t>GABA</t>
        </is>
      </c>
      <c r="B2656" s="57" t="n">
        <v>49</v>
      </c>
      <c r="C2656" s="57" t="inlineStr">
        <is>
          <t>Sample</t>
        </is>
      </c>
      <c r="D2656" s="57" t="inlineStr">
        <is>
          <t>HT3 26-006 Rep 2</t>
        </is>
      </c>
      <c r="E2656" s="57" t="inlineStr">
        <is>
          <t>UKYT-26-006</t>
        </is>
      </c>
      <c r="F2656" s="57" t="inlineStr"/>
    </row>
    <row r="2657" ht="25" customHeight="1" s="55">
      <c r="A2657" s="57" t="inlineStr">
        <is>
          <t>GABA</t>
        </is>
      </c>
      <c r="B2657" s="57" t="n">
        <v>50</v>
      </c>
      <c r="C2657" s="57" t="inlineStr">
        <is>
          <t>Sample</t>
        </is>
      </c>
      <c r="D2657" s="57" t="inlineStr">
        <is>
          <t>HT3 26-006 Rep 3</t>
        </is>
      </c>
      <c r="E2657" s="57" t="inlineStr">
        <is>
          <t>UKYT-26-006</t>
        </is>
      </c>
      <c r="F2657" s="57" t="inlineStr"/>
    </row>
    <row r="2658" ht="25" customHeight="1" s="55">
      <c r="A2658" s="57" t="inlineStr">
        <is>
          <t>GABA</t>
        </is>
      </c>
      <c r="B2658" s="57" t="n">
        <v>51</v>
      </c>
      <c r="C2658" s="57" t="inlineStr">
        <is>
          <t>Sample</t>
        </is>
      </c>
      <c r="D2658" s="57" t="inlineStr">
        <is>
          <t>HT3 26-006 Rep 4</t>
        </is>
      </c>
      <c r="E2658" s="57" t="inlineStr">
        <is>
          <t>UKYT-26-006</t>
        </is>
      </c>
      <c r="F2658" s="57" t="inlineStr"/>
    </row>
    <row r="2659" ht="25" customHeight="1" s="55">
      <c r="A2659" s="57" t="inlineStr">
        <is>
          <t>GABA</t>
        </is>
      </c>
      <c r="B2659" s="57" t="n">
        <v>52</v>
      </c>
      <c r="C2659" s="57" t="inlineStr">
        <is>
          <t>Sample</t>
        </is>
      </c>
      <c r="D2659" s="57" t="inlineStr">
        <is>
          <t>HT3 25-007 Rep 1</t>
        </is>
      </c>
      <c r="E2659" s="57" t="inlineStr">
        <is>
          <t>UKYT-25-007</t>
        </is>
      </c>
      <c r="F2659" s="57" t="inlineStr"/>
    </row>
    <row r="2660" ht="25" customHeight="1" s="55">
      <c r="A2660" s="57" t="inlineStr">
        <is>
          <t>GABA</t>
        </is>
      </c>
      <c r="B2660" s="57" t="n">
        <v>53</v>
      </c>
      <c r="C2660" s="57" t="inlineStr">
        <is>
          <t>Sample</t>
        </is>
      </c>
      <c r="D2660" s="57" t="inlineStr">
        <is>
          <t>HT3 25-007 Rep 2</t>
        </is>
      </c>
      <c r="E2660" s="57" t="inlineStr">
        <is>
          <t>UKYT-25-007</t>
        </is>
      </c>
      <c r="F2660" s="57" t="inlineStr"/>
    </row>
    <row r="2661" ht="25" customHeight="1" s="55">
      <c r="A2661" s="57" t="inlineStr">
        <is>
          <t>GABA</t>
        </is>
      </c>
      <c r="B2661" s="57" t="n">
        <v>54</v>
      </c>
      <c r="C2661" s="57" t="inlineStr">
        <is>
          <t>Sample</t>
        </is>
      </c>
      <c r="D2661" s="57" t="inlineStr">
        <is>
          <t>HT3 25-007 Rep 3</t>
        </is>
      </c>
      <c r="E2661" s="57" t="inlineStr">
        <is>
          <t>UKYT-25-007</t>
        </is>
      </c>
      <c r="F2661" s="57" t="inlineStr"/>
    </row>
    <row r="2662" ht="25" customHeight="1" s="55">
      <c r="A2662" s="57" t="inlineStr">
        <is>
          <t>GABA</t>
        </is>
      </c>
      <c r="B2662" s="57" t="n">
        <v>55</v>
      </c>
      <c r="C2662" s="57" t="inlineStr">
        <is>
          <t>Sample</t>
        </is>
      </c>
      <c r="D2662" s="57" t="inlineStr">
        <is>
          <t>HT3 25-007 Rep 4</t>
        </is>
      </c>
      <c r="E2662" s="57" t="inlineStr">
        <is>
          <t>UKYT-25-007</t>
        </is>
      </c>
      <c r="F2662" s="57" t="inlineStr"/>
    </row>
    <row r="2663" ht="25" customHeight="1" s="55">
      <c r="A2663" s="57" t="inlineStr">
        <is>
          <t>GABA</t>
        </is>
      </c>
      <c r="B2663" s="57" t="n">
        <v>56</v>
      </c>
      <c r="C2663" s="57" t="inlineStr">
        <is>
          <t>Sample</t>
        </is>
      </c>
      <c r="D2663" s="57" t="inlineStr">
        <is>
          <t>HT3 25-008 Rep 1</t>
        </is>
      </c>
      <c r="E2663" s="57" t="inlineStr">
        <is>
          <t>UKYT-25-008</t>
        </is>
      </c>
      <c r="F2663" s="57" t="inlineStr"/>
    </row>
    <row r="2664" ht="25" customHeight="1" s="55">
      <c r="A2664" s="57" t="inlineStr">
        <is>
          <t>GABA</t>
        </is>
      </c>
      <c r="B2664" s="57" t="n">
        <v>57</v>
      </c>
      <c r="C2664" s="57" t="inlineStr">
        <is>
          <t>Sample</t>
        </is>
      </c>
      <c r="D2664" s="57" t="inlineStr">
        <is>
          <t>HT3 25-008 Rep 2</t>
        </is>
      </c>
      <c r="E2664" s="57" t="inlineStr">
        <is>
          <t>UKYT-25-008</t>
        </is>
      </c>
      <c r="F2664" s="57" t="inlineStr"/>
    </row>
    <row r="2665" ht="25" customHeight="1" s="55">
      <c r="A2665" s="57" t="inlineStr">
        <is>
          <t>GABA</t>
        </is>
      </c>
      <c r="B2665" s="57" t="n">
        <v>58</v>
      </c>
      <c r="C2665" s="57" t="inlineStr">
        <is>
          <t>Sample</t>
        </is>
      </c>
      <c r="D2665" s="57" t="inlineStr">
        <is>
          <t>HT3 25-008 Rep 3</t>
        </is>
      </c>
      <c r="E2665" s="57" t="inlineStr">
        <is>
          <t>UKYT-25-008</t>
        </is>
      </c>
      <c r="F2665" s="57" t="inlineStr"/>
    </row>
    <row r="2666" ht="25" customHeight="1" s="55">
      <c r="A2666" s="57" t="inlineStr">
        <is>
          <t>GABA</t>
        </is>
      </c>
      <c r="B2666" s="57" t="n">
        <v>59</v>
      </c>
      <c r="C2666" s="57" t="inlineStr">
        <is>
          <t>Sample</t>
        </is>
      </c>
      <c r="D2666" s="57" t="inlineStr">
        <is>
          <t>HT3 25-008 Rep 4</t>
        </is>
      </c>
      <c r="E2666" s="57" t="inlineStr">
        <is>
          <t>UKYT-25-008</t>
        </is>
      </c>
      <c r="F2666" s="57" t="inlineStr"/>
    </row>
    <row r="2667" ht="25" customHeight="1" s="55">
      <c r="A2667" s="57" t="inlineStr">
        <is>
          <t>GABA</t>
        </is>
      </c>
      <c r="B2667" s="57" t="n">
        <v>60</v>
      </c>
      <c r="C2667" s="57" t="inlineStr">
        <is>
          <t>Sample</t>
        </is>
      </c>
      <c r="D2667" s="57" t="inlineStr">
        <is>
          <t>HT3 25-009 Rep 1</t>
        </is>
      </c>
      <c r="E2667" s="57" t="inlineStr">
        <is>
          <t>UKYT-25-009</t>
        </is>
      </c>
      <c r="F2667" s="57" t="inlineStr"/>
    </row>
    <row r="2668" ht="25" customHeight="1" s="55">
      <c r="A2668" s="57" t="inlineStr">
        <is>
          <t>GABA</t>
        </is>
      </c>
      <c r="B2668" s="57" t="n">
        <v>61</v>
      </c>
      <c r="C2668" s="57" t="inlineStr">
        <is>
          <t>Sample</t>
        </is>
      </c>
      <c r="D2668" s="57" t="inlineStr">
        <is>
          <t>HT3 25-009 Rep 2</t>
        </is>
      </c>
      <c r="E2668" s="57" t="inlineStr">
        <is>
          <t>UKYT-25-009</t>
        </is>
      </c>
      <c r="F2668" s="57" t="inlineStr"/>
    </row>
    <row r="2669" ht="25" customHeight="1" s="55">
      <c r="A2669" s="57" t="inlineStr">
        <is>
          <t>GABA</t>
        </is>
      </c>
      <c r="B2669" s="57" t="n">
        <v>62</v>
      </c>
      <c r="C2669" s="57" t="inlineStr">
        <is>
          <t>Sample</t>
        </is>
      </c>
      <c r="D2669" s="57" t="inlineStr">
        <is>
          <t>HT3 25-009 Rep 3</t>
        </is>
      </c>
      <c r="E2669" s="57" t="inlineStr">
        <is>
          <t>UKYT-25-009</t>
        </is>
      </c>
      <c r="F2669" s="57" t="inlineStr"/>
    </row>
    <row r="2670" ht="25" customHeight="1" s="55">
      <c r="A2670" s="57" t="inlineStr">
        <is>
          <t>GABA</t>
        </is>
      </c>
      <c r="B2670" s="57" t="n">
        <v>63</v>
      </c>
      <c r="C2670" s="57" t="inlineStr">
        <is>
          <t>Sample</t>
        </is>
      </c>
      <c r="D2670" s="57" t="inlineStr">
        <is>
          <t>HT3 25-009 Rep 4</t>
        </is>
      </c>
      <c r="E2670" s="57" t="inlineStr">
        <is>
          <t>UKYT-25-009</t>
        </is>
      </c>
      <c r="F2670" s="57" t="inlineStr"/>
    </row>
    <row r="2671" ht="25" customHeight="1" s="55">
      <c r="A2671" s="57" t="inlineStr">
        <is>
          <t>GABA</t>
        </is>
      </c>
      <c r="B2671" s="57" t="n">
        <v>64</v>
      </c>
      <c r="C2671" s="57" t="inlineStr">
        <is>
          <t>Sample</t>
        </is>
      </c>
      <c r="D2671" s="57" t="inlineStr">
        <is>
          <t>HT3 25-010 Rep 1</t>
        </is>
      </c>
      <c r="E2671" s="57" t="inlineStr">
        <is>
          <t>UKYT-25-010</t>
        </is>
      </c>
      <c r="F2671" s="57" t="inlineStr"/>
    </row>
    <row r="2672" ht="25" customHeight="1" s="55">
      <c r="A2672" s="57" t="inlineStr">
        <is>
          <t>GABA</t>
        </is>
      </c>
      <c r="B2672" s="57" t="n">
        <v>65</v>
      </c>
      <c r="C2672" s="57" t="inlineStr">
        <is>
          <t>Sample</t>
        </is>
      </c>
      <c r="D2672" s="57" t="inlineStr">
        <is>
          <t>HT3 25-010 Rep 2</t>
        </is>
      </c>
      <c r="E2672" s="57" t="inlineStr">
        <is>
          <t>UKYT-25-010</t>
        </is>
      </c>
      <c r="F2672" s="57" t="inlineStr"/>
    </row>
    <row r="2673" ht="25" customHeight="1" s="55">
      <c r="A2673" s="57" t="inlineStr">
        <is>
          <t>GABA</t>
        </is>
      </c>
      <c r="B2673" s="57" t="n">
        <v>66</v>
      </c>
      <c r="C2673" s="57" t="inlineStr">
        <is>
          <t>Sample</t>
        </is>
      </c>
      <c r="D2673" s="57" t="inlineStr">
        <is>
          <t>HT3 25-010 Rep 3</t>
        </is>
      </c>
      <c r="E2673" s="57" t="inlineStr">
        <is>
          <t>UKYT-25-010</t>
        </is>
      </c>
      <c r="F2673" s="57" t="inlineStr"/>
    </row>
    <row r="2674" ht="25" customHeight="1" s="55">
      <c r="A2674" s="57" t="inlineStr">
        <is>
          <t>GABA</t>
        </is>
      </c>
      <c r="B2674" s="57" t="n">
        <v>67</v>
      </c>
      <c r="C2674" s="57" t="inlineStr">
        <is>
          <t>Sample</t>
        </is>
      </c>
      <c r="D2674" s="57" t="inlineStr">
        <is>
          <t>HT3 25-010 Rep 4</t>
        </is>
      </c>
      <c r="E2674" s="57" t="inlineStr">
        <is>
          <t>UKYT-25-010</t>
        </is>
      </c>
      <c r="F2674" s="57" t="inlineStr"/>
    </row>
    <row r="2675" ht="25" customHeight="1" s="55">
      <c r="A2675" s="57" t="inlineStr">
        <is>
          <t>GABA</t>
        </is>
      </c>
      <c r="B2675" s="57" t="n">
        <v>68</v>
      </c>
      <c r="C2675" s="57" t="inlineStr">
        <is>
          <t>Sample</t>
        </is>
      </c>
      <c r="D2675" s="57" t="inlineStr">
        <is>
          <t>HT3 25-011 Rep 1</t>
        </is>
      </c>
      <c r="E2675" s="57" t="inlineStr">
        <is>
          <t>UKYT-25-011</t>
        </is>
      </c>
      <c r="F2675" s="57" t="inlineStr"/>
    </row>
    <row r="2676" ht="25" customHeight="1" s="55">
      <c r="A2676" s="57" t="inlineStr">
        <is>
          <t>GABA</t>
        </is>
      </c>
      <c r="B2676" s="57" t="n">
        <v>69</v>
      </c>
      <c r="C2676" s="57" t="inlineStr">
        <is>
          <t>Sample</t>
        </is>
      </c>
      <c r="D2676" s="57" t="inlineStr">
        <is>
          <t>HT3 25-011 Rep 2</t>
        </is>
      </c>
      <c r="E2676" s="57" t="inlineStr">
        <is>
          <t>UKYT-25-011</t>
        </is>
      </c>
      <c r="F2676" s="57" t="inlineStr"/>
    </row>
    <row r="2677" ht="25" customHeight="1" s="55">
      <c r="A2677" s="57" t="inlineStr">
        <is>
          <t>GABA</t>
        </is>
      </c>
      <c r="B2677" s="57" t="n">
        <v>70</v>
      </c>
      <c r="C2677" s="57" t="inlineStr">
        <is>
          <t>Sample</t>
        </is>
      </c>
      <c r="D2677" s="57" t="inlineStr">
        <is>
          <t>HT3 25-011 Rep 3</t>
        </is>
      </c>
      <c r="E2677" s="57" t="inlineStr">
        <is>
          <t>UKYT-25-011</t>
        </is>
      </c>
      <c r="F2677" s="57" t="inlineStr"/>
    </row>
    <row r="2678" ht="25" customHeight="1" s="55">
      <c r="A2678" s="57" t="inlineStr">
        <is>
          <t>GABA</t>
        </is>
      </c>
      <c r="B2678" s="57" t="n">
        <v>71</v>
      </c>
      <c r="C2678" s="57" t="inlineStr">
        <is>
          <t>Sample</t>
        </is>
      </c>
      <c r="D2678" s="57" t="inlineStr">
        <is>
          <t>HT3 25-011 Rep 4</t>
        </is>
      </c>
      <c r="E2678" s="57" t="inlineStr">
        <is>
          <t>UKYT-25-011</t>
        </is>
      </c>
      <c r="F2678" s="57" t="inlineStr"/>
    </row>
    <row r="2679" ht="25" customHeight="1" s="55">
      <c r="A2679" s="57" t="inlineStr">
        <is>
          <t>GABA</t>
        </is>
      </c>
      <c r="B2679" s="57" t="n">
        <v>72</v>
      </c>
      <c r="C2679" s="57" t="inlineStr">
        <is>
          <t>Sample</t>
        </is>
      </c>
      <c r="D2679" s="57" t="inlineStr">
        <is>
          <t>HT3 25-012 Rep 1</t>
        </is>
      </c>
      <c r="E2679" s="57" t="inlineStr">
        <is>
          <t>UKYT-25-012</t>
        </is>
      </c>
      <c r="F2679" s="57" t="inlineStr"/>
    </row>
    <row r="2680" ht="25" customHeight="1" s="55">
      <c r="A2680" s="57" t="inlineStr">
        <is>
          <t>GABA</t>
        </is>
      </c>
      <c r="B2680" s="57" t="n">
        <v>73</v>
      </c>
      <c r="C2680" s="57" t="inlineStr">
        <is>
          <t>Sample</t>
        </is>
      </c>
      <c r="D2680" s="57" t="inlineStr">
        <is>
          <t>HT3 25-012 Rep 2</t>
        </is>
      </c>
      <c r="E2680" s="57" t="inlineStr">
        <is>
          <t>UKYT-25-012</t>
        </is>
      </c>
      <c r="F2680" s="57" t="inlineStr"/>
    </row>
    <row r="2681" ht="25" customHeight="1" s="55">
      <c r="A2681" s="57" t="inlineStr">
        <is>
          <t>GABA</t>
        </is>
      </c>
      <c r="B2681" s="57" t="n">
        <v>74</v>
      </c>
      <c r="C2681" s="57" t="inlineStr">
        <is>
          <t>Sample</t>
        </is>
      </c>
      <c r="D2681" s="57" t="inlineStr">
        <is>
          <t>HT3 25-012 Rep 3</t>
        </is>
      </c>
      <c r="E2681" s="57" t="inlineStr">
        <is>
          <t>UKYT-25-012</t>
        </is>
      </c>
      <c r="F2681" s="57" t="inlineStr"/>
    </row>
    <row r="2682" ht="25" customHeight="1" s="55">
      <c r="A2682" s="57" t="inlineStr">
        <is>
          <t>GABA</t>
        </is>
      </c>
      <c r="B2682" s="57" t="n">
        <v>75</v>
      </c>
      <c r="C2682" s="57" t="inlineStr">
        <is>
          <t>Sample</t>
        </is>
      </c>
      <c r="D2682" s="57" t="inlineStr">
        <is>
          <t>HT3 25-012 Rep 4</t>
        </is>
      </c>
      <c r="E2682" s="57" t="inlineStr">
        <is>
          <t>UKYT-25-012</t>
        </is>
      </c>
      <c r="F2682" s="57" t="inlineStr"/>
    </row>
    <row r="2683" ht="25" customHeight="1" s="55">
      <c r="A2683" s="57" t="inlineStr">
        <is>
          <t>GABA</t>
        </is>
      </c>
      <c r="B2683" s="57" t="n">
        <v>76</v>
      </c>
      <c r="C2683" s="57" t="inlineStr">
        <is>
          <t>Sample</t>
        </is>
      </c>
      <c r="D2683" s="57" t="inlineStr">
        <is>
          <t>HT3 25-013 Rep 1</t>
        </is>
      </c>
      <c r="E2683" s="57" t="inlineStr">
        <is>
          <t>UKYT-25-013</t>
        </is>
      </c>
      <c r="F2683" s="57" t="inlineStr"/>
    </row>
    <row r="2684" ht="25" customHeight="1" s="55">
      <c r="A2684" s="57" t="inlineStr">
        <is>
          <t>GABA</t>
        </is>
      </c>
      <c r="B2684" s="57" t="n">
        <v>77</v>
      </c>
      <c r="C2684" s="57" t="inlineStr">
        <is>
          <t>Sample</t>
        </is>
      </c>
      <c r="D2684" s="57" t="inlineStr">
        <is>
          <t>HT3 25-013 Rep 2</t>
        </is>
      </c>
      <c r="E2684" s="57" t="inlineStr">
        <is>
          <t>UKYT-25-013</t>
        </is>
      </c>
      <c r="F2684" s="57" t="inlineStr"/>
    </row>
    <row r="2685" ht="25" customHeight="1" s="55">
      <c r="A2685" s="57" t="inlineStr">
        <is>
          <t>GABA</t>
        </is>
      </c>
      <c r="B2685" s="57" t="n">
        <v>78</v>
      </c>
      <c r="C2685" s="57" t="inlineStr">
        <is>
          <t>Sample</t>
        </is>
      </c>
      <c r="D2685" s="57" t="inlineStr">
        <is>
          <t>HT3 25-013 Rep 3</t>
        </is>
      </c>
      <c r="E2685" s="57" t="inlineStr">
        <is>
          <t>UKYT-25-013</t>
        </is>
      </c>
      <c r="F2685" s="57" t="inlineStr"/>
    </row>
    <row r="2686" ht="25" customHeight="1" s="55">
      <c r="A2686" s="57" t="inlineStr">
        <is>
          <t>GABA</t>
        </is>
      </c>
      <c r="B2686" s="57" t="n">
        <v>79</v>
      </c>
      <c r="C2686" s="57" t="inlineStr">
        <is>
          <t>Sample</t>
        </is>
      </c>
      <c r="D2686" s="57" t="inlineStr">
        <is>
          <t>HT3 25-013 Rep 4</t>
        </is>
      </c>
      <c r="E2686" s="57" t="inlineStr">
        <is>
          <t>UKYT-25-013</t>
        </is>
      </c>
      <c r="F2686" s="57" t="inlineStr"/>
    </row>
    <row r="2687" ht="25" customHeight="1" s="55">
      <c r="A2687" s="57" t="inlineStr">
        <is>
          <t>GABA</t>
        </is>
      </c>
      <c r="B2687" s="57" t="n">
        <v>80</v>
      </c>
      <c r="C2687" s="57" t="inlineStr">
        <is>
          <t>Sample</t>
        </is>
      </c>
      <c r="D2687" s="57" t="inlineStr">
        <is>
          <t>HT3 25-014 Rep 1</t>
        </is>
      </c>
      <c r="E2687" s="57" t="inlineStr">
        <is>
          <t>UKYT-25-014</t>
        </is>
      </c>
      <c r="F2687" s="57" t="inlineStr"/>
    </row>
    <row r="2688" ht="25" customHeight="1" s="55">
      <c r="A2688" s="57" t="inlineStr">
        <is>
          <t>GABA</t>
        </is>
      </c>
      <c r="B2688" s="57" t="n">
        <v>81</v>
      </c>
      <c r="C2688" s="57" t="inlineStr">
        <is>
          <t>Sample</t>
        </is>
      </c>
      <c r="D2688" s="57" t="inlineStr">
        <is>
          <t>HT3 25-014 Rep 2</t>
        </is>
      </c>
      <c r="E2688" s="57" t="inlineStr">
        <is>
          <t>UKYT-25-014</t>
        </is>
      </c>
      <c r="F2688" s="57" t="inlineStr"/>
    </row>
    <row r="2689" ht="25" customHeight="1" s="55">
      <c r="A2689" s="57" t="inlineStr">
        <is>
          <t>GABA</t>
        </is>
      </c>
      <c r="B2689" s="57" t="n">
        <v>82</v>
      </c>
      <c r="C2689" s="57" t="inlineStr">
        <is>
          <t>Sample</t>
        </is>
      </c>
      <c r="D2689" s="57" t="inlineStr">
        <is>
          <t>HT3 25-014 Rep 3</t>
        </is>
      </c>
      <c r="E2689" s="57" t="inlineStr">
        <is>
          <t>UKYT-25-014</t>
        </is>
      </c>
      <c r="F2689" s="57" t="inlineStr"/>
    </row>
    <row r="2690" ht="25" customHeight="1" s="55">
      <c r="A2690" s="57" t="inlineStr">
        <is>
          <t>GABA</t>
        </is>
      </c>
      <c r="B2690" s="57" t="n">
        <v>83</v>
      </c>
      <c r="C2690" s="57" t="inlineStr">
        <is>
          <t>Sample</t>
        </is>
      </c>
      <c r="D2690" s="57" t="inlineStr">
        <is>
          <t>HT3 25-014 Rep 4</t>
        </is>
      </c>
      <c r="E2690" s="57" t="inlineStr">
        <is>
          <t>UKYT-25-014</t>
        </is>
      </c>
      <c r="F2690" s="57" t="inlineStr"/>
    </row>
    <row r="2691" ht="25" customHeight="1" s="55">
      <c r="A2691" s="57" t="inlineStr">
        <is>
          <t>GABA</t>
        </is>
      </c>
      <c r="B2691" s="57" t="n">
        <v>84</v>
      </c>
      <c r="C2691" s="57" t="inlineStr">
        <is>
          <t>Sample</t>
        </is>
      </c>
      <c r="D2691" s="57" t="inlineStr">
        <is>
          <t>HT3 25-016  Rep 1</t>
        </is>
      </c>
      <c r="E2691" s="57" t="inlineStr">
        <is>
          <t>UKYT-25-016</t>
        </is>
      </c>
      <c r="F2691" s="57" t="inlineStr"/>
    </row>
    <row r="2692" ht="25" customHeight="1" s="55">
      <c r="A2692" s="57" t="inlineStr">
        <is>
          <t>GABA</t>
        </is>
      </c>
      <c r="B2692" s="57" t="n">
        <v>85</v>
      </c>
      <c r="C2692" s="57" t="inlineStr">
        <is>
          <t>Sample</t>
        </is>
      </c>
      <c r="D2692" s="57" t="inlineStr">
        <is>
          <t>HT3 25-016  Rep 2</t>
        </is>
      </c>
      <c r="E2692" s="57" t="inlineStr">
        <is>
          <t>UKYT-25-016</t>
        </is>
      </c>
      <c r="F2692" s="57" t="inlineStr"/>
    </row>
    <row r="2693" ht="25" customHeight="1" s="55">
      <c r="A2693" s="57" t="inlineStr">
        <is>
          <t>GABA</t>
        </is>
      </c>
      <c r="B2693" s="57" t="n">
        <v>86</v>
      </c>
      <c r="C2693" s="57" t="inlineStr">
        <is>
          <t>Sample</t>
        </is>
      </c>
      <c r="D2693" s="57" t="inlineStr">
        <is>
          <t>HT3 25-016  Rep 3</t>
        </is>
      </c>
      <c r="E2693" s="57" t="inlineStr">
        <is>
          <t>UKYT-25-016</t>
        </is>
      </c>
      <c r="F2693" s="57" t="inlineStr"/>
    </row>
    <row r="2694" ht="25" customHeight="1" s="55">
      <c r="A2694" s="57" t="inlineStr">
        <is>
          <t>GABA</t>
        </is>
      </c>
      <c r="B2694" s="57" t="n">
        <v>87</v>
      </c>
      <c r="C2694" s="57" t="inlineStr">
        <is>
          <t>Sample</t>
        </is>
      </c>
      <c r="D2694" s="57" t="inlineStr">
        <is>
          <t>HT3 25-016  Rep 4</t>
        </is>
      </c>
      <c r="E2694" s="57" t="inlineStr">
        <is>
          <t>UKYT-25-016</t>
        </is>
      </c>
      <c r="F2694" s="57" t="inlineStr"/>
    </row>
    <row r="2695" ht="25" customHeight="1" s="55">
      <c r="A2695" s="57" t="inlineStr">
        <is>
          <t>GABA</t>
        </is>
      </c>
      <c r="B2695" s="57" t="n">
        <v>88</v>
      </c>
      <c r="C2695" s="57" t="inlineStr">
        <is>
          <t>Sample</t>
        </is>
      </c>
      <c r="D2695" s="57" t="inlineStr">
        <is>
          <t>HT3 25-017 Rep 1</t>
        </is>
      </c>
      <c r="E2695" s="57" t="inlineStr">
        <is>
          <t>UKYT-25-017</t>
        </is>
      </c>
      <c r="F2695" s="57" t="inlineStr"/>
    </row>
    <row r="2696" ht="25" customHeight="1" s="55">
      <c r="A2696" s="57" t="inlineStr">
        <is>
          <t>GABA</t>
        </is>
      </c>
      <c r="B2696" s="57" t="n">
        <v>89</v>
      </c>
      <c r="C2696" s="57" t="inlineStr">
        <is>
          <t>Sample</t>
        </is>
      </c>
      <c r="D2696" s="57" t="inlineStr">
        <is>
          <t>HT3 25-017 Rep 2</t>
        </is>
      </c>
      <c r="E2696" s="57" t="inlineStr">
        <is>
          <t>UKYT-25-017</t>
        </is>
      </c>
      <c r="F2696" s="57" t="inlineStr"/>
    </row>
    <row r="2697" ht="25" customHeight="1" s="55">
      <c r="A2697" s="57" t="inlineStr">
        <is>
          <t>GABA</t>
        </is>
      </c>
      <c r="B2697" s="57" t="n">
        <v>90</v>
      </c>
      <c r="C2697" s="57" t="inlineStr">
        <is>
          <t>Sample</t>
        </is>
      </c>
      <c r="D2697" s="57" t="inlineStr">
        <is>
          <t>HT3 25-017 Rep 3</t>
        </is>
      </c>
      <c r="E2697" s="57" t="inlineStr">
        <is>
          <t>UKYT-25-017</t>
        </is>
      </c>
      <c r="F2697" s="57" t="inlineStr"/>
    </row>
    <row r="2698" ht="25" customHeight="1" s="55">
      <c r="A2698" s="57" t="inlineStr">
        <is>
          <t>GABA</t>
        </is>
      </c>
      <c r="B2698" s="57" t="n">
        <v>91</v>
      </c>
      <c r="C2698" s="57" t="inlineStr">
        <is>
          <t>Sample</t>
        </is>
      </c>
      <c r="D2698" s="57" t="inlineStr">
        <is>
          <t>HT3 25-017 Rep 4</t>
        </is>
      </c>
      <c r="E2698" s="57" t="inlineStr">
        <is>
          <t>UKYT-25-017</t>
        </is>
      </c>
      <c r="F2698" s="57" t="inlineStr"/>
    </row>
    <row r="2699" ht="25" customHeight="1" s="55">
      <c r="A2699" s="57" t="inlineStr">
        <is>
          <t>GABA</t>
        </is>
      </c>
      <c r="B2699" s="57" t="n">
        <v>92</v>
      </c>
      <c r="C2699" s="57" t="inlineStr">
        <is>
          <t>Sample</t>
        </is>
      </c>
      <c r="D2699" s="57" t="inlineStr">
        <is>
          <t>HT3 25-018 Rep 1</t>
        </is>
      </c>
      <c r="E2699" s="57" t="inlineStr">
        <is>
          <t>UKYT-25-018</t>
        </is>
      </c>
      <c r="F2699" s="57" t="inlineStr"/>
    </row>
    <row r="2700" ht="25" customHeight="1" s="55">
      <c r="A2700" s="57" t="inlineStr">
        <is>
          <t>GABA</t>
        </is>
      </c>
      <c r="B2700" s="57" t="n">
        <v>93</v>
      </c>
      <c r="C2700" s="57" t="inlineStr">
        <is>
          <t>Sample</t>
        </is>
      </c>
      <c r="D2700" s="57" t="inlineStr">
        <is>
          <t>HT3 25-018 Rep 2</t>
        </is>
      </c>
      <c r="E2700" s="57" t="inlineStr">
        <is>
          <t>UKYT-25-018</t>
        </is>
      </c>
      <c r="F2700" s="57" t="inlineStr"/>
    </row>
    <row r="2701" ht="25" customHeight="1" s="55">
      <c r="A2701" s="57" t="inlineStr">
        <is>
          <t>GABA</t>
        </is>
      </c>
      <c r="B2701" s="57" t="n">
        <v>94</v>
      </c>
      <c r="C2701" s="57" t="inlineStr">
        <is>
          <t>Sample</t>
        </is>
      </c>
      <c r="D2701" s="57" t="inlineStr">
        <is>
          <t>HT3 25-018 Rep 3</t>
        </is>
      </c>
      <c r="E2701" s="57" t="inlineStr">
        <is>
          <t>UKYT-25-018</t>
        </is>
      </c>
      <c r="F2701" s="57" t="inlineStr"/>
    </row>
    <row r="2702" ht="25" customHeight="1" s="55">
      <c r="A2702" s="57" t="inlineStr">
        <is>
          <t>GABA</t>
        </is>
      </c>
      <c r="B2702" s="57" t="n">
        <v>95</v>
      </c>
      <c r="C2702" s="57" t="inlineStr">
        <is>
          <t>Sample</t>
        </is>
      </c>
      <c r="D2702" s="57" t="inlineStr">
        <is>
          <t>HT3 25-018 Rep 4</t>
        </is>
      </c>
      <c r="E2702" s="57" t="inlineStr">
        <is>
          <t>UKYT-25-018</t>
        </is>
      </c>
      <c r="F2702" s="57" t="inlineStr"/>
    </row>
    <row r="2703" ht="25" customHeight="1" s="55">
      <c r="A2703" s="57" t="inlineStr">
        <is>
          <t>GABA</t>
        </is>
      </c>
      <c r="B2703" s="57" t="n">
        <v>96</v>
      </c>
      <c r="C2703" s="57" t="inlineStr">
        <is>
          <t>Sample</t>
        </is>
      </c>
      <c r="D2703" s="57" t="inlineStr">
        <is>
          <t>H2 25-002 Rep 1</t>
        </is>
      </c>
      <c r="E2703" s="57" t="inlineStr">
        <is>
          <t>UKYT-25-002</t>
        </is>
      </c>
      <c r="F2703" s="57" t="inlineStr"/>
    </row>
    <row r="2704" ht="25" customHeight="1" s="55">
      <c r="A2704" s="57" t="inlineStr">
        <is>
          <t>GABA</t>
        </is>
      </c>
      <c r="B2704" s="57" t="n">
        <v>97</v>
      </c>
      <c r="C2704" s="57" t="inlineStr">
        <is>
          <t>Sample</t>
        </is>
      </c>
      <c r="D2704" s="57" t="inlineStr">
        <is>
          <t>H2 25-002 Rep 2</t>
        </is>
      </c>
      <c r="E2704" s="57" t="inlineStr">
        <is>
          <t>UKYT-25-002</t>
        </is>
      </c>
      <c r="F2704" s="57" t="inlineStr"/>
    </row>
    <row r="2705" ht="25" customHeight="1" s="55">
      <c r="A2705" s="57" t="inlineStr">
        <is>
          <t>GABA</t>
        </is>
      </c>
      <c r="B2705" s="57" t="n">
        <v>98</v>
      </c>
      <c r="C2705" s="57" t="inlineStr">
        <is>
          <t>Sample</t>
        </is>
      </c>
      <c r="D2705" s="57" t="inlineStr">
        <is>
          <t>H2 25-002 Rep 3</t>
        </is>
      </c>
      <c r="E2705" s="57" t="inlineStr">
        <is>
          <t>UKYT-25-002</t>
        </is>
      </c>
      <c r="F2705" s="57" t="inlineStr"/>
    </row>
    <row r="2706" ht="25" customHeight="1" s="55">
      <c r="A2706" s="57" t="inlineStr">
        <is>
          <t>GABA</t>
        </is>
      </c>
      <c r="B2706" s="57" t="n">
        <v>99</v>
      </c>
      <c r="C2706" s="57" t="inlineStr">
        <is>
          <t>Sample</t>
        </is>
      </c>
      <c r="D2706" s="57" t="inlineStr">
        <is>
          <t>H2 25-002 Rep 4</t>
        </is>
      </c>
      <c r="E2706" s="57" t="inlineStr">
        <is>
          <t>UKYT-25-002</t>
        </is>
      </c>
      <c r="F2706" s="57" t="inlineStr"/>
    </row>
    <row r="2707" ht="25" customHeight="1" s="55">
      <c r="A2707" s="57" t="inlineStr">
        <is>
          <t>GABA</t>
        </is>
      </c>
      <c r="B2707" s="57" t="n">
        <v>100</v>
      </c>
      <c r="C2707" s="57" t="inlineStr">
        <is>
          <t>Sample</t>
        </is>
      </c>
      <c r="D2707" s="57" t="inlineStr">
        <is>
          <t>H2 25-004 Rep 1</t>
        </is>
      </c>
      <c r="E2707" s="57" t="inlineStr">
        <is>
          <t>UKYT-25-004</t>
        </is>
      </c>
      <c r="F2707" s="57" t="inlineStr"/>
    </row>
    <row r="2708" ht="25" customHeight="1" s="55">
      <c r="A2708" s="57" t="inlineStr">
        <is>
          <t>GABA</t>
        </is>
      </c>
      <c r="B2708" s="57" t="n">
        <v>101</v>
      </c>
      <c r="C2708" s="57" t="inlineStr">
        <is>
          <t>Sample</t>
        </is>
      </c>
      <c r="D2708" s="57" t="inlineStr">
        <is>
          <t>H2 25-004 Rep 2</t>
        </is>
      </c>
      <c r="E2708" s="57" t="inlineStr">
        <is>
          <t>UKYT-25-004</t>
        </is>
      </c>
      <c r="F2708" s="57" t="inlineStr"/>
    </row>
    <row r="2709" ht="25" customHeight="1" s="55">
      <c r="A2709" s="57" t="inlineStr">
        <is>
          <t>GABA</t>
        </is>
      </c>
      <c r="B2709" s="57" t="n">
        <v>102</v>
      </c>
      <c r="C2709" s="57" t="inlineStr">
        <is>
          <t>Sample</t>
        </is>
      </c>
      <c r="D2709" s="57" t="inlineStr">
        <is>
          <t>H2 25-004 Rep 3</t>
        </is>
      </c>
      <c r="E2709" s="57" t="inlineStr">
        <is>
          <t>UKYT-25-004</t>
        </is>
      </c>
      <c r="F2709" s="57" t="inlineStr"/>
    </row>
    <row r="2710" ht="25" customHeight="1" s="55">
      <c r="A2710" s="57" t="inlineStr">
        <is>
          <t>GABA</t>
        </is>
      </c>
      <c r="B2710" s="57" t="n">
        <v>103</v>
      </c>
      <c r="C2710" s="57" t="inlineStr">
        <is>
          <t>Sample</t>
        </is>
      </c>
      <c r="D2710" s="57" t="inlineStr">
        <is>
          <t>H2 25-004 Rep 4</t>
        </is>
      </c>
      <c r="E2710" s="57" t="inlineStr">
        <is>
          <t>UKYT-25-004</t>
        </is>
      </c>
      <c r="F2710" s="57" t="inlineStr"/>
    </row>
    <row r="2711" ht="25" customHeight="1" s="55">
      <c r="A2711" s="57" t="inlineStr">
        <is>
          <t>GABA</t>
        </is>
      </c>
      <c r="B2711" s="57" t="n">
        <v>104</v>
      </c>
      <c r="C2711" s="57" t="inlineStr">
        <is>
          <t>Sample</t>
        </is>
      </c>
      <c r="D2711" s="57" t="inlineStr">
        <is>
          <t>H2 25-007 Rep 1</t>
        </is>
      </c>
      <c r="E2711" s="57" t="inlineStr">
        <is>
          <t>UKYT-25-007</t>
        </is>
      </c>
      <c r="F2711" s="57" t="inlineStr"/>
    </row>
    <row r="2712" ht="25" customHeight="1" s="55">
      <c r="A2712" s="57" t="inlineStr">
        <is>
          <t>GABA</t>
        </is>
      </c>
      <c r="B2712" s="57" t="n">
        <v>105</v>
      </c>
      <c r="C2712" s="57" t="inlineStr">
        <is>
          <t>Sample</t>
        </is>
      </c>
      <c r="D2712" s="57" t="inlineStr">
        <is>
          <t>H2 25-007 Rep 2</t>
        </is>
      </c>
      <c r="E2712" s="57" t="inlineStr">
        <is>
          <t>UKYT-25-007</t>
        </is>
      </c>
      <c r="F2712" s="57" t="inlineStr"/>
    </row>
    <row r="2713" ht="25" customHeight="1" s="55">
      <c r="A2713" s="57" t="inlineStr">
        <is>
          <t>GABA</t>
        </is>
      </c>
      <c r="B2713" s="57" t="n">
        <v>106</v>
      </c>
      <c r="C2713" s="57" t="inlineStr">
        <is>
          <t>Sample</t>
        </is>
      </c>
      <c r="D2713" s="57" t="inlineStr">
        <is>
          <t>H2 25-007 Rep 3</t>
        </is>
      </c>
      <c r="E2713" s="57" t="inlineStr">
        <is>
          <t>UKYT-25-007</t>
        </is>
      </c>
      <c r="F2713" s="57" t="inlineStr"/>
    </row>
    <row r="2714" ht="25" customHeight="1" s="55">
      <c r="A2714" s="57" t="inlineStr">
        <is>
          <t>GABA</t>
        </is>
      </c>
      <c r="B2714" s="57" t="n">
        <v>107</v>
      </c>
      <c r="C2714" s="57" t="inlineStr">
        <is>
          <t>Sample</t>
        </is>
      </c>
      <c r="D2714" s="57" t="inlineStr">
        <is>
          <t>H2 25-007 Rep 4</t>
        </is>
      </c>
      <c r="E2714" s="57" t="inlineStr">
        <is>
          <t>UKYT-25-007</t>
        </is>
      </c>
      <c r="F2714" s="57" t="inlineStr"/>
    </row>
    <row r="2715" ht="25" customHeight="1" s="55">
      <c r="A2715" s="57" t="inlineStr">
        <is>
          <t>GABA</t>
        </is>
      </c>
      <c r="B2715" s="57" t="n">
        <v>108</v>
      </c>
      <c r="C2715" s="57" t="inlineStr">
        <is>
          <t>Sample</t>
        </is>
      </c>
      <c r="D2715" s="57" t="inlineStr">
        <is>
          <t>H2 25-010 Rep 1</t>
        </is>
      </c>
      <c r="E2715" s="57" t="inlineStr">
        <is>
          <t>UKYT-25-010</t>
        </is>
      </c>
      <c r="F2715" s="57" t="inlineStr"/>
    </row>
    <row r="2716" ht="25" customHeight="1" s="55">
      <c r="A2716" s="57" t="inlineStr">
        <is>
          <t>GABA</t>
        </is>
      </c>
      <c r="B2716" s="57" t="n">
        <v>109</v>
      </c>
      <c r="C2716" s="57" t="inlineStr">
        <is>
          <t>Sample</t>
        </is>
      </c>
      <c r="D2716" s="57" t="inlineStr">
        <is>
          <t>H2 25-010 Rep 2</t>
        </is>
      </c>
      <c r="E2716" s="57" t="inlineStr">
        <is>
          <t>UKYT-25-010</t>
        </is>
      </c>
      <c r="F2716" s="57" t="inlineStr"/>
    </row>
    <row r="2717" ht="25" customHeight="1" s="55">
      <c r="A2717" s="57" t="inlineStr">
        <is>
          <t>GABA</t>
        </is>
      </c>
      <c r="B2717" s="57" t="n">
        <v>110</v>
      </c>
      <c r="C2717" s="57" t="inlineStr">
        <is>
          <t>Sample</t>
        </is>
      </c>
      <c r="D2717" s="57" t="inlineStr">
        <is>
          <t>H2 25-010 Rep 3</t>
        </is>
      </c>
      <c r="E2717" s="57" t="inlineStr">
        <is>
          <t>UKYT-25-010</t>
        </is>
      </c>
      <c r="F2717" s="57" t="inlineStr"/>
    </row>
    <row r="2718" ht="25" customHeight="1" s="55">
      <c r="A2718" s="57" t="inlineStr">
        <is>
          <t>GABA</t>
        </is>
      </c>
      <c r="B2718" s="57" t="n">
        <v>111</v>
      </c>
      <c r="C2718" s="57" t="inlineStr">
        <is>
          <t>Sample</t>
        </is>
      </c>
      <c r="D2718" s="57" t="inlineStr">
        <is>
          <t>H2 25-010 Rep 4</t>
        </is>
      </c>
      <c r="E2718" s="57" t="inlineStr">
        <is>
          <t>UKYT-25-010</t>
        </is>
      </c>
      <c r="F2718" s="57" t="inlineStr"/>
    </row>
    <row r="2719" ht="25" customHeight="1" s="55">
      <c r="A2719" s="57" t="inlineStr">
        <is>
          <t>GABA</t>
        </is>
      </c>
      <c r="B2719" s="57" t="n">
        <v>112</v>
      </c>
      <c r="C2719" s="57" t="inlineStr">
        <is>
          <t>Sample</t>
        </is>
      </c>
      <c r="D2719" s="57" t="inlineStr">
        <is>
          <t>H2 25-013 Rep 1</t>
        </is>
      </c>
      <c r="E2719" s="57" t="inlineStr">
        <is>
          <t>UKYT-25-013</t>
        </is>
      </c>
      <c r="F2719" s="57" t="inlineStr"/>
    </row>
    <row r="2720" ht="25" customHeight="1" s="55">
      <c r="A2720" s="57" t="inlineStr">
        <is>
          <t>GABA</t>
        </is>
      </c>
      <c r="B2720" s="57" t="n">
        <v>113</v>
      </c>
      <c r="C2720" s="57" t="inlineStr">
        <is>
          <t>Sample</t>
        </is>
      </c>
      <c r="D2720" s="57" t="inlineStr">
        <is>
          <t>H2 25-013 Rep 2</t>
        </is>
      </c>
      <c r="E2720" s="57" t="inlineStr">
        <is>
          <t>UKYT-25-013</t>
        </is>
      </c>
      <c r="F2720" s="57" t="inlineStr"/>
    </row>
    <row r="2721" ht="25" customHeight="1" s="55">
      <c r="A2721" s="57" t="inlineStr">
        <is>
          <t>GABA</t>
        </is>
      </c>
      <c r="B2721" s="57" t="n">
        <v>114</v>
      </c>
      <c r="C2721" s="57" t="inlineStr">
        <is>
          <t>Sample</t>
        </is>
      </c>
      <c r="D2721" s="57" t="inlineStr">
        <is>
          <t>H2 25-013 Rep 3</t>
        </is>
      </c>
      <c r="E2721" s="57" t="inlineStr">
        <is>
          <t>UKYT-25-013</t>
        </is>
      </c>
      <c r="F2721" s="57" t="inlineStr"/>
    </row>
    <row r="2722" ht="25" customHeight="1" s="55">
      <c r="A2722" s="57" t="inlineStr">
        <is>
          <t>GABA</t>
        </is>
      </c>
      <c r="B2722" s="57" t="n">
        <v>115</v>
      </c>
      <c r="C2722" s="57" t="inlineStr">
        <is>
          <t>Sample</t>
        </is>
      </c>
      <c r="D2722" s="57" t="inlineStr">
        <is>
          <t>H2 25-013 Rep 4</t>
        </is>
      </c>
      <c r="E2722" s="57" t="inlineStr">
        <is>
          <t>UKYT-25-013</t>
        </is>
      </c>
      <c r="F2722" s="57" t="inlineStr"/>
    </row>
    <row r="2723" ht="25" customHeight="1" s="55">
      <c r="A2723" s="57" t="inlineStr">
        <is>
          <t>GABA</t>
        </is>
      </c>
      <c r="B2723" s="57" t="n">
        <v>116</v>
      </c>
      <c r="C2723" s="57" t="inlineStr">
        <is>
          <t>Sample</t>
        </is>
      </c>
      <c r="D2723" s="57" t="inlineStr">
        <is>
          <t>HT3  26-019 Rep 1</t>
        </is>
      </c>
      <c r="E2723" s="57" t="inlineStr">
        <is>
          <t>UKYT-26-019</t>
        </is>
      </c>
      <c r="F2723" s="57" t="inlineStr"/>
    </row>
    <row r="2724" ht="25" customHeight="1" s="55">
      <c r="A2724" s="57" t="inlineStr">
        <is>
          <t>GABA</t>
        </is>
      </c>
      <c r="B2724" s="57" t="n">
        <v>117</v>
      </c>
      <c r="C2724" s="57" t="inlineStr">
        <is>
          <t>Sample</t>
        </is>
      </c>
      <c r="D2724" s="57" t="inlineStr">
        <is>
          <t>HT3  26-019 Rep 2</t>
        </is>
      </c>
      <c r="E2724" s="57" t="inlineStr">
        <is>
          <t>UKYT-26-019</t>
        </is>
      </c>
      <c r="F2724" s="57" t="inlineStr"/>
    </row>
    <row r="2725" ht="25" customHeight="1" s="55">
      <c r="A2725" s="57" t="inlineStr">
        <is>
          <t>GABA</t>
        </is>
      </c>
      <c r="B2725" s="57" t="n">
        <v>118</v>
      </c>
      <c r="C2725" s="57" t="inlineStr">
        <is>
          <t>Sample</t>
        </is>
      </c>
      <c r="D2725" s="57" t="inlineStr">
        <is>
          <t>HT3  26-019 Rep 3</t>
        </is>
      </c>
      <c r="E2725" s="57" t="inlineStr">
        <is>
          <t>UKYT-26-019</t>
        </is>
      </c>
      <c r="F2725" s="57" t="inlineStr"/>
    </row>
    <row r="2726" ht="25" customHeight="1" s="55">
      <c r="A2726" s="57" t="inlineStr">
        <is>
          <t>GABA</t>
        </is>
      </c>
      <c r="B2726" s="57" t="n">
        <v>119</v>
      </c>
      <c r="C2726" s="57" t="inlineStr">
        <is>
          <t>Sample</t>
        </is>
      </c>
      <c r="D2726" s="57" t="inlineStr">
        <is>
          <t>HT3  26-019 Rep 4</t>
        </is>
      </c>
      <c r="E2726" s="57" t="inlineStr">
        <is>
          <t>UKYT-26-019</t>
        </is>
      </c>
      <c r="F2726" s="57" t="inlineStr"/>
    </row>
    <row r="2727" ht="25" customHeight="1" s="55">
      <c r="A2727" s="57" t="inlineStr">
        <is>
          <t>GABA</t>
        </is>
      </c>
      <c r="B2727" s="57" t="n">
        <v>120</v>
      </c>
      <c r="C2727" s="57" t="inlineStr">
        <is>
          <t>Sample</t>
        </is>
      </c>
      <c r="D2727" s="57" t="inlineStr">
        <is>
          <t>HT3  26-019 Rep 5</t>
        </is>
      </c>
      <c r="E2727" s="57" t="inlineStr">
        <is>
          <t>UKYT-26-019</t>
        </is>
      </c>
      <c r="F2727" s="57" t="inlineStr"/>
    </row>
    <row r="2728" ht="25" customHeight="1" s="55">
      <c r="A2728" s="57" t="inlineStr">
        <is>
          <t>GABA</t>
        </is>
      </c>
      <c r="B2728" s="57" t="n">
        <v>121</v>
      </c>
      <c r="C2728" s="57" t="inlineStr">
        <is>
          <t>Sample</t>
        </is>
      </c>
      <c r="D2728" s="57" t="inlineStr">
        <is>
          <t>HT3 26-020 Rep 1</t>
        </is>
      </c>
      <c r="E2728" s="57" t="inlineStr">
        <is>
          <t>UKYT-26-020</t>
        </is>
      </c>
      <c r="F2728" s="57" t="inlineStr"/>
    </row>
    <row r="2729" ht="25" customHeight="1" s="55">
      <c r="A2729" s="57" t="inlineStr">
        <is>
          <t>GABA</t>
        </is>
      </c>
      <c r="B2729" s="57" t="n">
        <v>122</v>
      </c>
      <c r="C2729" s="57" t="inlineStr">
        <is>
          <t>Sample</t>
        </is>
      </c>
      <c r="D2729" s="57" t="inlineStr">
        <is>
          <t>HT3 26-020 Rep 2</t>
        </is>
      </c>
      <c r="E2729" s="57" t="inlineStr">
        <is>
          <t>UKYT-26-020</t>
        </is>
      </c>
      <c r="F2729" s="57" t="inlineStr"/>
    </row>
    <row r="2730" ht="25" customHeight="1" s="55">
      <c r="A2730" s="57" t="inlineStr">
        <is>
          <t>GABA</t>
        </is>
      </c>
      <c r="B2730" s="57" t="n">
        <v>123</v>
      </c>
      <c r="C2730" s="57" t="inlineStr">
        <is>
          <t>Sample</t>
        </is>
      </c>
      <c r="D2730" s="57" t="inlineStr">
        <is>
          <t>HT3 26-020 Rep 3</t>
        </is>
      </c>
      <c r="E2730" s="57" t="inlineStr">
        <is>
          <t>UKYT-26-020</t>
        </is>
      </c>
      <c r="F2730" s="57" t="inlineStr"/>
    </row>
    <row r="2731" ht="25" customHeight="1" s="55">
      <c r="A2731" s="57" t="inlineStr">
        <is>
          <t>GABA</t>
        </is>
      </c>
      <c r="B2731" s="57" t="n">
        <v>124</v>
      </c>
      <c r="C2731" s="57" t="inlineStr">
        <is>
          <t>Sample</t>
        </is>
      </c>
      <c r="D2731" s="57" t="inlineStr">
        <is>
          <t>HT3 26-020 Rep 4</t>
        </is>
      </c>
      <c r="E2731" s="57" t="inlineStr">
        <is>
          <t>UKYT-26-020</t>
        </is>
      </c>
      <c r="F2731" s="57" t="inlineStr"/>
    </row>
    <row r="2732" ht="25" customHeight="1" s="55">
      <c r="A2732" s="57" t="inlineStr">
        <is>
          <t>GABA</t>
        </is>
      </c>
      <c r="B2732" s="57" t="n">
        <v>125</v>
      </c>
      <c r="C2732" s="57" t="inlineStr">
        <is>
          <t>Sample</t>
        </is>
      </c>
      <c r="D2732" s="57" t="inlineStr">
        <is>
          <t>HT3 26-021 Rep 1</t>
        </is>
      </c>
      <c r="E2732" s="57" t="inlineStr">
        <is>
          <t>UKYT-26-021</t>
        </is>
      </c>
      <c r="F2732" s="57" t="inlineStr"/>
    </row>
    <row r="2733" ht="25" customHeight="1" s="55">
      <c r="A2733" s="57" t="inlineStr">
        <is>
          <t>GABA</t>
        </is>
      </c>
      <c r="B2733" s="57" t="n">
        <v>126</v>
      </c>
      <c r="C2733" s="57" t="inlineStr">
        <is>
          <t>Sample</t>
        </is>
      </c>
      <c r="D2733" s="57" t="inlineStr">
        <is>
          <t>HT3 26-021 Rep 2</t>
        </is>
      </c>
      <c r="E2733" s="57" t="inlineStr">
        <is>
          <t>UKYT-26-021</t>
        </is>
      </c>
      <c r="F2733" s="57" t="inlineStr"/>
    </row>
    <row r="2734" ht="25" customHeight="1" s="55">
      <c r="A2734" s="57" t="inlineStr">
        <is>
          <t>GABA</t>
        </is>
      </c>
      <c r="B2734" s="57" t="n">
        <v>127</v>
      </c>
      <c r="C2734" s="57" t="inlineStr">
        <is>
          <t>Sample</t>
        </is>
      </c>
      <c r="D2734" s="57" t="inlineStr">
        <is>
          <t>HT3 26-021 Rep 3</t>
        </is>
      </c>
      <c r="E2734" s="57" t="inlineStr">
        <is>
          <t>UKYT-26-021</t>
        </is>
      </c>
      <c r="F2734" s="57" t="inlineStr"/>
    </row>
    <row r="2735" ht="25" customHeight="1" s="55">
      <c r="A2735" s="57" t="inlineStr">
        <is>
          <t>GABA</t>
        </is>
      </c>
      <c r="B2735" s="57" t="n">
        <v>128</v>
      </c>
      <c r="C2735" s="57" t="inlineStr">
        <is>
          <t>Sample</t>
        </is>
      </c>
      <c r="D2735" s="57" t="inlineStr">
        <is>
          <t>HT3 26-021 Rep 4</t>
        </is>
      </c>
      <c r="E2735" s="57" t="inlineStr">
        <is>
          <t>UKYT-26-021</t>
        </is>
      </c>
      <c r="F2735" s="57" t="inlineStr"/>
    </row>
    <row r="2736" ht="25" customHeight="1" s="55">
      <c r="A2736" s="57" t="inlineStr">
        <is>
          <t>GABA</t>
        </is>
      </c>
      <c r="B2736" s="57" t="n">
        <v>129</v>
      </c>
      <c r="C2736" s="57" t="inlineStr">
        <is>
          <t>Sample</t>
        </is>
      </c>
      <c r="D2736" s="57" t="inlineStr">
        <is>
          <t>HT3 26-021 Rep 5</t>
        </is>
      </c>
      <c r="E2736" s="57" t="inlineStr">
        <is>
          <t>UKYT-26-021</t>
        </is>
      </c>
      <c r="F2736" s="57" t="inlineStr"/>
    </row>
    <row r="2737" ht="25" customHeight="1" s="55">
      <c r="A2737" s="57" t="inlineStr">
        <is>
          <t>GABA</t>
        </is>
      </c>
      <c r="B2737" s="57" t="n">
        <v>130</v>
      </c>
      <c r="C2737" s="57" t="inlineStr">
        <is>
          <t>Sample</t>
        </is>
      </c>
      <c r="D2737" s="57" t="inlineStr">
        <is>
          <t>HT3 26-022 Rep 1</t>
        </is>
      </c>
      <c r="E2737" s="57" t="inlineStr">
        <is>
          <t>UKYT-26-022</t>
        </is>
      </c>
      <c r="F2737" s="57" t="inlineStr"/>
    </row>
    <row r="2738" ht="25" customHeight="1" s="55">
      <c r="A2738" s="57" t="inlineStr">
        <is>
          <t>GABA</t>
        </is>
      </c>
      <c r="B2738" s="57" t="n">
        <v>131</v>
      </c>
      <c r="C2738" s="57" t="inlineStr">
        <is>
          <t>Sample</t>
        </is>
      </c>
      <c r="D2738" s="57" t="inlineStr">
        <is>
          <t>HT3 26-022 Rep 2</t>
        </is>
      </c>
      <c r="E2738" s="57" t="inlineStr">
        <is>
          <t>UKYT-26-022</t>
        </is>
      </c>
      <c r="F2738" s="57" t="inlineStr"/>
    </row>
    <row r="2739" ht="25" customHeight="1" s="55">
      <c r="A2739" s="57" t="inlineStr">
        <is>
          <t>GABA</t>
        </is>
      </c>
      <c r="B2739" s="57" t="n">
        <v>132</v>
      </c>
      <c r="C2739" s="57" t="inlineStr">
        <is>
          <t>Sample</t>
        </is>
      </c>
      <c r="D2739" s="57" t="inlineStr">
        <is>
          <t>HT3 26-022 Rep 3</t>
        </is>
      </c>
      <c r="E2739" s="57" t="inlineStr">
        <is>
          <t>UKYT-26-022</t>
        </is>
      </c>
      <c r="F2739" s="57" t="inlineStr"/>
    </row>
    <row r="2740" ht="25" customHeight="1" s="55">
      <c r="A2740" s="57" t="inlineStr">
        <is>
          <t>GABA</t>
        </is>
      </c>
      <c r="B2740" s="57" t="n">
        <v>133</v>
      </c>
      <c r="C2740" s="57" t="inlineStr">
        <is>
          <t>Sample</t>
        </is>
      </c>
      <c r="D2740" s="57" t="inlineStr">
        <is>
          <t>HT3 26-022 Rep 4</t>
        </is>
      </c>
      <c r="E2740" s="57" t="inlineStr">
        <is>
          <t>UKYT-26-022</t>
        </is>
      </c>
      <c r="F2740" s="57" t="inlineStr"/>
    </row>
    <row r="2741" ht="25" customHeight="1" s="55">
      <c r="A2741" s="57" t="inlineStr">
        <is>
          <t>GABA</t>
        </is>
      </c>
      <c r="B2741" s="57" t="n">
        <v>134</v>
      </c>
      <c r="C2741" s="57" t="inlineStr">
        <is>
          <t>Sample</t>
        </is>
      </c>
      <c r="D2741" s="57" t="inlineStr">
        <is>
          <t>HT3 26-023 Rep 1</t>
        </is>
      </c>
      <c r="E2741" s="57" t="inlineStr">
        <is>
          <t>UKYT-26-023</t>
        </is>
      </c>
      <c r="F2741" s="57" t="inlineStr"/>
    </row>
    <row r="2742" ht="25" customHeight="1" s="55">
      <c r="A2742" s="57" t="inlineStr">
        <is>
          <t>GABA</t>
        </is>
      </c>
      <c r="B2742" s="57" t="n">
        <v>135</v>
      </c>
      <c r="C2742" s="57" t="inlineStr">
        <is>
          <t>Sample</t>
        </is>
      </c>
      <c r="D2742" s="57" t="inlineStr">
        <is>
          <t>HT3 26-023 Rep 2</t>
        </is>
      </c>
      <c r="E2742" s="57" t="inlineStr">
        <is>
          <t>UKYT-26-023</t>
        </is>
      </c>
      <c r="F2742" s="57" t="inlineStr"/>
    </row>
    <row r="2743" ht="25" customHeight="1" s="55">
      <c r="A2743" s="57" t="inlineStr">
        <is>
          <t>GABA</t>
        </is>
      </c>
      <c r="B2743" s="57" t="n">
        <v>136</v>
      </c>
      <c r="C2743" s="57" t="inlineStr">
        <is>
          <t>Sample</t>
        </is>
      </c>
      <c r="D2743" s="57" t="inlineStr">
        <is>
          <t>HT3 26-023 Rep 3</t>
        </is>
      </c>
      <c r="E2743" s="57" t="inlineStr">
        <is>
          <t>UKYT-26-023</t>
        </is>
      </c>
      <c r="F2743" s="57" t="inlineStr"/>
    </row>
    <row r="2744" ht="25" customHeight="1" s="55">
      <c r="A2744" s="57" t="inlineStr">
        <is>
          <t>GABA</t>
        </is>
      </c>
      <c r="B2744" s="57" t="n">
        <v>137</v>
      </c>
      <c r="C2744" s="57" t="inlineStr">
        <is>
          <t>Sample</t>
        </is>
      </c>
      <c r="D2744" s="57" t="inlineStr">
        <is>
          <t>HT3 26-023 Rep 4</t>
        </is>
      </c>
      <c r="E2744" s="57" t="inlineStr">
        <is>
          <t>UKYT-26-023</t>
        </is>
      </c>
      <c r="F2744" s="57" t="inlineStr"/>
    </row>
    <row r="2745" ht="25" customHeight="1" s="55">
      <c r="A2745" s="57" t="inlineStr">
        <is>
          <t>GABA</t>
        </is>
      </c>
      <c r="B2745" s="57" t="n">
        <v>138</v>
      </c>
      <c r="C2745" s="57" t="inlineStr">
        <is>
          <t>Sample</t>
        </is>
      </c>
      <c r="D2745" s="57" t="inlineStr">
        <is>
          <t>HT3 26-023 Rep 5</t>
        </is>
      </c>
      <c r="E2745" s="57" t="inlineStr">
        <is>
          <t>UKYT-26-023</t>
        </is>
      </c>
      <c r="F2745" s="57" t="inlineStr"/>
    </row>
    <row r="2746" ht="25" customHeight="1" s="55">
      <c r="A2746" s="57" t="inlineStr">
        <is>
          <t>GABA</t>
        </is>
      </c>
      <c r="B2746" s="57" t="n">
        <v>139</v>
      </c>
      <c r="C2746" s="57" t="inlineStr">
        <is>
          <t>Sample</t>
        </is>
      </c>
      <c r="D2746" s="57" t="inlineStr">
        <is>
          <t>HT3 26-024 Rep 1</t>
        </is>
      </c>
      <c r="E2746" s="57" t="inlineStr">
        <is>
          <t>UKYT-26-024</t>
        </is>
      </c>
      <c r="F2746" s="57" t="inlineStr"/>
    </row>
    <row r="2747" ht="25" customHeight="1" s="55">
      <c r="A2747" s="57" t="inlineStr">
        <is>
          <t>GABA</t>
        </is>
      </c>
      <c r="B2747" s="57" t="n">
        <v>140</v>
      </c>
      <c r="C2747" s="57" t="inlineStr">
        <is>
          <t>Sample</t>
        </is>
      </c>
      <c r="D2747" s="57" t="inlineStr">
        <is>
          <t>HT3 26-024 Rep 2</t>
        </is>
      </c>
      <c r="E2747" s="57" t="inlineStr">
        <is>
          <t>UKYT-26-024</t>
        </is>
      </c>
      <c r="F2747" s="57" t="inlineStr"/>
    </row>
    <row r="2748" ht="25" customHeight="1" s="55">
      <c r="A2748" s="57" t="inlineStr">
        <is>
          <t>GABA</t>
        </is>
      </c>
      <c r="B2748" s="57" t="n">
        <v>141</v>
      </c>
      <c r="C2748" s="57" t="inlineStr">
        <is>
          <t>Sample</t>
        </is>
      </c>
      <c r="D2748" s="57" t="inlineStr">
        <is>
          <t>HT3 26-024 Rep 3</t>
        </is>
      </c>
      <c r="E2748" s="57" t="inlineStr">
        <is>
          <t>UKYT-26-024</t>
        </is>
      </c>
      <c r="F2748" s="57" t="inlineStr"/>
    </row>
    <row r="2749" ht="25" customHeight="1" s="55">
      <c r="A2749" s="57" t="inlineStr">
        <is>
          <t>GABA</t>
        </is>
      </c>
      <c r="B2749" s="57" t="n">
        <v>142</v>
      </c>
      <c r="C2749" s="57" t="inlineStr">
        <is>
          <t>Sample</t>
        </is>
      </c>
      <c r="D2749" s="57" t="inlineStr">
        <is>
          <t>HT3 26-024 Rep 4</t>
        </is>
      </c>
      <c r="E2749" s="57" t="inlineStr">
        <is>
          <t>UKYT-26-024</t>
        </is>
      </c>
      <c r="F2749" s="57" t="inlineStr"/>
    </row>
    <row r="2750" ht="25" customHeight="1" s="55">
      <c r="A2750" s="57" t="inlineStr">
        <is>
          <t>GABA</t>
        </is>
      </c>
      <c r="B2750" s="57" t="n">
        <v>143</v>
      </c>
      <c r="C2750" s="57" t="inlineStr">
        <is>
          <t>Sample</t>
        </is>
      </c>
      <c r="D2750" s="57" t="inlineStr">
        <is>
          <t>HT3 26-026 Rep 1</t>
        </is>
      </c>
      <c r="E2750" s="57" t="inlineStr">
        <is>
          <t>UKYT-26-026</t>
        </is>
      </c>
      <c r="F2750" s="57" t="inlineStr"/>
    </row>
    <row r="2751" ht="25" customHeight="1" s="55">
      <c r="A2751" s="57" t="inlineStr">
        <is>
          <t>GABA</t>
        </is>
      </c>
      <c r="B2751" s="57" t="n">
        <v>144</v>
      </c>
      <c r="C2751" s="57" t="inlineStr">
        <is>
          <t>Sample</t>
        </is>
      </c>
      <c r="D2751" s="57" t="inlineStr">
        <is>
          <t>HT3 26-026 Rep 2</t>
        </is>
      </c>
      <c r="E2751" s="57" t="inlineStr">
        <is>
          <t>UKYT-26-026</t>
        </is>
      </c>
      <c r="F2751" s="57" t="inlineStr"/>
    </row>
    <row r="2752" ht="25" customHeight="1" s="55">
      <c r="A2752" s="57" t="inlineStr">
        <is>
          <t>GABA</t>
        </is>
      </c>
      <c r="B2752" s="57" t="n">
        <v>145</v>
      </c>
      <c r="C2752" s="57" t="inlineStr">
        <is>
          <t>Sample</t>
        </is>
      </c>
      <c r="D2752" s="57" t="inlineStr">
        <is>
          <t>HT3 26-026 Rep 3</t>
        </is>
      </c>
      <c r="E2752" s="57" t="inlineStr">
        <is>
          <t>UKYT-26-026</t>
        </is>
      </c>
      <c r="F2752" s="57" t="inlineStr"/>
    </row>
    <row r="2753" ht="25" customHeight="1" s="55">
      <c r="A2753" s="57" t="inlineStr">
        <is>
          <t>GABA</t>
        </is>
      </c>
      <c r="B2753" s="57" t="n">
        <v>146</v>
      </c>
      <c r="C2753" s="57" t="inlineStr">
        <is>
          <t>Sample</t>
        </is>
      </c>
      <c r="D2753" s="57" t="inlineStr">
        <is>
          <t>HT3 26-026 Rep 4</t>
        </is>
      </c>
      <c r="E2753" s="57" t="inlineStr">
        <is>
          <t>UKYT-26-026</t>
        </is>
      </c>
      <c r="F2753" s="57" t="inlineStr"/>
    </row>
    <row r="2754" ht="25" customHeight="1" s="55">
      <c r="A2754" s="57" t="inlineStr">
        <is>
          <t>GABA</t>
        </is>
      </c>
      <c r="B2754" s="57" t="n">
        <v>147</v>
      </c>
      <c r="C2754" s="57" t="inlineStr">
        <is>
          <t>Sample</t>
        </is>
      </c>
      <c r="D2754" s="57" t="inlineStr">
        <is>
          <t>HT3 26-026 Rep 5</t>
        </is>
      </c>
      <c r="E2754" s="57" t="inlineStr">
        <is>
          <t>UKYT-26-026</t>
        </is>
      </c>
      <c r="F2754" s="57" t="inlineStr"/>
    </row>
    <row r="2755" ht="25" customHeight="1" s="55">
      <c r="A2755" s="57" t="inlineStr">
        <is>
          <t>GABA</t>
        </is>
      </c>
      <c r="B2755" s="57" t="n">
        <v>148</v>
      </c>
      <c r="C2755" s="57" t="inlineStr">
        <is>
          <t>Sample</t>
        </is>
      </c>
      <c r="D2755" s="57" t="inlineStr">
        <is>
          <t>HT3 26-028 Rep 1</t>
        </is>
      </c>
      <c r="E2755" s="57" t="inlineStr">
        <is>
          <t>UKYT-26-028</t>
        </is>
      </c>
      <c r="F2755" s="57" t="inlineStr"/>
    </row>
    <row r="2756" ht="25" customHeight="1" s="55">
      <c r="A2756" s="57" t="inlineStr">
        <is>
          <t>GABA</t>
        </is>
      </c>
      <c r="B2756" s="57" t="n">
        <v>149</v>
      </c>
      <c r="C2756" s="57" t="inlineStr">
        <is>
          <t>Sample</t>
        </is>
      </c>
      <c r="D2756" s="57" t="inlineStr">
        <is>
          <t>HT3 26-028 Rep 2</t>
        </is>
      </c>
      <c r="E2756" s="57" t="inlineStr">
        <is>
          <t>UKYT-26-028</t>
        </is>
      </c>
      <c r="F2756" s="57" t="inlineStr"/>
    </row>
    <row r="2757" ht="25" customHeight="1" s="55">
      <c r="A2757" s="57" t="inlineStr">
        <is>
          <t>GABA</t>
        </is>
      </c>
      <c r="B2757" s="57" t="n">
        <v>150</v>
      </c>
      <c r="C2757" s="57" t="inlineStr">
        <is>
          <t>Sample</t>
        </is>
      </c>
      <c r="D2757" s="57" t="inlineStr">
        <is>
          <t>HT3 26-028 Rep 3</t>
        </is>
      </c>
      <c r="E2757" s="57" t="inlineStr">
        <is>
          <t>UKYT-26-028</t>
        </is>
      </c>
      <c r="F2757" s="57" t="inlineStr"/>
    </row>
    <row r="2758" ht="25" customHeight="1" s="55">
      <c r="A2758" s="57" t="inlineStr">
        <is>
          <t>GABA</t>
        </is>
      </c>
      <c r="B2758" s="57" t="n">
        <v>151</v>
      </c>
      <c r="C2758" s="57" t="inlineStr">
        <is>
          <t>Sample</t>
        </is>
      </c>
      <c r="D2758" s="57" t="inlineStr">
        <is>
          <t>HT3 26-028 Rep 4</t>
        </is>
      </c>
      <c r="E2758" s="57" t="inlineStr">
        <is>
          <t>UKYT-26-028</t>
        </is>
      </c>
      <c r="F2758" s="57" t="inlineStr"/>
    </row>
    <row r="2759" ht="25" customHeight="1" s="55">
      <c r="A2759" s="57" t="inlineStr">
        <is>
          <t>GABA</t>
        </is>
      </c>
      <c r="B2759" s="57" t="n">
        <v>152</v>
      </c>
      <c r="C2759" s="57" t="inlineStr">
        <is>
          <t>Sample</t>
        </is>
      </c>
      <c r="D2759" s="57" t="inlineStr">
        <is>
          <t>HT3 26-029 Rep 1</t>
        </is>
      </c>
      <c r="E2759" s="57" t="inlineStr">
        <is>
          <t>UKYT-26-029</t>
        </is>
      </c>
      <c r="F2759" s="57" t="inlineStr"/>
    </row>
    <row r="2760" ht="25" customHeight="1" s="55">
      <c r="A2760" s="57" t="inlineStr">
        <is>
          <t>GABA</t>
        </is>
      </c>
      <c r="B2760" s="57" t="n">
        <v>153</v>
      </c>
      <c r="C2760" s="57" t="inlineStr">
        <is>
          <t>Sample</t>
        </is>
      </c>
      <c r="D2760" s="57" t="inlineStr">
        <is>
          <t>HT3 26-029 Rep 2</t>
        </is>
      </c>
      <c r="E2760" s="57" t="inlineStr">
        <is>
          <t>UKYT-26-029</t>
        </is>
      </c>
      <c r="F2760" s="57" t="inlineStr"/>
    </row>
    <row r="2761" ht="25" customHeight="1" s="55">
      <c r="A2761" s="57" t="inlineStr">
        <is>
          <t>GABA</t>
        </is>
      </c>
      <c r="B2761" s="57" t="n">
        <v>154</v>
      </c>
      <c r="C2761" s="57" t="inlineStr">
        <is>
          <t>Sample</t>
        </is>
      </c>
      <c r="D2761" s="57" t="inlineStr">
        <is>
          <t>HT3 26-029 Rep 3</t>
        </is>
      </c>
      <c r="E2761" s="57" t="inlineStr">
        <is>
          <t>UKYT-26-029</t>
        </is>
      </c>
      <c r="F2761" s="57" t="inlineStr"/>
    </row>
    <row r="2762" ht="25" customHeight="1" s="55">
      <c r="A2762" s="57" t="inlineStr">
        <is>
          <t>GABA</t>
        </is>
      </c>
      <c r="B2762" s="57" t="n">
        <v>155</v>
      </c>
      <c r="C2762" s="57" t="inlineStr">
        <is>
          <t>Sample</t>
        </is>
      </c>
      <c r="D2762" s="57" t="inlineStr">
        <is>
          <t>HT3 26-029 Rep 4</t>
        </is>
      </c>
      <c r="E2762" s="57" t="inlineStr">
        <is>
          <t>UKYT-26-029</t>
        </is>
      </c>
      <c r="F2762" s="57" t="inlineStr"/>
    </row>
    <row r="2763" ht="25" customHeight="1" s="55">
      <c r="A2763" s="57" t="inlineStr">
        <is>
          <t>GABA</t>
        </is>
      </c>
      <c r="B2763" s="57" t="n">
        <v>156</v>
      </c>
      <c r="C2763" s="57" t="inlineStr">
        <is>
          <t>Sample</t>
        </is>
      </c>
      <c r="D2763" s="57" t="inlineStr">
        <is>
          <t>HT3 26-029 Rep 5</t>
        </is>
      </c>
      <c r="E2763" s="57" t="inlineStr">
        <is>
          <t>UKYT-26-029</t>
        </is>
      </c>
      <c r="F2763" s="57" t="inlineStr"/>
    </row>
    <row r="2764" ht="25" customHeight="1" s="55">
      <c r="A2764" s="57" t="inlineStr">
        <is>
          <t>GABA</t>
        </is>
      </c>
      <c r="B2764" s="57" t="n">
        <v>157</v>
      </c>
      <c r="C2764" s="57" t="inlineStr">
        <is>
          <t>Sample</t>
        </is>
      </c>
      <c r="D2764" s="57" t="inlineStr">
        <is>
          <t>HT3 26-030 Rep 1</t>
        </is>
      </c>
      <c r="E2764" s="57" t="inlineStr">
        <is>
          <t>UKYT-26-030</t>
        </is>
      </c>
      <c r="F2764" s="57" t="inlineStr"/>
    </row>
    <row r="2765" ht="25" customHeight="1" s="55">
      <c r="A2765" s="57" t="inlineStr">
        <is>
          <t>GABA</t>
        </is>
      </c>
      <c r="B2765" s="57" t="n">
        <v>158</v>
      </c>
      <c r="C2765" s="57" t="inlineStr">
        <is>
          <t>Sample</t>
        </is>
      </c>
      <c r="D2765" s="57" t="inlineStr">
        <is>
          <t>HT3 26-030 Rep 2</t>
        </is>
      </c>
      <c r="E2765" s="57" t="inlineStr">
        <is>
          <t>UKYT-26-030</t>
        </is>
      </c>
      <c r="F2765" s="57" t="inlineStr"/>
    </row>
    <row r="2766" ht="25" customHeight="1" s="55">
      <c r="A2766" s="57" t="inlineStr">
        <is>
          <t>GABA</t>
        </is>
      </c>
      <c r="B2766" s="57" t="n">
        <v>159</v>
      </c>
      <c r="C2766" s="57" t="inlineStr">
        <is>
          <t>Sample</t>
        </is>
      </c>
      <c r="D2766" s="57" t="inlineStr">
        <is>
          <t>HT3 26-030 Rep 3</t>
        </is>
      </c>
      <c r="E2766" s="57" t="inlineStr">
        <is>
          <t>UKYT-26-030</t>
        </is>
      </c>
      <c r="F2766" s="57" t="inlineStr"/>
    </row>
    <row r="2767" ht="25" customHeight="1" s="55">
      <c r="A2767" s="57" t="inlineStr">
        <is>
          <t>GABA</t>
        </is>
      </c>
      <c r="B2767" s="57" t="n">
        <v>160</v>
      </c>
      <c r="C2767" s="57" t="inlineStr">
        <is>
          <t>Sample</t>
        </is>
      </c>
      <c r="D2767" s="57" t="inlineStr">
        <is>
          <t>HT3 26-030 Rep 4</t>
        </is>
      </c>
      <c r="E2767" s="57" t="inlineStr">
        <is>
          <t>UKYT-26-030</t>
        </is>
      </c>
      <c r="F2767" s="57" t="inlineStr"/>
    </row>
    <row r="2768" ht="25" customHeight="1" s="55">
      <c r="A2768" s="57" t="inlineStr">
        <is>
          <t>GABA</t>
        </is>
      </c>
      <c r="B2768" s="57" t="n">
        <v>161</v>
      </c>
      <c r="C2768" s="57" t="inlineStr">
        <is>
          <t>Sample</t>
        </is>
      </c>
      <c r="D2768" s="57" t="inlineStr">
        <is>
          <t>HT3 26-031 Rep 1</t>
        </is>
      </c>
      <c r="E2768" s="57" t="inlineStr">
        <is>
          <t>UKYT-26-031</t>
        </is>
      </c>
      <c r="F2768" s="57" t="inlineStr"/>
    </row>
    <row r="2769" ht="25" customHeight="1" s="55">
      <c r="A2769" s="57" t="inlineStr">
        <is>
          <t>GABA</t>
        </is>
      </c>
      <c r="B2769" s="57" t="n">
        <v>162</v>
      </c>
      <c r="C2769" s="57" t="inlineStr">
        <is>
          <t>Sample</t>
        </is>
      </c>
      <c r="D2769" s="57" t="inlineStr">
        <is>
          <t>HT3 26-031 Rep 2</t>
        </is>
      </c>
      <c r="E2769" s="57" t="inlineStr">
        <is>
          <t>UKYT-26-031</t>
        </is>
      </c>
      <c r="F2769" s="57" t="inlineStr"/>
    </row>
    <row r="2770" ht="25" customHeight="1" s="55">
      <c r="A2770" s="57" t="inlineStr">
        <is>
          <t>GABA</t>
        </is>
      </c>
      <c r="B2770" s="57" t="n">
        <v>163</v>
      </c>
      <c r="C2770" s="57" t="inlineStr">
        <is>
          <t>Sample</t>
        </is>
      </c>
      <c r="D2770" s="57" t="inlineStr">
        <is>
          <t>HT3 26-031 Rep 3</t>
        </is>
      </c>
      <c r="E2770" s="57" t="inlineStr">
        <is>
          <t>UKYT-26-031</t>
        </is>
      </c>
      <c r="F2770" s="57" t="inlineStr"/>
    </row>
    <row r="2771" ht="25" customHeight="1" s="55">
      <c r="A2771" s="57" t="inlineStr">
        <is>
          <t>GABA</t>
        </is>
      </c>
      <c r="B2771" s="57" t="n">
        <v>164</v>
      </c>
      <c r="C2771" s="57" t="inlineStr">
        <is>
          <t>Sample</t>
        </is>
      </c>
      <c r="D2771" s="57" t="inlineStr">
        <is>
          <t>HT3 26-031 Rep 4</t>
        </is>
      </c>
      <c r="E2771" s="57" t="inlineStr">
        <is>
          <t>UKYT-26-031</t>
        </is>
      </c>
      <c r="F2771" s="57" t="inlineStr"/>
    </row>
    <row r="2772" ht="25" customHeight="1" s="55">
      <c r="A2772" s="57" t="inlineStr">
        <is>
          <t>GABA</t>
        </is>
      </c>
      <c r="B2772" s="57" t="n">
        <v>165</v>
      </c>
      <c r="C2772" s="57" t="inlineStr">
        <is>
          <t>Sample</t>
        </is>
      </c>
      <c r="D2772" s="57" t="inlineStr">
        <is>
          <t>HT3 26-031 Rep 5</t>
        </is>
      </c>
      <c r="E2772" s="57" t="inlineStr">
        <is>
          <t>UKYT-26-031</t>
        </is>
      </c>
      <c r="F2772" s="57" t="inlineStr"/>
    </row>
    <row r="2773" ht="25" customHeight="1" s="55">
      <c r="A2773" s="57" t="inlineStr">
        <is>
          <t>GABA</t>
        </is>
      </c>
      <c r="B2773" s="57" t="n">
        <v>166</v>
      </c>
      <c r="C2773" s="57" t="inlineStr">
        <is>
          <t>Sample</t>
        </is>
      </c>
      <c r="D2773" s="57" t="inlineStr">
        <is>
          <t>HT3 26-032 Rep 1</t>
        </is>
      </c>
      <c r="E2773" s="57" t="inlineStr">
        <is>
          <t>UKYT-26-032</t>
        </is>
      </c>
      <c r="F2773" s="57" t="inlineStr"/>
    </row>
    <row r="2774" ht="25" customHeight="1" s="55">
      <c r="A2774" s="57" t="inlineStr">
        <is>
          <t>GABA</t>
        </is>
      </c>
      <c r="B2774" s="57" t="n">
        <v>167</v>
      </c>
      <c r="C2774" s="57" t="inlineStr">
        <is>
          <t>Sample</t>
        </is>
      </c>
      <c r="D2774" s="57" t="inlineStr">
        <is>
          <t>HT3 26-032 Rep 2</t>
        </is>
      </c>
      <c r="E2774" s="57" t="inlineStr">
        <is>
          <t>UKYT-26-032</t>
        </is>
      </c>
      <c r="F2774" s="57" t="inlineStr"/>
    </row>
    <row r="2775" ht="25" customHeight="1" s="55">
      <c r="A2775" s="57" t="inlineStr">
        <is>
          <t>GABA</t>
        </is>
      </c>
      <c r="B2775" s="57" t="n">
        <v>168</v>
      </c>
      <c r="C2775" s="57" t="inlineStr">
        <is>
          <t>Sample</t>
        </is>
      </c>
      <c r="D2775" s="57" t="inlineStr">
        <is>
          <t>HT3 26-032 Rep 3</t>
        </is>
      </c>
      <c r="E2775" s="57" t="inlineStr">
        <is>
          <t>UKYT-26-032</t>
        </is>
      </c>
      <c r="F2775" s="57" t="inlineStr"/>
    </row>
    <row r="2776" ht="25" customHeight="1" s="55">
      <c r="A2776" s="57" t="inlineStr">
        <is>
          <t>GABA</t>
        </is>
      </c>
      <c r="B2776" s="57" t="n">
        <v>169</v>
      </c>
      <c r="C2776" s="57" t="inlineStr">
        <is>
          <t>Sample</t>
        </is>
      </c>
      <c r="D2776" s="57" t="inlineStr">
        <is>
          <t>HT3 26-032 Rep 4</t>
        </is>
      </c>
      <c r="E2776" s="57" t="inlineStr">
        <is>
          <t>UKYT-26-032</t>
        </is>
      </c>
      <c r="F2776" s="57" t="inlineStr"/>
    </row>
    <row r="2777" ht="25" customHeight="1" s="55">
      <c r="A2777" s="57" t="inlineStr">
        <is>
          <t>GABA</t>
        </is>
      </c>
      <c r="B2777" s="57" t="n">
        <v>170</v>
      </c>
      <c r="C2777" s="57" t="inlineStr">
        <is>
          <t>Sample</t>
        </is>
      </c>
      <c r="D2777" s="57" t="inlineStr">
        <is>
          <t>HT3 26-033 Rep 1</t>
        </is>
      </c>
      <c r="E2777" s="57" t="inlineStr">
        <is>
          <t>UKYT-26-033</t>
        </is>
      </c>
      <c r="F2777" s="57" t="inlineStr"/>
    </row>
    <row r="2778" ht="25" customHeight="1" s="55">
      <c r="A2778" s="57" t="inlineStr">
        <is>
          <t>GABA</t>
        </is>
      </c>
      <c r="B2778" s="57" t="n">
        <v>171</v>
      </c>
      <c r="C2778" s="57" t="inlineStr">
        <is>
          <t>Sample</t>
        </is>
      </c>
      <c r="D2778" s="57" t="inlineStr">
        <is>
          <t>HT3 26-033 Rep 2</t>
        </is>
      </c>
      <c r="E2778" s="57" t="inlineStr">
        <is>
          <t>UKYT-26-033</t>
        </is>
      </c>
      <c r="F2778" s="57" t="inlineStr"/>
    </row>
    <row r="2779" ht="25" customHeight="1" s="55">
      <c r="A2779" s="57" t="inlineStr">
        <is>
          <t>GABA</t>
        </is>
      </c>
      <c r="B2779" s="57" t="n">
        <v>172</v>
      </c>
      <c r="C2779" s="57" t="inlineStr">
        <is>
          <t>Sample</t>
        </is>
      </c>
      <c r="D2779" s="57" t="inlineStr">
        <is>
          <t>HT3 26-033 Rep 3</t>
        </is>
      </c>
      <c r="E2779" s="57" t="inlineStr">
        <is>
          <t>UKYT-26-033</t>
        </is>
      </c>
      <c r="F2779" s="57" t="inlineStr"/>
    </row>
    <row r="2780" ht="25" customHeight="1" s="55">
      <c r="A2780" s="57" t="inlineStr">
        <is>
          <t>GABA</t>
        </is>
      </c>
      <c r="B2780" s="57" t="n">
        <v>173</v>
      </c>
      <c r="C2780" s="57" t="inlineStr">
        <is>
          <t>Sample</t>
        </is>
      </c>
      <c r="D2780" s="57" t="inlineStr">
        <is>
          <t>HT3 26-033 Rep 4</t>
        </is>
      </c>
      <c r="E2780" s="57" t="inlineStr">
        <is>
          <t>UKYT-26-033</t>
        </is>
      </c>
      <c r="F2780" s="57" t="inlineStr"/>
    </row>
    <row r="2781" ht="25" customHeight="1" s="55">
      <c r="A2781" s="57" t="inlineStr">
        <is>
          <t>GABA</t>
        </is>
      </c>
      <c r="B2781" s="57" t="n">
        <v>174</v>
      </c>
      <c r="C2781" s="57" t="inlineStr">
        <is>
          <t>Sample</t>
        </is>
      </c>
      <c r="D2781" s="57" t="inlineStr">
        <is>
          <t>HT3 26-033 Rep 5</t>
        </is>
      </c>
      <c r="E2781" s="57" t="inlineStr">
        <is>
          <t>UKYT-26-033</t>
        </is>
      </c>
      <c r="F2781" s="57" t="inlineStr"/>
    </row>
    <row r="2782" ht="25" customHeight="1" s="55">
      <c r="A2782" s="57" t="inlineStr">
        <is>
          <t>GABA</t>
        </is>
      </c>
      <c r="B2782" s="57" t="n">
        <v>175</v>
      </c>
      <c r="C2782" s="57" t="inlineStr">
        <is>
          <t>Sample</t>
        </is>
      </c>
      <c r="D2782" s="57" t="inlineStr">
        <is>
          <t>HT3 26-034 Rep 1</t>
        </is>
      </c>
      <c r="E2782" s="57" t="inlineStr">
        <is>
          <t>UKYT-26-034</t>
        </is>
      </c>
      <c r="F2782" s="57" t="inlineStr"/>
    </row>
    <row r="2783" ht="25" customHeight="1" s="55">
      <c r="A2783" s="57" t="inlineStr">
        <is>
          <t>GABA</t>
        </is>
      </c>
      <c r="B2783" s="57" t="n">
        <v>176</v>
      </c>
      <c r="C2783" s="57" t="inlineStr">
        <is>
          <t>Sample</t>
        </is>
      </c>
      <c r="D2783" s="57" t="inlineStr">
        <is>
          <t>HT3 26-034 Rep 2</t>
        </is>
      </c>
      <c r="E2783" s="57" t="inlineStr">
        <is>
          <t>UKYT-26-034</t>
        </is>
      </c>
      <c r="F2783" s="57" t="inlineStr"/>
    </row>
    <row r="2784" ht="25" customHeight="1" s="55">
      <c r="A2784" s="57" t="inlineStr">
        <is>
          <t>GABA</t>
        </is>
      </c>
      <c r="B2784" s="57" t="n">
        <v>177</v>
      </c>
      <c r="C2784" s="57" t="inlineStr">
        <is>
          <t>Sample</t>
        </is>
      </c>
      <c r="D2784" s="57" t="inlineStr">
        <is>
          <t>HT3 26-034 Rep 3</t>
        </is>
      </c>
      <c r="E2784" s="57" t="inlineStr">
        <is>
          <t>UKYT-26-034</t>
        </is>
      </c>
      <c r="F2784" s="57" t="inlineStr"/>
    </row>
    <row r="2785" ht="25" customHeight="1" s="55">
      <c r="A2785" s="57" t="inlineStr">
        <is>
          <t>GABA</t>
        </is>
      </c>
      <c r="B2785" s="57" t="n">
        <v>178</v>
      </c>
      <c r="C2785" s="57" t="inlineStr">
        <is>
          <t>Sample</t>
        </is>
      </c>
      <c r="D2785" s="57" t="inlineStr">
        <is>
          <t>HT3 26-034 Rep 4</t>
        </is>
      </c>
      <c r="E2785" s="57" t="inlineStr">
        <is>
          <t>UKYT-26-034</t>
        </is>
      </c>
      <c r="F2785" s="57" t="inlineStr"/>
    </row>
    <row r="2786" ht="25" customHeight="1" s="55">
      <c r="A2786" s="57" t="inlineStr">
        <is>
          <t>GABA</t>
        </is>
      </c>
      <c r="B2786" s="57" t="n">
        <v>179</v>
      </c>
      <c r="C2786" s="57" t="inlineStr">
        <is>
          <t>Sample</t>
        </is>
      </c>
      <c r="D2786" s="57" t="inlineStr">
        <is>
          <t>HT3 26-035 Rep 1</t>
        </is>
      </c>
      <c r="E2786" s="57" t="inlineStr">
        <is>
          <t>UKYT-26-035</t>
        </is>
      </c>
      <c r="F2786" s="57" t="inlineStr"/>
    </row>
    <row r="2787" ht="25" customHeight="1" s="55">
      <c r="A2787" s="57" t="inlineStr">
        <is>
          <t>GABA</t>
        </is>
      </c>
      <c r="B2787" s="57" t="n">
        <v>180</v>
      </c>
      <c r="C2787" s="57" t="inlineStr">
        <is>
          <t>Sample</t>
        </is>
      </c>
      <c r="D2787" s="57" t="inlineStr">
        <is>
          <t>HT3 26-035 Rep 2</t>
        </is>
      </c>
      <c r="E2787" s="57" t="inlineStr">
        <is>
          <t>UKYT-26-035</t>
        </is>
      </c>
      <c r="F2787" s="57" t="inlineStr"/>
    </row>
    <row r="2788" ht="25" customHeight="1" s="55">
      <c r="A2788" s="57" t="inlineStr">
        <is>
          <t>GABA</t>
        </is>
      </c>
      <c r="B2788" s="57" t="n">
        <v>181</v>
      </c>
      <c r="C2788" s="57" t="inlineStr">
        <is>
          <t>Sample</t>
        </is>
      </c>
      <c r="D2788" s="57" t="inlineStr">
        <is>
          <t>HT3 26-035 Rep 3</t>
        </is>
      </c>
      <c r="E2788" s="57" t="inlineStr">
        <is>
          <t>UKYT-26-035</t>
        </is>
      </c>
      <c r="F2788" s="57" t="inlineStr"/>
    </row>
    <row r="2789" ht="25" customHeight="1" s="55">
      <c r="A2789" s="57" t="inlineStr">
        <is>
          <t>GABA</t>
        </is>
      </c>
      <c r="B2789" s="57" t="n">
        <v>182</v>
      </c>
      <c r="C2789" s="57" t="inlineStr">
        <is>
          <t>Sample</t>
        </is>
      </c>
      <c r="D2789" s="57" t="inlineStr">
        <is>
          <t>HT3 26-035 Rep 4</t>
        </is>
      </c>
      <c r="E2789" s="57" t="inlineStr">
        <is>
          <t>UKYT-26-035</t>
        </is>
      </c>
      <c r="F2789" s="57" t="inlineStr"/>
    </row>
    <row r="2790" ht="25" customHeight="1" s="55">
      <c r="A2790" s="57" t="inlineStr">
        <is>
          <t>GABA</t>
        </is>
      </c>
      <c r="B2790" s="57" t="n">
        <v>183</v>
      </c>
      <c r="C2790" s="57" t="inlineStr">
        <is>
          <t>Sample</t>
        </is>
      </c>
      <c r="D2790" s="57" t="inlineStr">
        <is>
          <t>HT3 26-035 Rep 5</t>
        </is>
      </c>
      <c r="E2790" s="57" t="inlineStr">
        <is>
          <t>UKYT-26-035</t>
        </is>
      </c>
      <c r="F2790" s="57" t="inlineStr"/>
    </row>
    <row r="2791" ht="25" customHeight="1" s="55">
      <c r="A2791" s="57" t="inlineStr">
        <is>
          <t>GABA</t>
        </is>
      </c>
      <c r="B2791" s="57" t="n">
        <v>184</v>
      </c>
      <c r="C2791" s="57" t="inlineStr">
        <is>
          <t>Sample</t>
        </is>
      </c>
      <c r="D2791" s="57" t="inlineStr">
        <is>
          <t>HT3 26-036 Rep 1</t>
        </is>
      </c>
      <c r="E2791" s="57" t="inlineStr">
        <is>
          <t>UKYT-26-036</t>
        </is>
      </c>
      <c r="F2791" s="57" t="inlineStr"/>
    </row>
    <row r="2792" ht="25" customHeight="1" s="55">
      <c r="A2792" s="57" t="inlineStr">
        <is>
          <t>GABA</t>
        </is>
      </c>
      <c r="B2792" s="57" t="n">
        <v>185</v>
      </c>
      <c r="C2792" s="57" t="inlineStr">
        <is>
          <t>Sample</t>
        </is>
      </c>
      <c r="D2792" s="57" t="inlineStr">
        <is>
          <t>HT3 26-036 Rep 2</t>
        </is>
      </c>
      <c r="E2792" s="57" t="inlineStr">
        <is>
          <t>UKYT-26-036</t>
        </is>
      </c>
      <c r="F2792" s="57" t="inlineStr"/>
    </row>
    <row r="2793" ht="25" customHeight="1" s="55">
      <c r="A2793" s="57" t="inlineStr">
        <is>
          <t>GABA</t>
        </is>
      </c>
      <c r="B2793" s="57" t="n">
        <v>186</v>
      </c>
      <c r="C2793" s="57" t="inlineStr">
        <is>
          <t>Sample</t>
        </is>
      </c>
      <c r="D2793" s="57" t="inlineStr">
        <is>
          <t>HT3 26-036 Rep 3</t>
        </is>
      </c>
      <c r="E2793" s="57" t="inlineStr">
        <is>
          <t>UKYT-26-036</t>
        </is>
      </c>
      <c r="F2793" s="57" t="inlineStr"/>
    </row>
    <row r="2794" ht="25" customHeight="1" s="55">
      <c r="A2794" s="57" t="inlineStr">
        <is>
          <t>GABA</t>
        </is>
      </c>
      <c r="B2794" s="57" t="n">
        <v>187</v>
      </c>
      <c r="C2794" s="57" t="inlineStr">
        <is>
          <t>Sample</t>
        </is>
      </c>
      <c r="D2794" s="57" t="inlineStr">
        <is>
          <t>HT3 26-036 Rep 4</t>
        </is>
      </c>
      <c r="E2794" s="57" t="inlineStr">
        <is>
          <t>UKYT-26-036</t>
        </is>
      </c>
      <c r="F2794" s="57" t="inlineStr"/>
    </row>
    <row r="2795" ht="25" customHeight="1" s="55">
      <c r="A2795" s="57" t="n"/>
      <c r="B2795" s="57" t="n"/>
      <c r="C2795" s="57" t="n"/>
      <c r="D2795" s="57" t="n"/>
      <c r="E2795" s="57" t="n"/>
      <c r="F2795" s="57" t="n"/>
    </row>
    <row r="2796" ht="25" customHeight="1" s="55">
      <c r="A2796" s="57" t="n"/>
      <c r="B2796" s="57" t="n"/>
      <c r="C2796" s="57" t="n"/>
      <c r="D2796" s="57" t="n"/>
      <c r="E2796" s="57" t="n"/>
      <c r="F2796" s="57" t="n"/>
    </row>
    <row r="2797" ht="25" customHeight="1" s="55">
      <c r="A2797" s="57" t="inlineStr">
        <is>
          <t>SUMMARY</t>
        </is>
      </c>
      <c r="B2797" s="57" t="n"/>
      <c r="C2797" s="57" t="n"/>
      <c r="D2797" s="57" t="n"/>
      <c r="E2797" s="57" t="n"/>
      <c r="F2797" s="57" t="n"/>
    </row>
    <row r="2798" ht="25" customHeight="1" s="55">
      <c r="A2798" s="57" t="inlineStr">
        <is>
          <t>Field</t>
        </is>
      </c>
      <c r="B2798" s="57" t="inlineStr">
        <is>
          <t>Changes</t>
        </is>
      </c>
      <c r="C2798" s="57" t="n"/>
      <c r="D2798" s="57" t="n"/>
      <c r="E2798" s="57" t="n"/>
      <c r="F2798" s="57" t="n"/>
    </row>
    <row r="2799" ht="25" customHeight="1" s="55">
      <c r="A2799" s="57" t="inlineStr">
        <is>
          <t>Harvest</t>
        </is>
      </c>
      <c r="B2799" s="57" t="n">
        <v>778</v>
      </c>
      <c r="C2799" s="57" t="n"/>
      <c r="D2799" s="57" t="n"/>
      <c r="E2799" s="57" t="n"/>
      <c r="F2799" s="57" t="n"/>
    </row>
    <row r="2800" ht="25" customHeight="1" s="55">
      <c r="A2800" s="57" t="inlineStr">
        <is>
          <t>Genotypes</t>
        </is>
      </c>
      <c r="B2800" s="57" t="n">
        <v>658</v>
      </c>
      <c r="C2800" s="57" t="n"/>
      <c r="D2800" s="57" t="n"/>
      <c r="E2800" s="57" t="n"/>
      <c r="F2800" s="57" t="n"/>
    </row>
    <row r="2801" ht="25" customHeight="1" s="55">
      <c r="A2801" s="57" t="inlineStr">
        <is>
          <t>Location</t>
        </is>
      </c>
      <c r="B2801" s="57" t="n">
        <v>581</v>
      </c>
      <c r="C2801" s="57" t="n"/>
      <c r="D2801" s="57" t="n"/>
      <c r="E2801" s="57" t="n"/>
      <c r="F2801" s="57" t="n"/>
    </row>
    <row r="2802" ht="25" customHeight="1" s="55">
      <c r="A2802" s="57" t="inlineStr">
        <is>
          <t>Date of harvest</t>
        </is>
      </c>
      <c r="B2802" s="57" t="n">
        <v>465</v>
      </c>
      <c r="C2802" s="57" t="n"/>
      <c r="D2802" s="57" t="n"/>
      <c r="E2802" s="57" t="n"/>
      <c r="F2802" s="57" t="n"/>
    </row>
    <row r="2803" ht="25" customHeight="1" s="55">
      <c r="A2803" s="57" t="inlineStr">
        <is>
          <t>Sample</t>
        </is>
      </c>
      <c r="B2803" s="57" t="n">
        <v>195</v>
      </c>
      <c r="C2803" s="57" t="n"/>
      <c r="D2803" s="57" t="n"/>
      <c r="E2803" s="57" t="n"/>
      <c r="F2803" s="57" t="n"/>
    </row>
    <row r="2804" ht="25" customHeight="1" s="55">
      <c r="A2804" s="57" t="inlineStr">
        <is>
          <t>row_removed</t>
        </is>
      </c>
      <c r="B2804" s="57" t="n">
        <v>62</v>
      </c>
      <c r="C2804" s="57" t="n"/>
      <c r="D2804" s="57" t="n"/>
      <c r="E2804" s="57" t="n"/>
      <c r="F2804" s="57" t="n"/>
    </row>
    <row r="2805" ht="25" customHeight="1" s="55">
      <c r="A2805" s="57" t="inlineStr">
        <is>
          <t>column_removed</t>
        </is>
      </c>
      <c r="B2805" s="57" t="n">
        <v>24</v>
      </c>
      <c r="C2805" s="57" t="n"/>
      <c r="D2805" s="57" t="n"/>
      <c r="E2805" s="57" t="n"/>
      <c r="F2805" s="57" t="n"/>
    </row>
    <row r="2806" ht="25" customHeight="1" s="55">
      <c r="A2806" s="57" t="inlineStr">
        <is>
          <t>header</t>
        </is>
      </c>
      <c r="B2806" s="57" t="n">
        <v>16</v>
      </c>
      <c r="C2806" s="57" t="n"/>
      <c r="D2806" s="57" t="n"/>
      <c r="E2806" s="57" t="n"/>
      <c r="F2806" s="57" t="n"/>
    </row>
    <row r="2807" ht="25" customHeight="1" s="55">
      <c r="A2807" s="57" t="inlineStr">
        <is>
          <t>Total Weight</t>
        </is>
      </c>
      <c r="B2807" s="57" t="n">
        <v>8</v>
      </c>
      <c r="C2807" s="57" t="n"/>
      <c r="D2807" s="57" t="n"/>
      <c r="E2807" s="57" t="n"/>
      <c r="F2807" s="57" t="n"/>
    </row>
    <row r="2808" ht="25" customHeight="1" s="55">
      <c r="A2808" s="57" t="inlineStr">
        <is>
          <t>Weight of 20</t>
        </is>
      </c>
      <c r="B2808" s="57" t="n">
        <v>5</v>
      </c>
      <c r="C2808" s="57" t="n"/>
      <c r="D2808" s="57" t="n"/>
      <c r="E2808" s="57" t="n"/>
      <c r="F2808" s="57" t="n"/>
    </row>
    <row r="2809" ht="25" customHeight="1" s="55">
      <c r="A2809" s="57" t="inlineStr">
        <is>
          <t>Reading 2</t>
        </is>
      </c>
      <c r="B2809" s="57" t="n">
        <v>1</v>
      </c>
      <c r="C2809" s="57" t="n"/>
      <c r="D2809" s="57" t="n"/>
      <c r="E2809" s="57" t="n"/>
      <c r="F2809" s="57" t="n"/>
    </row>
    <row r="2810" ht="25" customHeight="1" s="55">
      <c r="A2810" s="57" t="n"/>
      <c r="B2810" s="57" t="n"/>
      <c r="C2810" s="57" t="n"/>
      <c r="D2810" s="57" t="n"/>
      <c r="E2810" s="57" t="n"/>
      <c r="F2810" s="57" t="n"/>
    </row>
    <row r="2811" ht="25" customHeight="1" s="55">
      <c r="A2811" s="57" t="n"/>
      <c r="B2811" s="57" t="n"/>
      <c r="C2811" s="57" t="n"/>
      <c r="D2811" s="57" t="n"/>
      <c r="E2811" s="57" t="n"/>
      <c r="F2811" s="57" t="n"/>
    </row>
    <row r="2812" ht="25" customHeight="1" s="55">
      <c r="A2812" s="57" t="inlineStr">
        <is>
          <t>Notes</t>
        </is>
      </c>
      <c r="B2812" s="57" t="n"/>
      <c r="C2812" s="57" t="n"/>
      <c r="D2812" s="57" t="n"/>
      <c r="E2812" s="57" t="n"/>
      <c r="F2812" s="57" t="n"/>
    </row>
    <row r="2813" ht="25" customHeight="1" s="55">
      <c r="A2813" s="57" t="inlineStr">
        <is>
          <t>forced_from_sheet_name</t>
        </is>
      </c>
      <c r="B2813" s="57" t="n">
        <v>965</v>
      </c>
      <c r="C2813" s="57" t="n"/>
      <c r="D2813" s="57" t="n"/>
      <c r="E2813" s="57" t="n"/>
      <c r="F2813" s="57" t="n"/>
    </row>
    <row r="2814" ht="25" customHeight="1" s="55">
      <c r="A2814" s="57" t="inlineStr">
        <is>
          <t>date_forced:Recorded on first row; South Farm first harvest</t>
        </is>
      </c>
      <c r="B2814" s="57" t="n">
        <v>152</v>
      </c>
      <c r="C2814" s="57" t="n"/>
      <c r="D2814" s="57" t="n"/>
      <c r="E2814" s="57" t="n"/>
      <c r="F2814" s="57" t="n"/>
    </row>
    <row r="2815" ht="25" customHeight="1" s="55">
      <c r="A2815" s="57" t="inlineStr">
        <is>
          <t>moved_from_SN</t>
        </is>
      </c>
      <c r="B2815" s="57" t="n">
        <v>83</v>
      </c>
      <c r="C2815" s="57" t="n"/>
      <c r="D2815" s="57" t="n"/>
      <c r="E2815" s="57" t="n"/>
      <c r="F2815" s="57" t="n"/>
    </row>
    <row r="2816" ht="25" customHeight="1" s="55">
      <c r="A2816" s="57" t="inlineStr">
        <is>
          <t>date_forced:SG Robinson first-harvest assays all dated 2026-08-12</t>
        </is>
      </c>
      <c r="B2816" s="57" t="n">
        <v>83</v>
      </c>
      <c r="C2816" s="57" t="n"/>
      <c r="D2816" s="57" t="n"/>
      <c r="E2816" s="57" t="n"/>
      <c r="F2816" s="57" t="n"/>
    </row>
    <row r="2817" ht="25" customHeight="1" s="55">
      <c r="A2817" s="57" t="inlineStr">
        <is>
          <t>empty_plot_slot</t>
        </is>
      </c>
      <c r="B2817" s="57" t="n">
        <v>62</v>
      </c>
      <c r="C2817" s="57" t="n"/>
      <c r="D2817" s="57" t="n"/>
      <c r="E2817" s="57" t="n"/>
      <c r="F2817" s="57" t="n"/>
    </row>
    <row r="2818" ht="25" customHeight="1" s="55">
      <c r="A2818" s="57" t="inlineStr">
        <is>
          <t>date_forced:South Farm fourth harvest; data entered by Nam</t>
        </is>
      </c>
      <c r="B2818" s="57" t="n">
        <v>58</v>
      </c>
      <c r="C2818" s="57" t="n"/>
      <c r="D2818" s="57" t="n"/>
      <c r="E2818" s="57" t="n"/>
      <c r="F2818" s="57" t="n"/>
    </row>
    <row r="2819" ht="25" customHeight="1" s="55">
      <c r="A2819" s="57" t="inlineStr">
        <is>
          <t>date_forced:Inferred: weekly HT cadence after Third (Mon 7/27 → Mon 8/3)</t>
        </is>
      </c>
      <c r="B2819" s="57" t="n">
        <v>50</v>
      </c>
      <c r="C2819" s="57" t="n"/>
      <c r="D2819" s="57" t="n"/>
      <c r="E2819" s="57" t="n"/>
      <c r="F2819" s="57" t="n"/>
    </row>
    <row r="2820" ht="25" customHeight="1" s="55">
      <c r="A2820" s="57" t="inlineStr">
        <is>
          <t>date_forced:Inferred: weekly HT cadence; SG HT samples cluster on 8/11</t>
        </is>
      </c>
      <c r="B2820" s="57" t="n">
        <v>50</v>
      </c>
      <c r="C2820" s="57" t="n"/>
      <c r="D2820" s="57" t="n"/>
      <c r="E2820" s="57" t="n"/>
      <c r="F2820" s="57" t="n"/>
    </row>
    <row r="2821" ht="25" customHeight="1" s="55">
      <c r="A2821" s="57" t="inlineStr">
        <is>
          <t>filled_from_sheet_default</t>
        </is>
      </c>
      <c r="B2821" s="57" t="n">
        <v>38</v>
      </c>
      <c r="C2821" s="57" t="n"/>
      <c r="D2821" s="57" t="n"/>
      <c r="E2821" s="57" t="n"/>
      <c r="F2821" s="57" t="n"/>
    </row>
    <row r="2822" ht="25" customHeight="1" s="55">
      <c r="A2822" s="57" t="inlineStr">
        <is>
          <t>forward_filled</t>
        </is>
      </c>
      <c r="B2822" s="57" t="n">
        <v>34</v>
      </c>
      <c r="C2822" s="57" t="n"/>
      <c r="D2822" s="57" t="n"/>
      <c r="E2822" s="57" t="n"/>
      <c r="F2822" s="57" t="n"/>
    </row>
    <row r="2823" ht="25" customHeight="1" s="55">
      <c r="A2823" s="57" t="inlineStr">
        <is>
          <t>empty_or_duplicate</t>
        </is>
      </c>
      <c r="B2823" s="57" t="n">
        <v>24</v>
      </c>
      <c r="C2823" s="57" t="n"/>
      <c r="D2823" s="57" t="n"/>
      <c r="E2823" s="57" t="n"/>
      <c r="F2823" s="57" t="n"/>
    </row>
    <row r="2824" ht="25" customHeight="1" s="55">
      <c r="A2824" s="57" t="inlineStr">
        <is>
          <t>date_forced:Recorded on sheet (first row); applied to all rows</t>
        </is>
      </c>
      <c r="B2824" s="57" t="n">
        <v>22</v>
      </c>
      <c r="C2824" s="57" t="n"/>
      <c r="D2824" s="57" t="n"/>
      <c r="E2824" s="57" t="n"/>
      <c r="F2824" s="57" t="n"/>
    </row>
    <row r="2825" ht="25" customHeight="1" s="55">
      <c r="A2825" s="57" t="inlineStr">
        <is>
          <t>standardized</t>
        </is>
      </c>
      <c r="B2825" s="57" t="n">
        <v>16</v>
      </c>
      <c r="C2825" s="57" t="n"/>
      <c r="D2825" s="57" t="n"/>
      <c r="E2825" s="57" t="n"/>
      <c r="F2825" s="57" t="n"/>
    </row>
    <row r="2826" ht="25" customHeight="1" s="55">
      <c r="A2826" s="57" t="inlineStr">
        <is>
          <t>lbs_to_g</t>
        </is>
      </c>
      <c r="B2826" s="57" t="n">
        <v>13</v>
      </c>
      <c r="C2826" s="57" t="n"/>
      <c r="D2826" s="57" t="n"/>
      <c r="E2826" s="57" t="n"/>
      <c r="F2826" s="57" t="n"/>
    </row>
    <row r="2827" ht="25" customHeight="1" s="55">
      <c r="A2827" s="57" t="inlineStr">
        <is>
          <t>date_forced:South Farm third harvest; data entered by Ella (same day as Nam sheet)</t>
        </is>
      </c>
      <c r="B2827" s="57" t="n">
        <v>8</v>
      </c>
      <c r="C2827" s="57" t="n"/>
      <c r="D2827" s="57" t="n"/>
      <c r="E2827" s="57" t="n"/>
      <c r="F2827" s="57" t="n"/>
    </row>
    <row r="2828" ht="25" customHeight="1" s="55">
      <c r="A2828" s="57" t="inlineStr">
        <is>
          <t>date_forced:South Farm third harvest; data entered by Nam</t>
        </is>
      </c>
      <c r="B2828" s="57" t="n">
        <v>7</v>
      </c>
      <c r="C2828" s="57" t="n"/>
      <c r="D2828" s="57" t="n"/>
      <c r="E2828" s="57" t="n"/>
      <c r="F2828" s="57" t="n"/>
    </row>
    <row r="2829" ht="25" customHeight="1" s="55">
      <c r="A2829" s="57" t="inlineStr">
        <is>
          <t>date_forced:Recorded on sheet; seventh HT harvest</t>
        </is>
      </c>
      <c r="B2829" s="57" t="n">
        <v>1</v>
      </c>
      <c r="C2829" s="57" t="n"/>
      <c r="D2829" s="57" t="n"/>
      <c r="E2829" s="57" t="n"/>
      <c r="F2829" s="57" t="n"/>
    </row>
    <row r="2830" ht="25" customHeight="1" s="55">
      <c r="A2830" s="57" t="inlineStr">
        <is>
          <t>moved_descriptive_note_to_Note</t>
        </is>
      </c>
      <c r="B2830" s="57" t="n">
        <v>1</v>
      </c>
      <c r="C2830" s="57" t="n"/>
      <c r="D2830" s="57" t="n"/>
      <c r="E2830" s="57" t="n"/>
      <c r="F2830" s="57" t="n"/>
    </row>
    <row r="2831" ht="25" customHeight="1" s="55">
      <c r="A2831" s="57" t="inlineStr">
        <is>
          <t>typo_fix</t>
        </is>
      </c>
      <c r="B2831" s="57" t="n">
        <v>1</v>
      </c>
      <c r="C2831" s="57" t="n"/>
      <c r="D2831" s="57" t="n"/>
      <c r="E2831" s="57" t="n"/>
      <c r="F2831" s="57" t="n"/>
    </row>
  </sheetData>
  <autoFilter ref="A1:F2831"/>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20"/>
  <sheetViews>
    <sheetView showGridLines="1" topLeftCell="A1" workbookViewId="0">
      <pane ySplit="1" topLeftCell="A2" activePane="bottomLeft" state="frozen"/>
      <selection pane="bottomLeft" activeCell="A1" sqref="A1"/>
    </sheetView>
  </sheetViews>
  <sheetFormatPr baseColWidth="8" defaultColWidth="10.875" defaultRowHeight="16.5" customHeight="0"/>
  <cols>
    <col width="8" bestFit="1" customWidth="1" style="55" min="1" max="1"/>
    <col width="13" customWidth="1" style="55" min="2" max="2"/>
    <col width="13" customWidth="1" style="55" min="3" max="3"/>
    <col width="21" bestFit="1" customWidth="1" style="55" min="4" max="4"/>
    <col width="9" customWidth="1" style="55" min="5" max="5"/>
    <col width="29" customWidth="1" style="55" min="6" max="6"/>
    <col width="29" customWidth="1" style="55" min="7" max="7"/>
    <col width="29" bestFit="1" customWidth="1" style="55" min="8" max="8"/>
    <col width="29" customWidth="1" style="55" min="9" max="9"/>
    <col width="24" customWidth="1" style="55" min="10" max="10"/>
    <col width="24" customWidth="1" style="55" min="11" max="11"/>
    <col width="11" customWidth="1" style="55" min="12" max="12"/>
  </cols>
  <sheetData>
    <row r="1" ht="18" customHeight="1" s="55">
      <c r="A1" s="56" t="inlineStr">
        <is>
          <t>SN</t>
        </is>
      </c>
      <c r="B1" s="56" t="inlineStr">
        <is>
          <t>Genotypes</t>
        </is>
      </c>
      <c r="C1" s="56" t="inlineStr">
        <is>
          <t>Location</t>
        </is>
      </c>
      <c r="D1" s="56" t="inlineStr">
        <is>
          <t>Date of harvest</t>
        </is>
      </c>
      <c r="E1" s="56" t="inlineStr">
        <is>
          <t>Harvest</t>
        </is>
      </c>
      <c r="F1" s="56" t="inlineStr">
        <is>
          <t>Grade 1 Marketable (weight)</t>
        </is>
      </c>
      <c r="G1" s="56" t="inlineStr">
        <is>
          <t>Grade 1 Marketable (counts)</t>
        </is>
      </c>
      <c r="H1" s="56" t="inlineStr">
        <is>
          <t>Grade 2 Marketable (weight)</t>
        </is>
      </c>
      <c r="I1" s="56" t="inlineStr">
        <is>
          <t>Grade 2 Marketable (counts)</t>
        </is>
      </c>
      <c r="J1" s="56" t="inlineStr">
        <is>
          <t>Unmarketables (weight)</t>
        </is>
      </c>
      <c r="K1" s="56" t="inlineStr">
        <is>
          <t>Unmarketables (counts)</t>
        </is>
      </c>
      <c r="L1" s="56" t="inlineStr">
        <is>
          <t>Replicate</t>
        </is>
      </c>
    </row>
    <row r="2" ht="25" customHeight="1" s="55">
      <c r="A2" s="57" t="n">
        <v>1</v>
      </c>
      <c r="B2" s="57" t="inlineStr">
        <is>
          <t>UKYT-25-001</t>
        </is>
      </c>
      <c r="C2" s="57" t="inlineStr">
        <is>
          <t>High tunnel</t>
        </is>
      </c>
      <c r="D2" s="59" t="n">
        <v>46216</v>
      </c>
      <c r="E2" s="57" t="inlineStr">
        <is>
          <t>First</t>
        </is>
      </c>
      <c r="F2" s="57" t="n">
        <v>99.8</v>
      </c>
      <c r="G2" s="57" t="n">
        <v>8</v>
      </c>
      <c r="H2" s="57" t="n">
        <v>45.6</v>
      </c>
      <c r="I2" s="57" t="n">
        <v>4</v>
      </c>
      <c r="J2" s="57" t="n"/>
      <c r="K2" s="57" t="n"/>
      <c r="L2" s="58" t="inlineStr">
        <is>
          <t>N/A</t>
        </is>
      </c>
    </row>
    <row r="3" ht="25" customHeight="1" s="55">
      <c r="A3" s="57" t="n">
        <v>2</v>
      </c>
      <c r="B3" s="57" t="inlineStr">
        <is>
          <t>UKYT-25-002</t>
        </is>
      </c>
      <c r="C3" s="57" t="inlineStr">
        <is>
          <t>High tunnel</t>
        </is>
      </c>
      <c r="D3" s="59" t="n">
        <v>46216</v>
      </c>
      <c r="E3" s="57" t="inlineStr">
        <is>
          <t>First</t>
        </is>
      </c>
      <c r="F3" s="57" t="n">
        <v>451.8</v>
      </c>
      <c r="G3" s="57" t="n">
        <v>22</v>
      </c>
      <c r="H3" s="57" t="n">
        <v>265.8</v>
      </c>
      <c r="I3" s="57" t="n">
        <v>12</v>
      </c>
      <c r="J3" s="57" t="n">
        <v>142.1</v>
      </c>
      <c r="K3" s="57" t="n">
        <v>9</v>
      </c>
      <c r="L3" s="58" t="inlineStr">
        <is>
          <t>N/A</t>
        </is>
      </c>
    </row>
    <row r="4" ht="25" customHeight="1" s="55">
      <c r="A4" s="57" t="n">
        <v>3</v>
      </c>
      <c r="B4" s="57" t="inlineStr">
        <is>
          <t>UKYT-25-003</t>
        </is>
      </c>
      <c r="C4" s="57" t="inlineStr">
        <is>
          <t>High tunnel</t>
        </is>
      </c>
      <c r="D4" s="59" t="n">
        <v>46216</v>
      </c>
      <c r="E4" s="57" t="inlineStr">
        <is>
          <t>First</t>
        </is>
      </c>
      <c r="F4" s="57" t="n">
        <v>110.1</v>
      </c>
      <c r="G4" s="57" t="n">
        <v>8</v>
      </c>
      <c r="H4" s="57" t="n"/>
      <c r="I4" s="57" t="n"/>
      <c r="J4" s="57" t="n">
        <v>30.5</v>
      </c>
      <c r="K4" s="57" t="n">
        <v>3</v>
      </c>
      <c r="L4" s="58" t="inlineStr">
        <is>
          <t>N/A</t>
        </is>
      </c>
    </row>
    <row r="5" ht="25" customHeight="1" s="55">
      <c r="A5" s="57" t="n">
        <v>4</v>
      </c>
      <c r="B5" s="57" t="inlineStr">
        <is>
          <t>UKYT-25-004</t>
        </is>
      </c>
      <c r="C5" s="57" t="inlineStr">
        <is>
          <t>High tunnel</t>
        </is>
      </c>
      <c r="D5" s="59" t="n">
        <v>46216</v>
      </c>
      <c r="E5" s="57" t="inlineStr">
        <is>
          <t>First</t>
        </is>
      </c>
      <c r="F5" s="57" t="n">
        <v>338.1</v>
      </c>
      <c r="G5" s="57" t="n">
        <v>17</v>
      </c>
      <c r="H5" s="57" t="n">
        <v>127.9</v>
      </c>
      <c r="I5" s="57" t="n">
        <v>7</v>
      </c>
      <c r="J5" s="57" t="n">
        <v>138</v>
      </c>
      <c r="K5" s="57" t="n">
        <v>11</v>
      </c>
      <c r="L5" s="58" t="inlineStr">
        <is>
          <t>N/A</t>
        </is>
      </c>
    </row>
    <row r="6" ht="25" customHeight="1" s="55">
      <c r="A6" s="57" t="n">
        <v>5</v>
      </c>
      <c r="B6" s="57" t="inlineStr">
        <is>
          <t>UKYT-25-005</t>
        </is>
      </c>
      <c r="C6" s="57" t="inlineStr">
        <is>
          <t>High tunnel</t>
        </is>
      </c>
      <c r="D6" s="59" t="n">
        <v>46216</v>
      </c>
      <c r="E6" s="57" t="inlineStr">
        <is>
          <t>First</t>
        </is>
      </c>
      <c r="F6" s="57" t="n">
        <v>37.1</v>
      </c>
      <c r="G6" s="57" t="n">
        <v>2</v>
      </c>
      <c r="H6" s="57" t="n"/>
      <c r="I6" s="57" t="n"/>
      <c r="J6" s="57" t="n"/>
      <c r="K6" s="57" t="n"/>
      <c r="L6" s="58" t="inlineStr">
        <is>
          <t>N/A</t>
        </is>
      </c>
    </row>
    <row r="7" ht="25" customHeight="1" s="55">
      <c r="A7" s="57" t="n">
        <v>6</v>
      </c>
      <c r="B7" s="57" t="inlineStr">
        <is>
          <t>UKYT-25-006</t>
        </is>
      </c>
      <c r="C7" s="57" t="inlineStr">
        <is>
          <t>High tunnel</t>
        </is>
      </c>
      <c r="D7" s="59" t="n">
        <v>46216</v>
      </c>
      <c r="E7" s="57" t="inlineStr">
        <is>
          <t>First</t>
        </is>
      </c>
      <c r="F7" s="57" t="n">
        <v>173.2</v>
      </c>
      <c r="G7" s="57" t="n">
        <v>9</v>
      </c>
      <c r="H7" s="57" t="n">
        <v>183.8</v>
      </c>
      <c r="I7" s="57" t="n">
        <v>9</v>
      </c>
      <c r="J7" s="57" t="n">
        <v>77.3</v>
      </c>
      <c r="K7" s="57" t="n">
        <v>5</v>
      </c>
      <c r="L7" s="58" t="inlineStr">
        <is>
          <t>N/A</t>
        </is>
      </c>
    </row>
    <row r="8" ht="25" customHeight="1" s="55">
      <c r="A8" s="57" t="n">
        <v>7</v>
      </c>
      <c r="B8" s="57" t="inlineStr">
        <is>
          <t>UKYT-25-007</t>
        </is>
      </c>
      <c r="C8" s="57" t="inlineStr">
        <is>
          <t>High tunnel</t>
        </is>
      </c>
      <c r="D8" s="59" t="n">
        <v>46216</v>
      </c>
      <c r="E8" s="57" t="inlineStr">
        <is>
          <t>First</t>
        </is>
      </c>
      <c r="F8" s="57" t="n">
        <v>111.7</v>
      </c>
      <c r="G8" s="57" t="n">
        <v>5</v>
      </c>
      <c r="H8" s="57" t="n">
        <v>201</v>
      </c>
      <c r="I8" s="57" t="n">
        <v>11</v>
      </c>
      <c r="J8" s="57" t="n">
        <v>62.7</v>
      </c>
      <c r="K8" s="57" t="n">
        <v>4</v>
      </c>
      <c r="L8" s="58" t="inlineStr">
        <is>
          <t>N/A</t>
        </is>
      </c>
    </row>
    <row r="9" ht="25" customHeight="1" s="55">
      <c r="A9" s="57" t="n">
        <v>8</v>
      </c>
      <c r="B9" s="57" t="inlineStr">
        <is>
          <t>UKYT-25-008</t>
        </is>
      </c>
      <c r="C9" s="57" t="inlineStr">
        <is>
          <t>High tunnel</t>
        </is>
      </c>
      <c r="D9" s="59" t="n">
        <v>46216</v>
      </c>
      <c r="E9" s="57" t="inlineStr">
        <is>
          <t>First</t>
        </is>
      </c>
      <c r="F9" s="57" t="n"/>
      <c r="G9" s="57" t="n"/>
      <c r="H9" s="57" t="n"/>
      <c r="I9" s="57" t="n"/>
      <c r="J9" s="57" t="n"/>
      <c r="K9" s="57" t="n"/>
      <c r="L9" s="58" t="inlineStr">
        <is>
          <t>N/A</t>
        </is>
      </c>
    </row>
    <row r="10" ht="25" customHeight="1" s="55">
      <c r="A10" s="57" t="n">
        <v>9</v>
      </c>
      <c r="B10" s="57" t="inlineStr">
        <is>
          <t>UKYT-25-009</t>
        </is>
      </c>
      <c r="C10" s="57" t="inlineStr">
        <is>
          <t>High tunnel</t>
        </is>
      </c>
      <c r="D10" s="59" t="n">
        <v>46216</v>
      </c>
      <c r="E10" s="57" t="inlineStr">
        <is>
          <t>First</t>
        </is>
      </c>
      <c r="F10" s="57" t="n">
        <v>212.8</v>
      </c>
      <c r="G10" s="57" t="n">
        <v>11</v>
      </c>
      <c r="H10" s="57" t="n">
        <v>156</v>
      </c>
      <c r="I10" s="57" t="n">
        <v>8</v>
      </c>
      <c r="J10" s="57" t="n">
        <v>12.5</v>
      </c>
      <c r="K10" s="57" t="n">
        <v>1</v>
      </c>
      <c r="L10" s="58" t="inlineStr">
        <is>
          <t>N/A</t>
        </is>
      </c>
    </row>
    <row r="11" ht="25" customHeight="1" s="55">
      <c r="A11" s="57" t="n">
        <v>10</v>
      </c>
      <c r="B11" s="57" t="inlineStr">
        <is>
          <t>UKYT-25-010</t>
        </is>
      </c>
      <c r="C11" s="57" t="inlineStr">
        <is>
          <t>High tunnel</t>
        </is>
      </c>
      <c r="D11" s="59" t="n">
        <v>46216</v>
      </c>
      <c r="E11" s="57" t="inlineStr">
        <is>
          <t>First</t>
        </is>
      </c>
      <c r="F11" s="57" t="n">
        <v>241.1</v>
      </c>
      <c r="G11" s="57" t="n">
        <v>14</v>
      </c>
      <c r="H11" s="57" t="n">
        <v>19.4</v>
      </c>
      <c r="I11" s="57" t="n">
        <v>1</v>
      </c>
      <c r="J11" s="57" t="n"/>
      <c r="K11" s="57" t="n"/>
      <c r="L11" s="58" t="inlineStr">
        <is>
          <t>N/A</t>
        </is>
      </c>
    </row>
    <row r="12" ht="25" customHeight="1" s="55">
      <c r="A12" s="57" t="n">
        <v>11</v>
      </c>
      <c r="B12" s="57" t="inlineStr">
        <is>
          <t>UKYT-25-011</t>
        </is>
      </c>
      <c r="C12" s="57" t="inlineStr">
        <is>
          <t>High tunnel</t>
        </is>
      </c>
      <c r="D12" s="59" t="n">
        <v>46216</v>
      </c>
      <c r="E12" s="57" t="inlineStr">
        <is>
          <t>First</t>
        </is>
      </c>
      <c r="F12" s="57" t="n">
        <v>254.6</v>
      </c>
      <c r="G12" s="57" t="n">
        <v>16</v>
      </c>
      <c r="H12" s="57" t="n"/>
      <c r="I12" s="57" t="n"/>
      <c r="J12" s="57" t="n"/>
      <c r="K12" s="57" t="n"/>
      <c r="L12" s="58" t="inlineStr">
        <is>
          <t>N/A</t>
        </is>
      </c>
    </row>
    <row r="13" ht="25" customHeight="1" s="55">
      <c r="A13" s="57" t="n">
        <v>12</v>
      </c>
      <c r="B13" s="57" t="inlineStr">
        <is>
          <t>UKYT-25-012</t>
        </is>
      </c>
      <c r="C13" s="57" t="inlineStr">
        <is>
          <t>High tunnel</t>
        </is>
      </c>
      <c r="D13" s="59" t="n">
        <v>46216</v>
      </c>
      <c r="E13" s="57" t="inlineStr">
        <is>
          <t>First</t>
        </is>
      </c>
      <c r="F13" s="57" t="n">
        <v>178.9</v>
      </c>
      <c r="G13" s="57" t="n">
        <v>10</v>
      </c>
      <c r="H13" s="57" t="n">
        <v>48.8</v>
      </c>
      <c r="I13" s="57" t="n">
        <v>3</v>
      </c>
      <c r="J13" s="57" t="n">
        <v>94.59999999999999</v>
      </c>
      <c r="K13" s="57" t="n">
        <v>7</v>
      </c>
      <c r="L13" s="58" t="inlineStr">
        <is>
          <t>N/A</t>
        </is>
      </c>
    </row>
    <row r="14" ht="25" customHeight="1" s="55">
      <c r="A14" s="57" t="n">
        <v>13</v>
      </c>
      <c r="B14" s="57" t="inlineStr">
        <is>
          <t>UKYT-25-013</t>
        </is>
      </c>
      <c r="C14" s="57" t="inlineStr">
        <is>
          <t>High tunnel</t>
        </is>
      </c>
      <c r="D14" s="59" t="n">
        <v>46216</v>
      </c>
      <c r="E14" s="57" t="inlineStr">
        <is>
          <t>First</t>
        </is>
      </c>
      <c r="F14" s="57" t="n">
        <v>213.1</v>
      </c>
      <c r="G14" s="57" t="n">
        <v>13</v>
      </c>
      <c r="H14" s="57" t="n">
        <v>124.6</v>
      </c>
      <c r="I14" s="57" t="n">
        <v>8</v>
      </c>
      <c r="J14" s="57" t="n">
        <v>69.3</v>
      </c>
      <c r="K14" s="57" t="n">
        <v>5</v>
      </c>
      <c r="L14" s="58" t="inlineStr">
        <is>
          <t>N/A</t>
        </is>
      </c>
    </row>
    <row r="15" ht="25" customHeight="1" s="55">
      <c r="A15" s="57" t="n">
        <v>14</v>
      </c>
      <c r="B15" s="57" t="inlineStr">
        <is>
          <t>UKYT-25-014</t>
        </is>
      </c>
      <c r="C15" s="57" t="inlineStr">
        <is>
          <t>High tunnel</t>
        </is>
      </c>
      <c r="D15" s="59" t="n">
        <v>46216</v>
      </c>
      <c r="E15" s="57" t="inlineStr">
        <is>
          <t>First</t>
        </is>
      </c>
      <c r="F15" s="57" t="n">
        <v>353.7</v>
      </c>
      <c r="G15" s="57" t="n">
        <v>19</v>
      </c>
      <c r="H15" s="57" t="n">
        <v>67.8</v>
      </c>
      <c r="I15" s="57" t="n">
        <v>4</v>
      </c>
      <c r="J15" s="57" t="n"/>
      <c r="K15" s="57" t="n"/>
      <c r="L15" s="58" t="inlineStr">
        <is>
          <t>N/A</t>
        </is>
      </c>
    </row>
    <row r="16" ht="25" customHeight="1" s="55">
      <c r="A16" s="57" t="n">
        <v>15</v>
      </c>
      <c r="B16" s="57" t="inlineStr">
        <is>
          <t>UKYT-25-017</t>
        </is>
      </c>
      <c r="C16" s="57" t="inlineStr">
        <is>
          <t>High tunnel</t>
        </is>
      </c>
      <c r="D16" s="59" t="n">
        <v>46216</v>
      </c>
      <c r="E16" s="57" t="inlineStr">
        <is>
          <t>First</t>
        </is>
      </c>
      <c r="F16" s="57" t="n">
        <v>238.6</v>
      </c>
      <c r="G16" s="57" t="n">
        <v>14</v>
      </c>
      <c r="H16" s="57" t="n">
        <v>46.9</v>
      </c>
      <c r="I16" s="57" t="n">
        <v>3</v>
      </c>
      <c r="J16" s="57" t="n">
        <v>11.5</v>
      </c>
      <c r="K16" s="57" t="n">
        <v>1</v>
      </c>
      <c r="L16" s="58" t="inlineStr">
        <is>
          <t>N/A</t>
        </is>
      </c>
    </row>
    <row r="17" ht="25" customHeight="1" s="55">
      <c r="A17" s="57" t="n">
        <v>16</v>
      </c>
      <c r="B17" s="57" t="inlineStr">
        <is>
          <t>UKYT-26-006</t>
        </is>
      </c>
      <c r="C17" s="57" t="inlineStr">
        <is>
          <t>High tunnel</t>
        </is>
      </c>
      <c r="D17" s="59" t="n">
        <v>46216</v>
      </c>
      <c r="E17" s="57" t="inlineStr">
        <is>
          <t>First</t>
        </is>
      </c>
      <c r="F17" s="57" t="n">
        <v>297</v>
      </c>
      <c r="G17" s="57" t="n">
        <v>15</v>
      </c>
      <c r="H17" s="57" t="n">
        <v>293.4</v>
      </c>
      <c r="I17" s="57" t="n">
        <v>16</v>
      </c>
      <c r="J17" s="57" t="n">
        <v>123.3</v>
      </c>
      <c r="K17" s="57" t="n">
        <v>9</v>
      </c>
      <c r="L17" s="58" t="inlineStr">
        <is>
          <t>N/A</t>
        </is>
      </c>
    </row>
    <row r="18" ht="25" customHeight="1" s="55">
      <c r="A18" s="57" t="n">
        <v>17</v>
      </c>
      <c r="B18" s="57" t="inlineStr">
        <is>
          <t>UKYT-26-015</t>
        </is>
      </c>
      <c r="C18" s="57" t="inlineStr">
        <is>
          <t>High tunnel</t>
        </is>
      </c>
      <c r="D18" s="59" t="n">
        <v>46216</v>
      </c>
      <c r="E18" s="57" t="inlineStr">
        <is>
          <t>First</t>
        </is>
      </c>
      <c r="F18" s="57" t="n"/>
      <c r="G18" s="57" t="n"/>
      <c r="H18" s="57" t="n"/>
      <c r="I18" s="57" t="n"/>
      <c r="J18" s="57" t="n">
        <v>316.1</v>
      </c>
      <c r="K18" s="57" t="n">
        <v>2</v>
      </c>
      <c r="L18" s="58" t="inlineStr">
        <is>
          <t>N/A</t>
        </is>
      </c>
    </row>
    <row r="19" ht="25" customHeight="1" s="55">
      <c r="A19" s="57" t="n">
        <v>18</v>
      </c>
      <c r="B19" s="57" t="inlineStr">
        <is>
          <t>UKYT-26-033</t>
        </is>
      </c>
      <c r="C19" s="57" t="inlineStr">
        <is>
          <t>High tunnel</t>
        </is>
      </c>
      <c r="D19" s="59" t="n">
        <v>46216</v>
      </c>
      <c r="E19" s="57" t="inlineStr">
        <is>
          <t>First</t>
        </is>
      </c>
      <c r="F19" s="57" t="n"/>
      <c r="G19" s="57" t="n"/>
      <c r="H19" s="57" t="n"/>
      <c r="I19" s="57" t="n"/>
      <c r="J19" s="57" t="n">
        <v>76.3</v>
      </c>
      <c r="K19" s="57" t="n">
        <v>1</v>
      </c>
      <c r="L19" s="58" t="inlineStr">
        <is>
          <t>N/A</t>
        </is>
      </c>
    </row>
    <row r="20" ht="25" customHeight="1" s="55">
      <c r="A20" s="57" t="n">
        <v>19</v>
      </c>
      <c r="B20" s="57" t="inlineStr">
        <is>
          <t>UKYT-26-036</t>
        </is>
      </c>
      <c r="C20" s="57" t="inlineStr">
        <is>
          <t>High tunnel</t>
        </is>
      </c>
      <c r="D20" s="59" t="n">
        <v>46216</v>
      </c>
      <c r="E20" s="57" t="inlineStr">
        <is>
          <t>First</t>
        </is>
      </c>
      <c r="F20" s="57" t="n"/>
      <c r="G20" s="57" t="n"/>
      <c r="H20" s="57" t="n"/>
      <c r="I20" s="57" t="n"/>
      <c r="J20" s="57" t="n">
        <v>104.4</v>
      </c>
      <c r="K20" s="57" t="n">
        <v>1</v>
      </c>
      <c r="L20" s="58" t="inlineStr">
        <is>
          <t>N/A</t>
        </is>
      </c>
    </row>
  </sheetData>
  <autoFilter ref="A1:L20"/>
  <pageMargins left="0.7" right="0.7" top="0.75" bottom="0.75" header="0.3" footer="0.3"/>
  <pageSetup orientation="landscape" scale="64" horizontalDpi="0" verticalDpi="0" copies="3"/>
</worksheet>
</file>

<file path=xl/worksheets/sheet4.xml><?xml version="1.0" encoding="utf-8"?>
<worksheet xmlns="http://schemas.openxmlformats.org/spreadsheetml/2006/main">
  <sheetPr>
    <outlinePr summaryBelow="1" summaryRight="1"/>
    <pageSetUpPr/>
  </sheetPr>
  <dimension ref="A1:L21"/>
  <sheetViews>
    <sheetView showGridLines="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13" customWidth="1" style="55" min="2" max="2"/>
    <col width="13" customWidth="1" style="55" min="3" max="3"/>
    <col width="21" customWidth="1" style="55" min="4" max="4"/>
    <col width="9" customWidth="1" style="55" min="5" max="5"/>
    <col width="29" customWidth="1" style="55" min="6" max="6"/>
    <col width="29" customWidth="1" style="55" min="7" max="7"/>
    <col width="29" customWidth="1" style="55" min="8" max="8"/>
    <col width="29" customWidth="1" style="55" min="9" max="9"/>
    <col width="24" customWidth="1" style="55" min="10" max="10"/>
    <col width="24" customWidth="1" style="55" min="11" max="11"/>
    <col width="11" customWidth="1" style="55" min="12" max="12"/>
  </cols>
  <sheetData>
    <row r="1" ht="18" customHeight="1" s="55">
      <c r="A1" s="56" t="inlineStr">
        <is>
          <t>SN</t>
        </is>
      </c>
      <c r="B1" s="56" t="inlineStr">
        <is>
          <t>Genotypes</t>
        </is>
      </c>
      <c r="C1" s="56" t="inlineStr">
        <is>
          <t>Location</t>
        </is>
      </c>
      <c r="D1" s="56" t="inlineStr">
        <is>
          <t>Date of harvest</t>
        </is>
      </c>
      <c r="E1" s="56" t="inlineStr">
        <is>
          <t>Harvest</t>
        </is>
      </c>
      <c r="F1" s="56" t="inlineStr">
        <is>
          <t>Grade 1 Marketable (weight)</t>
        </is>
      </c>
      <c r="G1" s="56" t="inlineStr">
        <is>
          <t>Grade 1 Marketable (counts)</t>
        </is>
      </c>
      <c r="H1" s="56" t="inlineStr">
        <is>
          <t>Grade 2 Marketable (weight)</t>
        </is>
      </c>
      <c r="I1" s="56" t="inlineStr">
        <is>
          <t>Grade 2 Marketable (counts)</t>
        </is>
      </c>
      <c r="J1" s="56" t="inlineStr">
        <is>
          <t>Unmarketables (weight)</t>
        </is>
      </c>
      <c r="K1" s="56" t="inlineStr">
        <is>
          <t>Unmarketables (counts)</t>
        </is>
      </c>
      <c r="L1" s="56" t="inlineStr">
        <is>
          <t>Replicate</t>
        </is>
      </c>
    </row>
    <row r="2" ht="25" customHeight="1" s="55">
      <c r="A2" s="57" t="n">
        <v>1</v>
      </c>
      <c r="B2" s="57" t="inlineStr">
        <is>
          <t>UKYT-25-001</t>
        </is>
      </c>
      <c r="C2" s="57" t="inlineStr">
        <is>
          <t>High tunnel</t>
        </is>
      </c>
      <c r="D2" s="59" t="n">
        <v>46223</v>
      </c>
      <c r="E2" s="57" t="inlineStr">
        <is>
          <t>Second</t>
        </is>
      </c>
      <c r="F2" s="57" t="n">
        <v>147</v>
      </c>
      <c r="G2" s="57" t="n">
        <v>13</v>
      </c>
      <c r="H2" s="57" t="n">
        <v>30</v>
      </c>
      <c r="I2" s="57" t="n">
        <v>3</v>
      </c>
      <c r="J2" s="57" t="n">
        <v>77</v>
      </c>
      <c r="K2" s="57" t="n">
        <v>9</v>
      </c>
      <c r="L2" s="58" t="inlineStr">
        <is>
          <t>N/A</t>
        </is>
      </c>
    </row>
    <row r="3" ht="25" customHeight="1" s="55">
      <c r="A3" s="57" t="n">
        <v>2</v>
      </c>
      <c r="B3" s="57" t="inlineStr">
        <is>
          <t>UKYT-25-002</t>
        </is>
      </c>
      <c r="C3" s="57" t="inlineStr">
        <is>
          <t>High tunnel</t>
        </is>
      </c>
      <c r="D3" s="59" t="n">
        <v>46223</v>
      </c>
      <c r="E3" s="57" t="inlineStr">
        <is>
          <t>Second</t>
        </is>
      </c>
      <c r="F3" s="57" t="n">
        <v>437</v>
      </c>
      <c r="G3" s="57" t="n">
        <v>20</v>
      </c>
      <c r="H3" s="57" t="n">
        <v>21</v>
      </c>
      <c r="I3" s="57" t="n">
        <v>1</v>
      </c>
      <c r="J3" s="57" t="n">
        <v>188</v>
      </c>
      <c r="K3" s="57" t="n">
        <v>13</v>
      </c>
      <c r="L3" s="58" t="inlineStr">
        <is>
          <t>N/A</t>
        </is>
      </c>
    </row>
    <row r="4" ht="25" customHeight="1" s="55">
      <c r="A4" s="57" t="n">
        <v>3</v>
      </c>
      <c r="B4" s="57" t="inlineStr">
        <is>
          <t>UKYT-25-003</t>
        </is>
      </c>
      <c r="C4" s="57" t="inlineStr">
        <is>
          <t>High tunnel</t>
        </is>
      </c>
      <c r="D4" s="59" t="n">
        <v>46223</v>
      </c>
      <c r="E4" s="57" t="inlineStr">
        <is>
          <t>Second</t>
        </is>
      </c>
      <c r="F4" s="57" t="n">
        <v>133</v>
      </c>
      <c r="G4" s="57" t="n">
        <v>9</v>
      </c>
      <c r="H4" s="57" t="n">
        <v>39</v>
      </c>
      <c r="I4" s="57" t="n">
        <v>3</v>
      </c>
      <c r="J4" s="57" t="n">
        <v>36</v>
      </c>
      <c r="K4" s="57" t="n">
        <v>4</v>
      </c>
      <c r="L4" s="58" t="inlineStr">
        <is>
          <t>N/A</t>
        </is>
      </c>
    </row>
    <row r="5" ht="25" customHeight="1" s="55">
      <c r="A5" s="57" t="n">
        <v>4</v>
      </c>
      <c r="B5" s="57" t="inlineStr">
        <is>
          <t>UKYT-25-004</t>
        </is>
      </c>
      <c r="C5" s="57" t="inlineStr">
        <is>
          <t>High tunnel</t>
        </is>
      </c>
      <c r="D5" s="59" t="n">
        <v>46223</v>
      </c>
      <c r="E5" s="57" t="inlineStr">
        <is>
          <t>Second</t>
        </is>
      </c>
      <c r="F5" s="57" t="n">
        <v>170</v>
      </c>
      <c r="G5" s="57" t="n">
        <v>10</v>
      </c>
      <c r="H5" s="57" t="n">
        <v>17</v>
      </c>
      <c r="I5" s="57" t="n">
        <v>1</v>
      </c>
      <c r="J5" s="57" t="n">
        <v>47</v>
      </c>
      <c r="K5" s="57" t="n">
        <v>4</v>
      </c>
      <c r="L5" s="58" t="inlineStr">
        <is>
          <t>N/A</t>
        </is>
      </c>
    </row>
    <row r="6" ht="25" customHeight="1" s="55">
      <c r="A6" s="57" t="n">
        <v>5</v>
      </c>
      <c r="B6" s="57" t="inlineStr">
        <is>
          <t>UKYT-25-005</t>
        </is>
      </c>
      <c r="C6" s="57" t="inlineStr">
        <is>
          <t>High tunnel</t>
        </is>
      </c>
      <c r="D6" s="59" t="n">
        <v>46223</v>
      </c>
      <c r="E6" s="57" t="inlineStr">
        <is>
          <t>Second</t>
        </is>
      </c>
      <c r="F6" s="57" t="n">
        <v>122</v>
      </c>
      <c r="G6" s="57" t="n">
        <v>8</v>
      </c>
      <c r="H6" s="57" t="n">
        <v>26</v>
      </c>
      <c r="I6" s="57" t="n">
        <v>2</v>
      </c>
      <c r="J6" s="57" t="n">
        <v>41</v>
      </c>
      <c r="K6" s="57" t="n">
        <v>3</v>
      </c>
      <c r="L6" s="58" t="inlineStr">
        <is>
          <t>N/A</t>
        </is>
      </c>
    </row>
    <row r="7" ht="25" customHeight="1" s="55">
      <c r="A7" s="57" t="n">
        <v>6</v>
      </c>
      <c r="B7" s="57" t="inlineStr">
        <is>
          <t>UKYT-25-006</t>
        </is>
      </c>
      <c r="C7" s="57" t="inlineStr">
        <is>
          <t>High tunnel</t>
        </is>
      </c>
      <c r="D7" s="59" t="n">
        <v>46223</v>
      </c>
      <c r="E7" s="57" t="inlineStr">
        <is>
          <t>Second</t>
        </is>
      </c>
      <c r="F7" s="57" t="n">
        <v>95</v>
      </c>
      <c r="G7" s="57" t="n">
        <v>6</v>
      </c>
      <c r="H7" s="57" t="n">
        <v>27</v>
      </c>
      <c r="I7" s="57" t="n">
        <v>2</v>
      </c>
      <c r="J7" s="57" t="n">
        <v>26</v>
      </c>
      <c r="K7" s="57" t="n">
        <v>2</v>
      </c>
      <c r="L7" s="58" t="inlineStr">
        <is>
          <t>N/A</t>
        </is>
      </c>
    </row>
    <row r="8" ht="25" customHeight="1" s="55">
      <c r="A8" s="57" t="n">
        <v>7</v>
      </c>
      <c r="B8" s="57" t="inlineStr">
        <is>
          <t>UKYT-25-007</t>
        </is>
      </c>
      <c r="C8" s="57" t="inlineStr">
        <is>
          <t>High tunnel</t>
        </is>
      </c>
      <c r="D8" s="59" t="n">
        <v>46223</v>
      </c>
      <c r="E8" s="57" t="inlineStr">
        <is>
          <t>Second</t>
        </is>
      </c>
      <c r="F8" s="57" t="n">
        <v>146</v>
      </c>
      <c r="G8" s="57" t="n">
        <v>7</v>
      </c>
      <c r="H8" s="57" t="n"/>
      <c r="I8" s="57" t="n"/>
      <c r="J8" s="57" t="n">
        <v>76</v>
      </c>
      <c r="K8" s="57" t="n">
        <v>5</v>
      </c>
      <c r="L8" s="58" t="inlineStr">
        <is>
          <t>N/A</t>
        </is>
      </c>
    </row>
    <row r="9" ht="25" customHeight="1" s="55">
      <c r="A9" s="57" t="n">
        <v>8</v>
      </c>
      <c r="B9" s="57" t="inlineStr">
        <is>
          <t>UKYT-25-008</t>
        </is>
      </c>
      <c r="C9" s="57" t="inlineStr">
        <is>
          <t>High tunnel</t>
        </is>
      </c>
      <c r="D9" s="59" t="n">
        <v>46223</v>
      </c>
      <c r="E9" s="57" t="inlineStr">
        <is>
          <t>Second</t>
        </is>
      </c>
      <c r="F9" s="57" t="n">
        <v>121</v>
      </c>
      <c r="G9" s="57" t="n">
        <v>6</v>
      </c>
      <c r="H9" s="57" t="n">
        <v>18</v>
      </c>
      <c r="I9" s="57" t="n">
        <v>1</v>
      </c>
      <c r="J9" s="57" t="n">
        <v>21</v>
      </c>
      <c r="K9" s="57" t="n">
        <v>2</v>
      </c>
      <c r="L9" s="58" t="inlineStr">
        <is>
          <t>N/A</t>
        </is>
      </c>
    </row>
    <row r="10" ht="25" customHeight="1" s="55">
      <c r="A10" s="57" t="n">
        <v>9</v>
      </c>
      <c r="B10" s="57" t="inlineStr">
        <is>
          <t>UKYT-25-009</t>
        </is>
      </c>
      <c r="C10" s="57" t="inlineStr">
        <is>
          <t>High tunnel</t>
        </is>
      </c>
      <c r="D10" s="59" t="n">
        <v>46223</v>
      </c>
      <c r="E10" s="57" t="inlineStr">
        <is>
          <t>Second</t>
        </is>
      </c>
      <c r="F10" s="57" t="n">
        <v>225</v>
      </c>
      <c r="G10" s="57" t="n">
        <v>12</v>
      </c>
      <c r="H10" s="57" t="n">
        <v>20</v>
      </c>
      <c r="I10" s="57" t="n">
        <v>1</v>
      </c>
      <c r="J10" s="57" t="n">
        <v>10</v>
      </c>
      <c r="K10" s="57" t="n">
        <v>1</v>
      </c>
      <c r="L10" s="58" t="inlineStr">
        <is>
          <t>N/A</t>
        </is>
      </c>
    </row>
    <row r="11" ht="25" customHeight="1" s="55">
      <c r="A11" s="57" t="n">
        <v>10</v>
      </c>
      <c r="B11" s="57" t="inlineStr">
        <is>
          <t>UKYT-25-010</t>
        </is>
      </c>
      <c r="C11" s="57" t="inlineStr">
        <is>
          <t>High tunnel</t>
        </is>
      </c>
      <c r="D11" s="59" t="n">
        <v>46223</v>
      </c>
      <c r="E11" s="57" t="inlineStr">
        <is>
          <t>Second</t>
        </is>
      </c>
      <c r="F11" s="57" t="n">
        <v>123</v>
      </c>
      <c r="G11" s="57" t="n">
        <v>9</v>
      </c>
      <c r="H11" s="57" t="n">
        <v>7</v>
      </c>
      <c r="I11" s="57" t="n">
        <v>1</v>
      </c>
      <c r="J11" s="57" t="n">
        <v>40</v>
      </c>
      <c r="K11" s="57" t="n">
        <v>4</v>
      </c>
      <c r="L11" s="58" t="inlineStr">
        <is>
          <t>N/A</t>
        </is>
      </c>
    </row>
    <row r="12" ht="25" customHeight="1" s="55">
      <c r="A12" s="57" t="n">
        <v>11</v>
      </c>
      <c r="B12" s="57" t="inlineStr">
        <is>
          <t>UKYT-25-011</t>
        </is>
      </c>
      <c r="C12" s="57" t="inlineStr">
        <is>
          <t>High tunnel</t>
        </is>
      </c>
      <c r="D12" s="59" t="n">
        <v>46223</v>
      </c>
      <c r="E12" s="57" t="inlineStr">
        <is>
          <t>Second</t>
        </is>
      </c>
      <c r="F12" s="57" t="n">
        <v>202</v>
      </c>
      <c r="G12" s="57" t="n">
        <v>13</v>
      </c>
      <c r="H12" s="57" t="n"/>
      <c r="I12" s="57" t="n"/>
      <c r="J12" s="57" t="n">
        <v>13</v>
      </c>
      <c r="K12" s="57" t="n">
        <v>1</v>
      </c>
      <c r="L12" s="58" t="inlineStr">
        <is>
          <t>N/A</t>
        </is>
      </c>
    </row>
    <row r="13" ht="25" customHeight="1" s="55">
      <c r="A13" s="57" t="n">
        <v>12</v>
      </c>
      <c r="B13" s="57" t="inlineStr">
        <is>
          <t>UKYT-25-012</t>
        </is>
      </c>
      <c r="C13" s="57" t="inlineStr">
        <is>
          <t>High tunnel</t>
        </is>
      </c>
      <c r="D13" s="59" t="n">
        <v>46223</v>
      </c>
      <c r="E13" s="57" t="inlineStr">
        <is>
          <t>Second</t>
        </is>
      </c>
      <c r="F13" s="57" t="n">
        <v>328</v>
      </c>
      <c r="G13" s="57" t="n">
        <v>24</v>
      </c>
      <c r="H13" s="57" t="n"/>
      <c r="I13" s="57" t="n"/>
      <c r="J13" s="57" t="n">
        <v>80</v>
      </c>
      <c r="K13" s="57" t="n">
        <v>8</v>
      </c>
      <c r="L13" s="58" t="inlineStr">
        <is>
          <t>N/A</t>
        </is>
      </c>
    </row>
    <row r="14" ht="25" customHeight="1" s="55">
      <c r="A14" s="57" t="n">
        <v>13</v>
      </c>
      <c r="B14" s="57" t="inlineStr">
        <is>
          <t>UKYT-25-013</t>
        </is>
      </c>
      <c r="C14" s="57" t="inlineStr">
        <is>
          <t>High tunnel</t>
        </is>
      </c>
      <c r="D14" s="59" t="n">
        <v>46223</v>
      </c>
      <c r="E14" s="57" t="inlineStr">
        <is>
          <t>Second</t>
        </is>
      </c>
      <c r="F14" s="57" t="n">
        <v>36</v>
      </c>
      <c r="G14" s="57" t="n">
        <v>3</v>
      </c>
      <c r="H14" s="57" t="n"/>
      <c r="I14" s="57" t="n"/>
      <c r="J14" s="57" t="n">
        <v>17</v>
      </c>
      <c r="K14" s="57" t="n">
        <v>2</v>
      </c>
      <c r="L14" s="58" t="inlineStr">
        <is>
          <t>N/A</t>
        </is>
      </c>
    </row>
    <row r="15" ht="25" customHeight="1" s="55">
      <c r="A15" s="57" t="n">
        <v>14</v>
      </c>
      <c r="B15" s="57" t="inlineStr">
        <is>
          <t>UKYT-25-014</t>
        </is>
      </c>
      <c r="C15" s="57" t="inlineStr">
        <is>
          <t>High tunnel</t>
        </is>
      </c>
      <c r="D15" s="59" t="n">
        <v>46223</v>
      </c>
      <c r="E15" s="57" t="inlineStr">
        <is>
          <t>Second</t>
        </is>
      </c>
      <c r="F15" s="57" t="n">
        <v>191</v>
      </c>
      <c r="G15" s="57" t="n">
        <v>12</v>
      </c>
      <c r="H15" s="57" t="n"/>
      <c r="I15" s="57" t="n"/>
      <c r="J15" s="57" t="n">
        <v>51</v>
      </c>
      <c r="K15" s="57" t="n">
        <v>4</v>
      </c>
      <c r="L15" s="58" t="inlineStr">
        <is>
          <t>N/A</t>
        </is>
      </c>
    </row>
    <row r="16" ht="25" customHeight="1" s="55">
      <c r="A16" s="57" t="n">
        <v>15</v>
      </c>
      <c r="B16" s="57" t="inlineStr">
        <is>
          <t>UKYT-25-017</t>
        </is>
      </c>
      <c r="C16" s="57" t="inlineStr">
        <is>
          <t>High tunnel</t>
        </is>
      </c>
      <c r="D16" s="59" t="n">
        <v>46223</v>
      </c>
      <c r="E16" s="57" t="inlineStr">
        <is>
          <t>Second</t>
        </is>
      </c>
      <c r="F16" s="57" t="n">
        <v>263</v>
      </c>
      <c r="G16" s="57" t="n">
        <v>15</v>
      </c>
      <c r="H16" s="57" t="n">
        <v>36</v>
      </c>
      <c r="I16" s="57" t="n">
        <v>2</v>
      </c>
      <c r="J16" s="57" t="n">
        <v>72</v>
      </c>
      <c r="K16" s="57" t="n">
        <v>7</v>
      </c>
      <c r="L16" s="58" t="inlineStr">
        <is>
          <t>N/A</t>
        </is>
      </c>
    </row>
    <row r="17" ht="25" customHeight="1" s="55">
      <c r="A17" s="57" t="n">
        <v>16</v>
      </c>
      <c r="B17" s="57" t="inlineStr">
        <is>
          <t>UKYT-26-001</t>
        </is>
      </c>
      <c r="C17" s="57" t="inlineStr">
        <is>
          <t>High tunnel</t>
        </is>
      </c>
      <c r="D17" s="59" t="n">
        <v>46223</v>
      </c>
      <c r="E17" s="57" t="inlineStr">
        <is>
          <t>Second</t>
        </is>
      </c>
      <c r="F17" s="57" t="n">
        <v>137</v>
      </c>
      <c r="G17" s="57" t="n">
        <v>2</v>
      </c>
      <c r="H17" s="57" t="n">
        <v>65</v>
      </c>
      <c r="I17" s="57" t="n">
        <v>1</v>
      </c>
      <c r="J17" s="57" t="n">
        <v>297</v>
      </c>
      <c r="K17" s="57" t="n">
        <v>5</v>
      </c>
      <c r="L17" s="58" t="inlineStr">
        <is>
          <t>N/A</t>
        </is>
      </c>
    </row>
    <row r="18" ht="25" customHeight="1" s="55">
      <c r="A18" s="57" t="n">
        <v>17</v>
      </c>
      <c r="B18" s="57" t="inlineStr">
        <is>
          <t>UKYT-26-006</t>
        </is>
      </c>
      <c r="C18" s="57" t="inlineStr">
        <is>
          <t>High tunnel</t>
        </is>
      </c>
      <c r="D18" s="59" t="n">
        <v>46223</v>
      </c>
      <c r="E18" s="57" t="inlineStr">
        <is>
          <t>Second</t>
        </is>
      </c>
      <c r="F18" s="57" t="n">
        <v>410</v>
      </c>
      <c r="G18" s="57" t="n">
        <v>25</v>
      </c>
      <c r="H18" s="57" t="n">
        <v>114</v>
      </c>
      <c r="I18" s="57" t="n">
        <v>8</v>
      </c>
      <c r="J18" s="57" t="n">
        <v>179</v>
      </c>
      <c r="K18" s="57" t="n">
        <v>18</v>
      </c>
      <c r="L18" s="58" t="inlineStr">
        <is>
          <t>N/A</t>
        </is>
      </c>
    </row>
    <row r="19" ht="25" customHeight="1" s="55">
      <c r="A19" s="57" t="n">
        <v>18</v>
      </c>
      <c r="B19" s="57" t="inlineStr">
        <is>
          <t>UKYT-26-011</t>
        </is>
      </c>
      <c r="C19" s="57" t="inlineStr">
        <is>
          <t>High tunnel</t>
        </is>
      </c>
      <c r="D19" s="59" t="n">
        <v>46223</v>
      </c>
      <c r="E19" s="57" t="inlineStr">
        <is>
          <t>Second</t>
        </is>
      </c>
      <c r="F19" s="57" t="n"/>
      <c r="G19" s="57" t="n"/>
      <c r="H19" s="57" t="n">
        <v>575</v>
      </c>
      <c r="I19" s="57" t="n">
        <v>2</v>
      </c>
      <c r="J19" s="57" t="n"/>
      <c r="K19" s="57" t="n"/>
      <c r="L19" s="58" t="inlineStr">
        <is>
          <t>N/A</t>
        </is>
      </c>
    </row>
    <row r="20" ht="25" customHeight="1" s="55">
      <c r="A20" s="57" t="n">
        <v>19</v>
      </c>
      <c r="B20" s="57" t="inlineStr">
        <is>
          <t>UKYT-26-014</t>
        </is>
      </c>
      <c r="C20" s="57" t="inlineStr">
        <is>
          <t>High tunnel</t>
        </is>
      </c>
      <c r="D20" s="59" t="n">
        <v>46223</v>
      </c>
      <c r="E20" s="57" t="inlineStr">
        <is>
          <t>Second</t>
        </is>
      </c>
      <c r="F20" s="57" t="n"/>
      <c r="G20" s="57" t="n"/>
      <c r="H20" s="57" t="n">
        <v>375</v>
      </c>
      <c r="I20" s="57" t="n">
        <v>1</v>
      </c>
      <c r="J20" s="57" t="n"/>
      <c r="K20" s="57" t="n"/>
      <c r="L20" s="58" t="inlineStr">
        <is>
          <t>N/A</t>
        </is>
      </c>
    </row>
    <row r="21" ht="25" customHeight="1" s="55">
      <c r="A21" s="57" t="n">
        <v>20</v>
      </c>
      <c r="B21" s="57" t="inlineStr">
        <is>
          <t>UKYT-26-015</t>
        </is>
      </c>
      <c r="C21" s="57" t="inlineStr">
        <is>
          <t>High tunnel</t>
        </is>
      </c>
      <c r="D21" s="59" t="n">
        <v>46223</v>
      </c>
      <c r="E21" s="57" t="inlineStr">
        <is>
          <t>Second</t>
        </is>
      </c>
      <c r="F21" s="57" t="n"/>
      <c r="G21" s="57" t="n"/>
      <c r="H21" s="57" t="n">
        <v>484</v>
      </c>
      <c r="I21" s="57" t="n">
        <v>1</v>
      </c>
      <c r="J21" s="57" t="n"/>
      <c r="K21" s="57" t="n"/>
      <c r="L21" s="58" t="inlineStr">
        <is>
          <t>N/A</t>
        </is>
      </c>
    </row>
  </sheetData>
  <autoFilter ref="A1:L21"/>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51"/>
  <sheetViews>
    <sheetView showGridLines="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13" customWidth="1" style="55" min="2" max="2"/>
    <col width="13" customWidth="1" style="55" min="3" max="3"/>
    <col width="21" customWidth="1" style="55" min="4" max="4"/>
    <col width="9" customWidth="1" style="55" min="5" max="5"/>
    <col width="29" customWidth="1" style="55" min="6" max="6"/>
    <col width="29" customWidth="1" style="55" min="7" max="8"/>
    <col width="29" customWidth="1" style="55" min="8" max="8"/>
    <col width="29" customWidth="1" style="55" min="9" max="9"/>
    <col width="24" customWidth="1" style="55" min="10" max="10"/>
    <col width="24" customWidth="1" style="55" min="11" max="11"/>
    <col width="11" customWidth="1" style="55" min="12" max="12"/>
  </cols>
  <sheetData>
    <row r="1" ht="18" customHeight="1" s="55">
      <c r="A1" s="56" t="inlineStr">
        <is>
          <t>SN</t>
        </is>
      </c>
      <c r="B1" s="56" t="inlineStr">
        <is>
          <t>Genotypes</t>
        </is>
      </c>
      <c r="C1" s="56" t="inlineStr">
        <is>
          <t>Location</t>
        </is>
      </c>
      <c r="D1" s="56" t="inlineStr">
        <is>
          <t>Date of harvest</t>
        </is>
      </c>
      <c r="E1" s="56" t="inlineStr">
        <is>
          <t>Harvest</t>
        </is>
      </c>
      <c r="F1" s="56" t="inlineStr">
        <is>
          <t>Grade 1 Marketable (weight)</t>
        </is>
      </c>
      <c r="G1" s="56" t="inlineStr">
        <is>
          <t>Grade 1 Marketable (counts)</t>
        </is>
      </c>
      <c r="H1" s="56" t="inlineStr">
        <is>
          <t>Grade 2 Marketable (weight)</t>
        </is>
      </c>
      <c r="I1" s="56" t="inlineStr">
        <is>
          <t>Grade 2 Marketable (counts)</t>
        </is>
      </c>
      <c r="J1" s="56" t="inlineStr">
        <is>
          <t>Unmarketables (weight)</t>
        </is>
      </c>
      <c r="K1" s="56" t="inlineStr">
        <is>
          <t>Unmarketables (counts)</t>
        </is>
      </c>
      <c r="L1" s="56" t="inlineStr">
        <is>
          <t>Replicate</t>
        </is>
      </c>
    </row>
    <row r="2" ht="25" customHeight="1" s="55">
      <c r="A2" s="57" t="n">
        <v>1</v>
      </c>
      <c r="B2" s="57" t="inlineStr">
        <is>
          <t>UKYT-25-001</t>
        </is>
      </c>
      <c r="C2" s="57" t="inlineStr">
        <is>
          <t>High tunnel</t>
        </is>
      </c>
      <c r="D2" s="59" t="n">
        <v>46230</v>
      </c>
      <c r="E2" s="57" t="inlineStr">
        <is>
          <t>Third</t>
        </is>
      </c>
      <c r="F2" s="57" t="n">
        <v>100.4</v>
      </c>
      <c r="G2" s="57" t="n">
        <v>9</v>
      </c>
      <c r="H2" s="57" t="n">
        <v>52.2</v>
      </c>
      <c r="I2" s="57" t="n">
        <v>5</v>
      </c>
      <c r="J2" s="57" t="n"/>
      <c r="K2" s="57" t="n"/>
      <c r="L2" s="58" t="inlineStr">
        <is>
          <t>N/A</t>
        </is>
      </c>
    </row>
    <row r="3" ht="25" customHeight="1" s="55">
      <c r="A3" s="57" t="n">
        <v>2</v>
      </c>
      <c r="B3" s="57" t="inlineStr">
        <is>
          <t>UKYT-25-002</t>
        </is>
      </c>
      <c r="C3" s="57" t="inlineStr">
        <is>
          <t>High tunnel</t>
        </is>
      </c>
      <c r="D3" s="59" t="n">
        <v>46230</v>
      </c>
      <c r="E3" s="57" t="inlineStr">
        <is>
          <t>Third</t>
        </is>
      </c>
      <c r="F3" s="57" t="n">
        <v>498.3</v>
      </c>
      <c r="G3" s="57" t="n">
        <v>25</v>
      </c>
      <c r="H3" s="57" t="n">
        <v>212.2</v>
      </c>
      <c r="I3" s="57" t="n">
        <v>10</v>
      </c>
      <c r="J3" s="57" t="n"/>
      <c r="K3" s="57" t="n"/>
      <c r="L3" s="58" t="inlineStr">
        <is>
          <t>N/A</t>
        </is>
      </c>
    </row>
    <row r="4" ht="25" customHeight="1" s="55">
      <c r="A4" s="57" t="n">
        <v>3</v>
      </c>
      <c r="B4" s="57" t="inlineStr">
        <is>
          <t>UKYT-25-003</t>
        </is>
      </c>
      <c r="C4" s="57" t="inlineStr">
        <is>
          <t>High tunnel</t>
        </is>
      </c>
      <c r="D4" s="59" t="n">
        <v>46230</v>
      </c>
      <c r="E4" s="57" t="inlineStr">
        <is>
          <t>Third</t>
        </is>
      </c>
      <c r="F4" s="57" t="n">
        <v>182.2</v>
      </c>
      <c r="G4" s="57" t="n">
        <v>14</v>
      </c>
      <c r="H4" s="57" t="n">
        <v>202.6</v>
      </c>
      <c r="I4" s="57" t="n">
        <v>16</v>
      </c>
      <c r="J4" s="57" t="n">
        <v>13.4</v>
      </c>
      <c r="K4" s="57" t="n">
        <v>1</v>
      </c>
      <c r="L4" s="58" t="inlineStr">
        <is>
          <t>N/A</t>
        </is>
      </c>
    </row>
    <row r="5" ht="25" customHeight="1" s="55">
      <c r="A5" s="57" t="n">
        <v>4</v>
      </c>
      <c r="B5" s="57" t="inlineStr">
        <is>
          <t>UKYT-25-004</t>
        </is>
      </c>
      <c r="C5" s="57" t="inlineStr">
        <is>
          <t>High tunnel</t>
        </is>
      </c>
      <c r="D5" s="59" t="n">
        <v>46230</v>
      </c>
      <c r="E5" s="57" t="inlineStr">
        <is>
          <t>Third</t>
        </is>
      </c>
      <c r="F5" s="57" t="n">
        <v>204</v>
      </c>
      <c r="G5" s="57" t="n">
        <v>12</v>
      </c>
      <c r="H5" s="57" t="n">
        <v>159.2</v>
      </c>
      <c r="I5" s="57" t="n">
        <v>10</v>
      </c>
      <c r="J5" s="57" t="n">
        <v>28.9</v>
      </c>
      <c r="K5" s="57" t="n">
        <v>2</v>
      </c>
      <c r="L5" s="58" t="inlineStr">
        <is>
          <t>N/A</t>
        </is>
      </c>
    </row>
    <row r="6" ht="25" customHeight="1" s="55">
      <c r="A6" s="57" t="n">
        <v>5</v>
      </c>
      <c r="B6" s="57" t="inlineStr">
        <is>
          <t>UKYT-25-005</t>
        </is>
      </c>
      <c r="C6" s="57" t="inlineStr">
        <is>
          <t>High tunnel</t>
        </is>
      </c>
      <c r="D6" s="59" t="n">
        <v>46230</v>
      </c>
      <c r="E6" s="57" t="inlineStr">
        <is>
          <t>Third</t>
        </is>
      </c>
      <c r="F6" s="57" t="n">
        <v>71.7</v>
      </c>
      <c r="G6" s="57" t="n">
        <v>6</v>
      </c>
      <c r="H6" s="57" t="n">
        <v>20.7</v>
      </c>
      <c r="I6" s="57" t="n">
        <v>2</v>
      </c>
      <c r="J6" s="57" t="n"/>
      <c r="K6" s="57" t="n"/>
      <c r="L6" s="58" t="inlineStr">
        <is>
          <t>N/A</t>
        </is>
      </c>
    </row>
    <row r="7" ht="25" customHeight="1" s="55">
      <c r="A7" s="57" t="n">
        <v>6</v>
      </c>
      <c r="B7" s="57" t="inlineStr">
        <is>
          <t>UKYT-25-006</t>
        </is>
      </c>
      <c r="C7" s="57" t="inlineStr">
        <is>
          <t>High tunnel</t>
        </is>
      </c>
      <c r="D7" s="59" t="n">
        <v>46230</v>
      </c>
      <c r="E7" s="57" t="inlineStr">
        <is>
          <t>Third</t>
        </is>
      </c>
      <c r="F7" s="57" t="n">
        <v>169</v>
      </c>
      <c r="G7" s="57" t="n">
        <v>12</v>
      </c>
      <c r="H7" s="57" t="n"/>
      <c r="I7" s="57" t="n"/>
      <c r="J7" s="57" t="n"/>
      <c r="K7" s="57" t="n"/>
      <c r="L7" s="58" t="inlineStr">
        <is>
          <t>N/A</t>
        </is>
      </c>
    </row>
    <row r="8" ht="25" customHeight="1" s="55">
      <c r="A8" s="57" t="n">
        <v>7</v>
      </c>
      <c r="B8" s="57" t="inlineStr">
        <is>
          <t>UKYT-25-007</t>
        </is>
      </c>
      <c r="C8" s="57" t="inlineStr">
        <is>
          <t>High tunnel</t>
        </is>
      </c>
      <c r="D8" s="59" t="n">
        <v>46230</v>
      </c>
      <c r="E8" s="57" t="inlineStr">
        <is>
          <t>Third</t>
        </is>
      </c>
      <c r="F8" s="57" t="n">
        <v>217.9</v>
      </c>
      <c r="G8" s="57" t="n">
        <v>12</v>
      </c>
      <c r="H8" s="57" t="n">
        <v>130.5</v>
      </c>
      <c r="I8" s="57" t="n">
        <v>7</v>
      </c>
      <c r="J8" s="57" t="n"/>
      <c r="K8" s="57" t="n"/>
      <c r="L8" s="58" t="inlineStr">
        <is>
          <t>N/A</t>
        </is>
      </c>
    </row>
    <row r="9" ht="25" customHeight="1" s="55">
      <c r="A9" s="57" t="n">
        <v>8</v>
      </c>
      <c r="B9" s="57" t="inlineStr">
        <is>
          <t>UKYT-25-008</t>
        </is>
      </c>
      <c r="C9" s="57" t="inlineStr">
        <is>
          <t>High tunnel</t>
        </is>
      </c>
      <c r="D9" s="59" t="n">
        <v>46230</v>
      </c>
      <c r="E9" s="57" t="inlineStr">
        <is>
          <t>Third</t>
        </is>
      </c>
      <c r="F9" s="57" t="n">
        <v>185.6</v>
      </c>
      <c r="G9" s="57" t="n">
        <v>11</v>
      </c>
      <c r="H9" s="57" t="n">
        <v>130.9</v>
      </c>
      <c r="I9" s="57" t="n">
        <v>7</v>
      </c>
      <c r="J9" s="57" t="n"/>
      <c r="K9" s="57" t="n"/>
      <c r="L9" s="58" t="inlineStr">
        <is>
          <t>N/A</t>
        </is>
      </c>
    </row>
    <row r="10" ht="25" customHeight="1" s="55">
      <c r="A10" s="57" t="n">
        <v>9</v>
      </c>
      <c r="B10" s="57" t="inlineStr">
        <is>
          <t>UKYT-25-009</t>
        </is>
      </c>
      <c r="C10" s="57" t="inlineStr">
        <is>
          <t>High tunnel</t>
        </is>
      </c>
      <c r="D10" s="59" t="n">
        <v>46230</v>
      </c>
      <c r="E10" s="57" t="inlineStr">
        <is>
          <t>Third</t>
        </is>
      </c>
      <c r="F10" s="57" t="n">
        <v>232.6</v>
      </c>
      <c r="G10" s="57" t="n">
        <v>12</v>
      </c>
      <c r="H10" s="57" t="n">
        <v>182.1</v>
      </c>
      <c r="I10" s="57" t="n">
        <v>10</v>
      </c>
      <c r="J10" s="57" t="n"/>
      <c r="K10" s="57" t="n"/>
      <c r="L10" s="58" t="inlineStr">
        <is>
          <t>N/A</t>
        </is>
      </c>
    </row>
    <row r="11" ht="25" customHeight="1" s="55">
      <c r="A11" s="57" t="n">
        <v>10</v>
      </c>
      <c r="B11" s="57" t="inlineStr">
        <is>
          <t>UKYT-25-010</t>
        </is>
      </c>
      <c r="C11" s="57" t="inlineStr">
        <is>
          <t>High tunnel</t>
        </is>
      </c>
      <c r="D11" s="59" t="n">
        <v>46230</v>
      </c>
      <c r="E11" s="57" t="inlineStr">
        <is>
          <t>Third</t>
        </is>
      </c>
      <c r="F11" s="57" t="n">
        <v>432.7</v>
      </c>
      <c r="G11" s="57" t="n">
        <v>28</v>
      </c>
      <c r="H11" s="57" t="n">
        <v>102.1</v>
      </c>
      <c r="I11" s="57" t="n">
        <v>7</v>
      </c>
      <c r="J11" s="57" t="n">
        <v>48.5</v>
      </c>
      <c r="K11" s="57" t="n">
        <v>5</v>
      </c>
      <c r="L11" s="58" t="inlineStr">
        <is>
          <t>N/A</t>
        </is>
      </c>
    </row>
    <row r="12" ht="25" customHeight="1" s="55">
      <c r="A12" s="57" t="n">
        <v>11</v>
      </c>
      <c r="B12" s="57" t="inlineStr">
        <is>
          <t>UKYT-25-011</t>
        </is>
      </c>
      <c r="C12" s="57" t="inlineStr">
        <is>
          <t>High tunnel</t>
        </is>
      </c>
      <c r="D12" s="59" t="n">
        <v>46230</v>
      </c>
      <c r="E12" s="57" t="inlineStr">
        <is>
          <t>Third</t>
        </is>
      </c>
      <c r="F12" s="57" t="n">
        <v>298.8</v>
      </c>
      <c r="G12" s="57" t="n">
        <v>21</v>
      </c>
      <c r="H12" s="57" t="n">
        <v>105</v>
      </c>
      <c r="I12" s="57" t="n">
        <v>8</v>
      </c>
      <c r="J12" s="57" t="n">
        <v>99.40000000000001</v>
      </c>
      <c r="K12" s="57" t="n">
        <v>10</v>
      </c>
      <c r="L12" s="58" t="inlineStr">
        <is>
          <t>N/A</t>
        </is>
      </c>
    </row>
    <row r="13" ht="25" customHeight="1" s="55">
      <c r="A13" s="57" t="n">
        <v>12</v>
      </c>
      <c r="B13" s="57" t="inlineStr">
        <is>
          <t>UKYT-25-012</t>
        </is>
      </c>
      <c r="C13" s="57" t="inlineStr">
        <is>
          <t>High tunnel</t>
        </is>
      </c>
      <c r="D13" s="59" t="n">
        <v>46230</v>
      </c>
      <c r="E13" s="57" t="inlineStr">
        <is>
          <t>Third</t>
        </is>
      </c>
      <c r="F13" s="57" t="n">
        <v>250.6</v>
      </c>
      <c r="G13" s="57" t="n">
        <v>17</v>
      </c>
      <c r="H13" s="57" t="n">
        <v>120.1</v>
      </c>
      <c r="I13" s="57" t="n">
        <v>8</v>
      </c>
      <c r="J13" s="57" t="n">
        <v>217.9</v>
      </c>
      <c r="K13" s="57" t="n">
        <v>18</v>
      </c>
      <c r="L13" s="58" t="inlineStr">
        <is>
          <t>N/A</t>
        </is>
      </c>
    </row>
    <row r="14" ht="25" customHeight="1" s="55">
      <c r="A14" s="57" t="n">
        <v>13</v>
      </c>
      <c r="B14" s="57" t="inlineStr">
        <is>
          <t>UKYT-25-013</t>
        </is>
      </c>
      <c r="C14" s="57" t="inlineStr">
        <is>
          <t>High tunnel</t>
        </is>
      </c>
      <c r="D14" s="59" t="n">
        <v>46230</v>
      </c>
      <c r="E14" s="57" t="inlineStr">
        <is>
          <t>Third</t>
        </is>
      </c>
      <c r="F14" s="57" t="n">
        <v>370.5</v>
      </c>
      <c r="G14" s="57" t="n">
        <v>26</v>
      </c>
      <c r="H14" s="57" t="n">
        <v>219.7</v>
      </c>
      <c r="I14" s="57" t="n">
        <v>14</v>
      </c>
      <c r="J14" s="57" t="n">
        <v>371.7</v>
      </c>
      <c r="K14" s="57" t="n">
        <v>29</v>
      </c>
      <c r="L14" s="58" t="inlineStr">
        <is>
          <t>N/A</t>
        </is>
      </c>
    </row>
    <row r="15" ht="25" customHeight="1" s="55">
      <c r="A15" s="57" t="n">
        <v>14</v>
      </c>
      <c r="B15" s="57" t="inlineStr">
        <is>
          <t>UKYT-25-014</t>
        </is>
      </c>
      <c r="C15" s="57" t="inlineStr">
        <is>
          <t>High tunnel</t>
        </is>
      </c>
      <c r="D15" s="59" t="n">
        <v>46230</v>
      </c>
      <c r="E15" s="57" t="inlineStr">
        <is>
          <t>Third</t>
        </is>
      </c>
      <c r="F15" s="57" t="n">
        <v>291.4</v>
      </c>
      <c r="G15" s="57" t="n">
        <v>20</v>
      </c>
      <c r="H15" s="57" t="n">
        <v>132.6</v>
      </c>
      <c r="I15" s="57" t="n">
        <v>9</v>
      </c>
      <c r="J15" s="57" t="n">
        <v>350.5</v>
      </c>
      <c r="K15" s="57" t="n">
        <v>27</v>
      </c>
      <c r="L15" s="58" t="inlineStr">
        <is>
          <t>N/A</t>
        </is>
      </c>
    </row>
    <row r="16" ht="25" customHeight="1" s="55">
      <c r="A16" s="57" t="n">
        <v>15</v>
      </c>
      <c r="B16" s="57" t="inlineStr">
        <is>
          <t>UKYT-25-015</t>
        </is>
      </c>
      <c r="C16" s="57" t="inlineStr">
        <is>
          <t>High tunnel</t>
        </is>
      </c>
      <c r="D16" s="59" t="n">
        <v>46231</v>
      </c>
      <c r="E16" s="57" t="inlineStr">
        <is>
          <t>Third</t>
        </is>
      </c>
      <c r="F16" s="57" t="n">
        <v>60</v>
      </c>
      <c r="G16" s="57" t="n">
        <v>3</v>
      </c>
      <c r="H16" s="57" t="n">
        <v>205</v>
      </c>
      <c r="I16" s="57" t="n">
        <v>11</v>
      </c>
      <c r="J16" s="57" t="n">
        <v>114</v>
      </c>
      <c r="K16" s="57" t="n">
        <v>13</v>
      </c>
      <c r="L16" s="58" t="inlineStr">
        <is>
          <t>N/A</t>
        </is>
      </c>
    </row>
    <row r="17" ht="25" customHeight="1" s="55">
      <c r="A17" s="57" t="n">
        <v>16</v>
      </c>
      <c r="B17" s="57" t="inlineStr">
        <is>
          <t>UKYT-25-016</t>
        </is>
      </c>
      <c r="C17" s="57" t="inlineStr">
        <is>
          <t>High tunnel</t>
        </is>
      </c>
      <c r="D17" s="59" t="n">
        <v>46231</v>
      </c>
      <c r="E17" s="57" t="inlineStr">
        <is>
          <t>Third</t>
        </is>
      </c>
      <c r="F17" s="57" t="n">
        <v>16</v>
      </c>
      <c r="G17" s="57" t="n">
        <v>2</v>
      </c>
      <c r="H17" s="57" t="n">
        <v>8</v>
      </c>
      <c r="I17" s="57" t="n">
        <v>1</v>
      </c>
      <c r="J17" s="57" t="n">
        <v>16</v>
      </c>
      <c r="K17" s="57" t="n">
        <v>2</v>
      </c>
      <c r="L17" s="58" t="inlineStr">
        <is>
          <t>N/A</t>
        </is>
      </c>
    </row>
    <row r="18" ht="25" customHeight="1" s="55">
      <c r="A18" s="57" t="n">
        <v>17</v>
      </c>
      <c r="B18" s="57" t="inlineStr">
        <is>
          <t>UKYT-25-017</t>
        </is>
      </c>
      <c r="C18" s="57" t="inlineStr">
        <is>
          <t>High tunnel</t>
        </is>
      </c>
      <c r="D18" s="59" t="n">
        <v>46230</v>
      </c>
      <c r="E18" s="57" t="inlineStr">
        <is>
          <t>Third</t>
        </is>
      </c>
      <c r="F18" s="57" t="n">
        <v>110</v>
      </c>
      <c r="G18" s="57" t="n">
        <v>6</v>
      </c>
      <c r="H18" s="57" t="n">
        <v>148</v>
      </c>
      <c r="I18" s="57" t="n">
        <v>9</v>
      </c>
      <c r="J18" s="57" t="n">
        <v>171.8</v>
      </c>
      <c r="K18" s="57" t="n">
        <v>15</v>
      </c>
      <c r="L18" s="58" t="inlineStr">
        <is>
          <t>N/A</t>
        </is>
      </c>
    </row>
    <row r="19" ht="25" customHeight="1" s="55">
      <c r="A19" s="57" t="n">
        <v>18</v>
      </c>
      <c r="B19" s="57" t="inlineStr">
        <is>
          <t>UKYT-26-001</t>
        </is>
      </c>
      <c r="C19" s="57" t="inlineStr">
        <is>
          <t>High tunnel</t>
        </is>
      </c>
      <c r="D19" s="59" t="n">
        <v>46230</v>
      </c>
      <c r="E19" s="57" t="inlineStr">
        <is>
          <t>Third</t>
        </is>
      </c>
      <c r="F19" s="57" t="n">
        <v>68.40000000000001</v>
      </c>
      <c r="G19" s="57" t="n">
        <v>1</v>
      </c>
      <c r="H19" s="57" t="n">
        <v>501.4</v>
      </c>
      <c r="I19" s="57" t="n">
        <v>6</v>
      </c>
      <c r="J19" s="57" t="n">
        <v>620.8</v>
      </c>
      <c r="K19" s="57" t="n">
        <v>11</v>
      </c>
      <c r="L19" s="58" t="inlineStr">
        <is>
          <t>N/A</t>
        </is>
      </c>
    </row>
    <row r="20" ht="25" customHeight="1" s="55">
      <c r="A20" s="57" t="n">
        <v>19</v>
      </c>
      <c r="B20" s="57" t="inlineStr">
        <is>
          <t>UKYT-26-006</t>
        </is>
      </c>
      <c r="C20" s="57" t="inlineStr">
        <is>
          <t>High tunnel</t>
        </is>
      </c>
      <c r="D20" s="59" t="n">
        <v>46230</v>
      </c>
      <c r="E20" s="57" t="inlineStr">
        <is>
          <t>Third</t>
        </is>
      </c>
      <c r="F20" s="57" t="n">
        <v>684.8</v>
      </c>
      <c r="G20" s="57" t="n">
        <v>47</v>
      </c>
      <c r="H20" s="57" t="n">
        <v>266.2</v>
      </c>
      <c r="I20" s="57" t="n">
        <v>22</v>
      </c>
      <c r="J20" s="57" t="n">
        <v>497.4</v>
      </c>
      <c r="K20" s="57" t="n">
        <v>49</v>
      </c>
      <c r="L20" s="58" t="inlineStr">
        <is>
          <t>N/A</t>
        </is>
      </c>
    </row>
    <row r="21" ht="25" customHeight="1" s="55">
      <c r="A21" s="57" t="n">
        <v>20</v>
      </c>
      <c r="B21" s="57" t="inlineStr">
        <is>
          <t>UKYT-26-011</t>
        </is>
      </c>
      <c r="C21" s="57" t="inlineStr">
        <is>
          <t>High tunnel</t>
        </is>
      </c>
      <c r="D21" s="59" t="n">
        <v>46231</v>
      </c>
      <c r="E21" s="57" t="inlineStr">
        <is>
          <t>Third</t>
        </is>
      </c>
      <c r="F21" s="57" t="n"/>
      <c r="G21" s="57" t="n"/>
      <c r="H21" s="57" t="n">
        <v>1485</v>
      </c>
      <c r="I21" s="57" t="n">
        <v>5</v>
      </c>
      <c r="J21" s="57" t="n">
        <v>415</v>
      </c>
      <c r="K21" s="57" t="n">
        <v>2</v>
      </c>
      <c r="L21" s="58" t="inlineStr">
        <is>
          <t>N/A</t>
        </is>
      </c>
    </row>
    <row r="22" ht="25" customHeight="1" s="55">
      <c r="A22" s="57" t="n">
        <v>21</v>
      </c>
      <c r="B22" s="57" t="inlineStr">
        <is>
          <t>UKYT-26-012</t>
        </is>
      </c>
      <c r="C22" s="57" t="inlineStr">
        <is>
          <t>High tunnel</t>
        </is>
      </c>
      <c r="D22" s="59" t="n">
        <v>46231</v>
      </c>
      <c r="E22" s="57" t="inlineStr">
        <is>
          <t>Third</t>
        </is>
      </c>
      <c r="F22" s="57" t="n">
        <v>830</v>
      </c>
      <c r="G22" s="57" t="n">
        <v>2</v>
      </c>
      <c r="H22" s="57" t="n">
        <v>1738</v>
      </c>
      <c r="I22" s="57" t="n">
        <v>4</v>
      </c>
      <c r="J22" s="57" t="n">
        <v>1470</v>
      </c>
      <c r="K22" s="57" t="n">
        <v>5</v>
      </c>
      <c r="L22" s="58" t="inlineStr">
        <is>
          <t>N/A</t>
        </is>
      </c>
    </row>
    <row r="23" ht="25" customHeight="1" s="55">
      <c r="A23" s="57" t="n">
        <v>22</v>
      </c>
      <c r="B23" s="57" t="inlineStr">
        <is>
          <t>UKYT-26-013</t>
        </is>
      </c>
      <c r="C23" s="57" t="inlineStr">
        <is>
          <t>High tunnel</t>
        </is>
      </c>
      <c r="D23" s="59" t="n">
        <v>46231</v>
      </c>
      <c r="E23" s="57" t="inlineStr">
        <is>
          <t>Third</t>
        </is>
      </c>
      <c r="F23" s="57" t="n"/>
      <c r="G23" s="57" t="n"/>
      <c r="H23" s="57" t="n">
        <v>627</v>
      </c>
      <c r="I23" s="57" t="n">
        <v>2</v>
      </c>
      <c r="J23" s="57" t="n">
        <v>2285</v>
      </c>
      <c r="K23" s="57" t="n">
        <v>9</v>
      </c>
      <c r="L23" s="58" t="inlineStr">
        <is>
          <t>N/A</t>
        </is>
      </c>
    </row>
    <row r="24" ht="25" customHeight="1" s="55">
      <c r="A24" s="57" t="n">
        <v>23</v>
      </c>
      <c r="B24" s="57" t="inlineStr">
        <is>
          <t>UKYT-26-014</t>
        </is>
      </c>
      <c r="C24" s="57" t="inlineStr">
        <is>
          <t>High tunnel</t>
        </is>
      </c>
      <c r="D24" s="59" t="n">
        <v>46231</v>
      </c>
      <c r="E24" s="57" t="inlineStr">
        <is>
          <t>Third</t>
        </is>
      </c>
      <c r="F24" s="57" t="n">
        <v>1058</v>
      </c>
      <c r="G24" s="57" t="n">
        <v>3</v>
      </c>
      <c r="H24" s="57" t="n">
        <v>1508</v>
      </c>
      <c r="I24" s="57" t="n">
        <v>5</v>
      </c>
      <c r="J24" s="57" t="n">
        <v>445</v>
      </c>
      <c r="K24" s="57" t="n">
        <v>2</v>
      </c>
      <c r="L24" s="58" t="inlineStr">
        <is>
          <t>N/A</t>
        </is>
      </c>
    </row>
    <row r="25" ht="25" customHeight="1" s="55">
      <c r="A25" s="57" t="n">
        <v>24</v>
      </c>
      <c r="B25" s="57" t="inlineStr">
        <is>
          <t>UKYT-26-015</t>
        </is>
      </c>
      <c r="C25" s="57" t="inlineStr">
        <is>
          <t>High tunnel</t>
        </is>
      </c>
      <c r="D25" s="59" t="n">
        <v>46231</v>
      </c>
      <c r="E25" s="57" t="inlineStr">
        <is>
          <t>Third</t>
        </is>
      </c>
      <c r="F25" s="57" t="n">
        <v>893</v>
      </c>
      <c r="G25" s="57" t="n">
        <v>2</v>
      </c>
      <c r="H25" s="57" t="n">
        <v>564</v>
      </c>
      <c r="I25" s="57" t="n">
        <v>2</v>
      </c>
      <c r="J25" s="57" t="n">
        <v>422</v>
      </c>
      <c r="K25" s="57" t="n">
        <v>2</v>
      </c>
      <c r="L25" s="58" t="inlineStr">
        <is>
          <t>N/A</t>
        </is>
      </c>
    </row>
    <row r="26" ht="25" customHeight="1" s="55">
      <c r="A26" s="57" t="n">
        <v>25</v>
      </c>
      <c r="B26" s="57" t="inlineStr">
        <is>
          <t>UKYT-26-016</t>
        </is>
      </c>
      <c r="C26" s="57" t="inlineStr">
        <is>
          <t>High tunnel</t>
        </is>
      </c>
      <c r="D26" s="59" t="n">
        <v>46230</v>
      </c>
      <c r="E26" s="57" t="inlineStr">
        <is>
          <t>Third</t>
        </is>
      </c>
      <c r="F26" s="57" t="n">
        <v>337.6</v>
      </c>
      <c r="G26" s="57" t="n">
        <v>1</v>
      </c>
      <c r="H26" s="57" t="n">
        <v>288.6</v>
      </c>
      <c r="I26" s="57" t="n">
        <v>1</v>
      </c>
      <c r="J26" s="57" t="n">
        <v>1325.7</v>
      </c>
      <c r="K26" s="57" t="n">
        <v>6</v>
      </c>
      <c r="L26" s="58" t="inlineStr">
        <is>
          <t>N/A</t>
        </is>
      </c>
    </row>
    <row r="27" ht="25" customHeight="1" s="55">
      <c r="A27" s="57" t="n">
        <v>26</v>
      </c>
      <c r="B27" s="57" t="inlineStr">
        <is>
          <t>UKYT-26-017</t>
        </is>
      </c>
      <c r="C27" s="57" t="inlineStr">
        <is>
          <t>High tunnel</t>
        </is>
      </c>
      <c r="D27" s="59" t="n">
        <v>46230</v>
      </c>
      <c r="E27" s="57" t="inlineStr">
        <is>
          <t>Third</t>
        </is>
      </c>
      <c r="F27" s="57" t="n">
        <v>278.2</v>
      </c>
      <c r="G27" s="57" t="n">
        <v>1</v>
      </c>
      <c r="H27" s="57" t="n">
        <v>134.7</v>
      </c>
      <c r="I27" s="57" t="n">
        <v>1</v>
      </c>
      <c r="J27" s="57" t="n">
        <v>479.5</v>
      </c>
      <c r="K27" s="57" t="n">
        <v>2</v>
      </c>
      <c r="L27" s="58" t="inlineStr">
        <is>
          <t>N/A</t>
        </is>
      </c>
    </row>
    <row r="28" ht="25" customHeight="1" s="55">
      <c r="A28" s="57" t="n">
        <v>27</v>
      </c>
      <c r="B28" s="57" t="inlineStr">
        <is>
          <t>UKYT-26-018</t>
        </is>
      </c>
      <c r="C28" s="57" t="inlineStr">
        <is>
          <t>High tunnel</t>
        </is>
      </c>
      <c r="D28" s="59" t="n">
        <v>46230</v>
      </c>
      <c r="E28" s="57" t="inlineStr">
        <is>
          <t>Third</t>
        </is>
      </c>
      <c r="F28" s="57" t="n">
        <v>237.8</v>
      </c>
      <c r="G28" s="57" t="n">
        <v>1</v>
      </c>
      <c r="H28" s="57" t="n">
        <v>1171.6</v>
      </c>
      <c r="I28" s="57" t="n">
        <v>6</v>
      </c>
      <c r="J28" s="57" t="n">
        <v>2228.1</v>
      </c>
      <c r="K28" s="57" t="n">
        <v>13</v>
      </c>
      <c r="L28" s="58" t="inlineStr">
        <is>
          <t>N/A</t>
        </is>
      </c>
    </row>
    <row r="29" ht="25" customHeight="1" s="55">
      <c r="A29" s="57" t="n">
        <v>28</v>
      </c>
      <c r="B29" s="57" t="inlineStr">
        <is>
          <t>UKYT-26-019</t>
        </is>
      </c>
      <c r="C29" s="57" t="inlineStr">
        <is>
          <t>High tunnel</t>
        </is>
      </c>
      <c r="D29" s="59" t="n">
        <v>46231</v>
      </c>
      <c r="E29" s="57" t="inlineStr">
        <is>
          <t>Third</t>
        </is>
      </c>
      <c r="F29" s="57" t="n"/>
      <c r="G29" s="57" t="n"/>
      <c r="H29" s="57" t="n">
        <v>1713</v>
      </c>
      <c r="I29" s="57" t="n">
        <v>3</v>
      </c>
      <c r="J29" s="57" t="n">
        <v>2322</v>
      </c>
      <c r="K29" s="57" t="n">
        <v>10</v>
      </c>
      <c r="L29" s="58" t="inlineStr">
        <is>
          <t>N/A</t>
        </is>
      </c>
    </row>
    <row r="30" ht="25" customHeight="1" s="55">
      <c r="A30" s="57" t="n">
        <v>29</v>
      </c>
      <c r="B30" s="57" t="inlineStr">
        <is>
          <t>UKYT-26-020</t>
        </is>
      </c>
      <c r="C30" s="57" t="inlineStr">
        <is>
          <t>High tunnel</t>
        </is>
      </c>
      <c r="D30" s="59" t="n">
        <v>46231</v>
      </c>
      <c r="E30" s="57" t="inlineStr">
        <is>
          <t>Third</t>
        </is>
      </c>
      <c r="F30" s="57" t="n"/>
      <c r="G30" s="57" t="n"/>
      <c r="H30" s="57" t="n">
        <v>1036</v>
      </c>
      <c r="I30" s="57" t="n">
        <v>3</v>
      </c>
      <c r="J30" s="57" t="n">
        <v>1135</v>
      </c>
      <c r="K30" s="57" t="n">
        <v>3</v>
      </c>
      <c r="L30" s="58" t="inlineStr">
        <is>
          <t>N/A</t>
        </is>
      </c>
    </row>
    <row r="31" ht="25" customHeight="1" s="55">
      <c r="A31" s="57" t="n">
        <v>30</v>
      </c>
      <c r="B31" s="57" t="inlineStr">
        <is>
          <t>UKYT-26-021</t>
        </is>
      </c>
      <c r="C31" s="57" t="inlineStr">
        <is>
          <t>High tunnel</t>
        </is>
      </c>
      <c r="D31" s="59" t="n">
        <v>46231</v>
      </c>
      <c r="E31" s="57" t="inlineStr">
        <is>
          <t>Third</t>
        </is>
      </c>
      <c r="F31" s="57" t="n"/>
      <c r="G31" s="57" t="n"/>
      <c r="H31" s="57" t="n">
        <v>2561</v>
      </c>
      <c r="I31" s="57" t="n">
        <v>6</v>
      </c>
      <c r="J31" s="57" t="n">
        <v>1155</v>
      </c>
      <c r="K31" s="57" t="n">
        <v>5</v>
      </c>
      <c r="L31" s="58" t="inlineStr">
        <is>
          <t>N/A</t>
        </is>
      </c>
    </row>
    <row r="32" ht="25" customHeight="1" s="55">
      <c r="A32" s="57" t="n">
        <v>31</v>
      </c>
      <c r="B32" s="57" t="inlineStr">
        <is>
          <t>UKYT-26-022</t>
        </is>
      </c>
      <c r="C32" s="57" t="inlineStr">
        <is>
          <t>High tunnel</t>
        </is>
      </c>
      <c r="D32" s="59" t="n">
        <v>46231</v>
      </c>
      <c r="E32" s="57" t="inlineStr">
        <is>
          <t>Third</t>
        </is>
      </c>
      <c r="F32" s="57" t="n">
        <v>274</v>
      </c>
      <c r="G32" s="57" t="n">
        <v>1</v>
      </c>
      <c r="H32" s="57" t="n">
        <v>1886</v>
      </c>
      <c r="I32" s="57" t="n">
        <v>6</v>
      </c>
      <c r="J32" s="57" t="n">
        <v>1742</v>
      </c>
      <c r="K32" s="57" t="n">
        <v>7</v>
      </c>
      <c r="L32" s="58" t="inlineStr">
        <is>
          <t>N/A</t>
        </is>
      </c>
    </row>
    <row r="33" ht="25" customHeight="1" s="55">
      <c r="A33" s="57" t="n">
        <v>32</v>
      </c>
      <c r="B33" s="57" t="inlineStr">
        <is>
          <t>UKYT-26-023</t>
        </is>
      </c>
      <c r="C33" s="57" t="inlineStr">
        <is>
          <t>High tunnel</t>
        </is>
      </c>
      <c r="D33" s="59" t="n">
        <v>46231</v>
      </c>
      <c r="E33" s="57" t="inlineStr">
        <is>
          <t>Third</t>
        </is>
      </c>
      <c r="F33" s="57" t="n">
        <v>319</v>
      </c>
      <c r="G33" s="57" t="n">
        <v>1</v>
      </c>
      <c r="H33" s="57" t="n">
        <v>1565</v>
      </c>
      <c r="I33" s="57" t="n">
        <v>5</v>
      </c>
      <c r="J33" s="57" t="n">
        <v>206</v>
      </c>
      <c r="K33" s="57" t="n">
        <v>1</v>
      </c>
      <c r="L33" s="58" t="inlineStr">
        <is>
          <t>N/A</t>
        </is>
      </c>
    </row>
    <row r="34" ht="25" customHeight="1" s="55">
      <c r="A34" s="57" t="n">
        <v>33</v>
      </c>
      <c r="B34" s="57" t="inlineStr">
        <is>
          <t>UKYT-26-024</t>
        </is>
      </c>
      <c r="C34" s="57" t="inlineStr">
        <is>
          <t>High tunnel</t>
        </is>
      </c>
      <c r="D34" s="59" t="n">
        <v>46231</v>
      </c>
      <c r="E34" s="57" t="inlineStr">
        <is>
          <t>Third</t>
        </is>
      </c>
      <c r="F34" s="57" t="n"/>
      <c r="G34" s="57" t="n"/>
      <c r="H34" s="57" t="n">
        <v>757</v>
      </c>
      <c r="I34" s="57" t="n">
        <v>2</v>
      </c>
      <c r="J34" s="57" t="n">
        <v>655</v>
      </c>
      <c r="K34" s="57" t="n">
        <v>2</v>
      </c>
      <c r="L34" s="58" t="inlineStr">
        <is>
          <t>N/A</t>
        </is>
      </c>
    </row>
    <row r="35" ht="25" customHeight="1" s="55">
      <c r="A35" s="57" t="n">
        <v>34</v>
      </c>
      <c r="B35" s="57" t="inlineStr">
        <is>
          <t>UKYT-26-025</t>
        </is>
      </c>
      <c r="C35" s="57" t="inlineStr">
        <is>
          <t>High tunnel</t>
        </is>
      </c>
      <c r="D35" s="59" t="n">
        <v>46231</v>
      </c>
      <c r="E35" s="57" t="inlineStr">
        <is>
          <t>Third</t>
        </is>
      </c>
      <c r="F35" s="57" t="n"/>
      <c r="G35" s="57" t="n"/>
      <c r="H35" s="57" t="n">
        <v>769</v>
      </c>
      <c r="I35" s="57" t="n">
        <v>2</v>
      </c>
      <c r="J35" s="57" t="n">
        <v>723</v>
      </c>
      <c r="K35" s="57" t="n">
        <v>2</v>
      </c>
      <c r="L35" s="58" t="inlineStr">
        <is>
          <t>N/A</t>
        </is>
      </c>
    </row>
    <row r="36" ht="25" customHeight="1" s="55">
      <c r="A36" s="57" t="n">
        <v>35</v>
      </c>
      <c r="B36" s="57" t="inlineStr">
        <is>
          <t>UKYT-26-026</t>
        </is>
      </c>
      <c r="C36" s="57" t="inlineStr">
        <is>
          <t>High tunnel</t>
        </is>
      </c>
      <c r="D36" s="59" t="n">
        <v>46231</v>
      </c>
      <c r="E36" s="57" t="inlineStr">
        <is>
          <t>Third</t>
        </is>
      </c>
      <c r="F36" s="57" t="n"/>
      <c r="G36" s="57" t="n"/>
      <c r="H36" s="57" t="n">
        <v>1062</v>
      </c>
      <c r="I36" s="57" t="n">
        <v>3</v>
      </c>
      <c r="J36" s="57" t="n">
        <v>918</v>
      </c>
      <c r="K36" s="57" t="n">
        <v>2</v>
      </c>
      <c r="L36" s="58" t="inlineStr">
        <is>
          <t>N/A</t>
        </is>
      </c>
    </row>
    <row r="37" ht="25" customHeight="1" s="55">
      <c r="A37" s="57" t="n">
        <v>36</v>
      </c>
      <c r="B37" s="57" t="inlineStr">
        <is>
          <t>UKYT-26-027</t>
        </is>
      </c>
      <c r="C37" s="57" t="inlineStr">
        <is>
          <t>High tunnel</t>
        </is>
      </c>
      <c r="D37" s="59" t="n">
        <v>46231</v>
      </c>
      <c r="E37" s="57" t="inlineStr">
        <is>
          <t>Third</t>
        </is>
      </c>
      <c r="F37" s="57" t="n"/>
      <c r="G37" s="57" t="n"/>
      <c r="H37" s="57" t="n"/>
      <c r="I37" s="57" t="n"/>
      <c r="J37" s="57" t="n">
        <v>1737</v>
      </c>
      <c r="K37" s="57" t="n">
        <v>5</v>
      </c>
      <c r="L37" s="58" t="inlineStr">
        <is>
          <t>N/A</t>
        </is>
      </c>
    </row>
    <row r="38" ht="25" customHeight="1" s="55">
      <c r="A38" s="57" t="n">
        <v>37</v>
      </c>
      <c r="B38" s="57" t="inlineStr">
        <is>
          <t>UKYT-26-028</t>
        </is>
      </c>
      <c r="C38" s="57" t="inlineStr">
        <is>
          <t>High tunnel</t>
        </is>
      </c>
      <c r="D38" s="59" t="n">
        <v>46231</v>
      </c>
      <c r="E38" s="57" t="inlineStr">
        <is>
          <t>Third</t>
        </is>
      </c>
      <c r="F38" s="57" t="n"/>
      <c r="G38" s="57" t="n"/>
      <c r="H38" s="57" t="n">
        <v>858</v>
      </c>
      <c r="I38" s="57" t="n">
        <v>3</v>
      </c>
      <c r="J38" s="57" t="n">
        <v>630</v>
      </c>
      <c r="K38" s="57" t="n">
        <v>2</v>
      </c>
      <c r="L38" s="58" t="inlineStr">
        <is>
          <t>N/A</t>
        </is>
      </c>
    </row>
    <row r="39" ht="25" customHeight="1" s="55">
      <c r="A39" s="57" t="n">
        <v>38</v>
      </c>
      <c r="B39" s="57" t="inlineStr">
        <is>
          <t>UKYT-26-029</t>
        </is>
      </c>
      <c r="C39" s="57" t="inlineStr">
        <is>
          <t>High tunnel</t>
        </is>
      </c>
      <c r="D39" s="59" t="n">
        <v>46231</v>
      </c>
      <c r="E39" s="57" t="inlineStr">
        <is>
          <t>Third</t>
        </is>
      </c>
      <c r="F39" s="57" t="n"/>
      <c r="G39" s="57" t="n"/>
      <c r="H39" s="57" t="n">
        <v>480</v>
      </c>
      <c r="I39" s="57" t="n">
        <v>2</v>
      </c>
      <c r="J39" s="57" t="n">
        <v>681</v>
      </c>
      <c r="K39" s="57" t="n">
        <v>3</v>
      </c>
      <c r="L39" s="58" t="inlineStr">
        <is>
          <t>N/A</t>
        </is>
      </c>
    </row>
    <row r="40" ht="25" customHeight="1" s="55">
      <c r="A40" s="57" t="n">
        <v>39</v>
      </c>
      <c r="B40" s="57" t="inlineStr">
        <is>
          <t>UKYT-26-030</t>
        </is>
      </c>
      <c r="C40" s="57" t="inlineStr">
        <is>
          <t>High tunnel</t>
        </is>
      </c>
      <c r="D40" s="59" t="n">
        <v>46231</v>
      </c>
      <c r="E40" s="57" t="inlineStr">
        <is>
          <t>Third</t>
        </is>
      </c>
      <c r="F40" s="57" t="n">
        <v>102</v>
      </c>
      <c r="G40" s="57" t="n">
        <v>1</v>
      </c>
      <c r="H40" s="57" t="n">
        <v>383</v>
      </c>
      <c r="I40" s="57" t="n">
        <v>3</v>
      </c>
      <c r="J40" s="57" t="n">
        <v>289</v>
      </c>
      <c r="K40" s="57" t="n">
        <v>4</v>
      </c>
      <c r="L40" s="58" t="inlineStr">
        <is>
          <t>N/A</t>
        </is>
      </c>
    </row>
    <row r="41" ht="25" customHeight="1" s="55">
      <c r="A41" s="57" t="n">
        <v>40</v>
      </c>
      <c r="B41" s="57" t="inlineStr">
        <is>
          <t>UKYT-26-031</t>
        </is>
      </c>
      <c r="C41" s="57" t="inlineStr">
        <is>
          <t>High tunnel</t>
        </is>
      </c>
      <c r="D41" s="59" t="n">
        <v>46231</v>
      </c>
      <c r="E41" s="57" t="inlineStr">
        <is>
          <t>Third</t>
        </is>
      </c>
      <c r="F41" s="57" t="n"/>
      <c r="G41" s="57" t="n"/>
      <c r="H41" s="57" t="n">
        <v>676</v>
      </c>
      <c r="I41" s="57" t="n">
        <v>4</v>
      </c>
      <c r="J41" s="57" t="n">
        <v>451</v>
      </c>
      <c r="K41" s="57" t="n">
        <v>3</v>
      </c>
      <c r="L41" s="58" t="inlineStr">
        <is>
          <t>N/A</t>
        </is>
      </c>
    </row>
    <row r="42" ht="25" customHeight="1" s="55">
      <c r="A42" s="57" t="n">
        <v>41</v>
      </c>
      <c r="B42" s="57" t="inlineStr">
        <is>
          <t>UKYT-26-032</t>
        </is>
      </c>
      <c r="C42" s="57" t="inlineStr">
        <is>
          <t>High tunnel</t>
        </is>
      </c>
      <c r="D42" s="59" t="n">
        <v>46231</v>
      </c>
      <c r="E42" s="57" t="inlineStr">
        <is>
          <t>Third</t>
        </is>
      </c>
      <c r="F42" s="57" t="n">
        <v>531</v>
      </c>
      <c r="G42" s="57" t="n">
        <v>3</v>
      </c>
      <c r="H42" s="57" t="n">
        <v>989</v>
      </c>
      <c r="I42" s="57" t="n">
        <v>6</v>
      </c>
      <c r="J42" s="57" t="n">
        <v>423</v>
      </c>
      <c r="K42" s="57" t="n">
        <v>2</v>
      </c>
      <c r="L42" s="58" t="inlineStr">
        <is>
          <t>N/A</t>
        </is>
      </c>
    </row>
    <row r="43" ht="25" customHeight="1" s="55">
      <c r="A43" s="57" t="n">
        <v>42</v>
      </c>
      <c r="B43" s="57" t="inlineStr">
        <is>
          <t>UKYT-26-033</t>
        </is>
      </c>
      <c r="C43" s="57" t="inlineStr">
        <is>
          <t>High tunnel</t>
        </is>
      </c>
      <c r="D43" s="59" t="n">
        <v>46231</v>
      </c>
      <c r="E43" s="57" t="inlineStr">
        <is>
          <t>Third</t>
        </is>
      </c>
      <c r="F43" s="57" t="n">
        <v>348</v>
      </c>
      <c r="G43" s="57" t="n">
        <v>2</v>
      </c>
      <c r="H43" s="57" t="n">
        <v>285</v>
      </c>
      <c r="I43" s="57" t="n">
        <v>2</v>
      </c>
      <c r="J43" s="57" t="n">
        <v>128</v>
      </c>
      <c r="K43" s="57" t="n">
        <v>3</v>
      </c>
      <c r="L43" s="58" t="inlineStr">
        <is>
          <t>N/A</t>
        </is>
      </c>
    </row>
    <row r="44" ht="25" customHeight="1" s="55">
      <c r="A44" s="57" t="n">
        <v>43</v>
      </c>
      <c r="B44" s="57" t="inlineStr">
        <is>
          <t>UKYT-26-034</t>
        </is>
      </c>
      <c r="C44" s="57" t="inlineStr">
        <is>
          <t>High tunnel</t>
        </is>
      </c>
      <c r="D44" s="59" t="n">
        <v>46231</v>
      </c>
      <c r="E44" s="57" t="inlineStr">
        <is>
          <t>Third</t>
        </is>
      </c>
      <c r="F44" s="57" t="n">
        <v>220</v>
      </c>
      <c r="G44" s="57" t="n">
        <v>2</v>
      </c>
      <c r="H44" s="57" t="n">
        <v>445</v>
      </c>
      <c r="I44" s="57" t="n">
        <v>3</v>
      </c>
      <c r="J44" s="57" t="n">
        <v>257</v>
      </c>
      <c r="K44" s="57" t="n">
        <v>2</v>
      </c>
      <c r="L44" s="58" t="inlineStr">
        <is>
          <t>N/A</t>
        </is>
      </c>
    </row>
    <row r="45" ht="25" customHeight="1" s="55">
      <c r="A45" s="57" t="n">
        <v>44</v>
      </c>
      <c r="B45" s="57" t="inlineStr">
        <is>
          <t>UKYT-26-035</t>
        </is>
      </c>
      <c r="C45" s="57" t="inlineStr">
        <is>
          <t>High tunnel</t>
        </is>
      </c>
      <c r="D45" s="59" t="n">
        <v>46231</v>
      </c>
      <c r="E45" s="57" t="inlineStr">
        <is>
          <t>Third</t>
        </is>
      </c>
      <c r="F45" s="57" t="n"/>
      <c r="G45" s="57" t="n"/>
      <c r="H45" s="57" t="n">
        <v>676</v>
      </c>
      <c r="I45" s="57" t="n">
        <v>6</v>
      </c>
      <c r="J45" s="57" t="n">
        <v>53</v>
      </c>
      <c r="K45" s="57" t="n">
        <v>1</v>
      </c>
      <c r="L45" s="58" t="inlineStr">
        <is>
          <t>N/A</t>
        </is>
      </c>
    </row>
    <row r="46" ht="25" customHeight="1" s="55">
      <c r="A46" s="57" t="n">
        <v>45</v>
      </c>
      <c r="B46" s="57" t="inlineStr">
        <is>
          <t>UKYT-26-036</t>
        </is>
      </c>
      <c r="C46" s="57" t="inlineStr">
        <is>
          <t>High tunnel</t>
        </is>
      </c>
      <c r="D46" s="59" t="n">
        <v>46231</v>
      </c>
      <c r="E46" s="57" t="inlineStr">
        <is>
          <t>Third</t>
        </is>
      </c>
      <c r="F46" s="57" t="n">
        <v>211</v>
      </c>
      <c r="G46" s="57" t="n">
        <v>1</v>
      </c>
      <c r="H46" s="57" t="n">
        <v>439</v>
      </c>
      <c r="I46" s="57" t="n">
        <v>3</v>
      </c>
      <c r="J46" s="57" t="n"/>
      <c r="K46" s="57" t="n"/>
      <c r="L46" s="58" t="inlineStr">
        <is>
          <t>N/A</t>
        </is>
      </c>
    </row>
    <row r="47" ht="25" customHeight="1" s="55">
      <c r="A47" s="57" t="n">
        <v>46</v>
      </c>
      <c r="B47" s="57" t="inlineStr">
        <is>
          <t>UKYT-26-037</t>
        </is>
      </c>
      <c r="C47" s="57" t="inlineStr">
        <is>
          <t>High tunnel</t>
        </is>
      </c>
      <c r="D47" s="59" t="n">
        <v>46231</v>
      </c>
      <c r="E47" s="57" t="inlineStr">
        <is>
          <t>Third</t>
        </is>
      </c>
      <c r="F47" s="57" t="n">
        <v>201</v>
      </c>
      <c r="G47" s="57" t="n">
        <v>1</v>
      </c>
      <c r="H47" s="57" t="n">
        <v>671</v>
      </c>
      <c r="I47" s="57" t="n">
        <v>5</v>
      </c>
      <c r="J47" s="57" t="n">
        <v>81</v>
      </c>
      <c r="K47" s="57" t="n">
        <v>1</v>
      </c>
      <c r="L47" s="58" t="inlineStr">
        <is>
          <t>N/A</t>
        </is>
      </c>
    </row>
    <row r="48" ht="25" customHeight="1" s="55">
      <c r="A48" s="57" t="n">
        <v>47</v>
      </c>
      <c r="B48" s="57" t="inlineStr">
        <is>
          <t>UKYT-26-038</t>
        </is>
      </c>
      <c r="C48" s="57" t="inlineStr">
        <is>
          <t>High tunnel</t>
        </is>
      </c>
      <c r="D48" s="59" t="n">
        <v>46231</v>
      </c>
      <c r="E48" s="57" t="inlineStr">
        <is>
          <t>Third</t>
        </is>
      </c>
      <c r="F48" s="57" t="n"/>
      <c r="G48" s="57" t="n"/>
      <c r="H48" s="57" t="n">
        <v>503</v>
      </c>
      <c r="I48" s="57" t="n">
        <v>3</v>
      </c>
      <c r="J48" s="57" t="n">
        <v>856</v>
      </c>
      <c r="K48" s="57" t="n">
        <v>3</v>
      </c>
      <c r="L48" s="58" t="inlineStr">
        <is>
          <t>N/A</t>
        </is>
      </c>
    </row>
    <row r="49" ht="25" customHeight="1" s="55">
      <c r="A49" s="57" t="n">
        <v>48</v>
      </c>
      <c r="B49" s="57" t="inlineStr">
        <is>
          <t>UKYT-26-039</t>
        </is>
      </c>
      <c r="C49" s="57" t="inlineStr">
        <is>
          <t>High tunnel</t>
        </is>
      </c>
      <c r="D49" s="59" t="n">
        <v>46231</v>
      </c>
      <c r="E49" s="57" t="inlineStr">
        <is>
          <t>Third</t>
        </is>
      </c>
      <c r="F49" s="57" t="n">
        <v>253</v>
      </c>
      <c r="G49" s="57" t="n">
        <v>1</v>
      </c>
      <c r="H49" s="57" t="n">
        <v>685</v>
      </c>
      <c r="I49" s="57" t="n">
        <v>4</v>
      </c>
      <c r="J49" s="57" t="n">
        <v>565</v>
      </c>
      <c r="K49" s="57" t="n">
        <v>4</v>
      </c>
      <c r="L49" s="58" t="inlineStr">
        <is>
          <t>N/A</t>
        </is>
      </c>
    </row>
    <row r="50" ht="25" customHeight="1" s="55">
      <c r="A50" s="57" t="n">
        <v>49</v>
      </c>
      <c r="B50" s="57" t="inlineStr">
        <is>
          <t>Mountain Fresh</t>
        </is>
      </c>
      <c r="C50" s="57" t="inlineStr">
        <is>
          <t>High tunnel</t>
        </is>
      </c>
      <c r="D50" s="59" t="n">
        <v>46230</v>
      </c>
      <c r="E50" s="57" t="inlineStr">
        <is>
          <t>Third</t>
        </is>
      </c>
      <c r="F50" s="57" t="n">
        <v>481.8</v>
      </c>
      <c r="G50" s="57" t="n">
        <v>2</v>
      </c>
      <c r="H50" s="57" t="n">
        <v>1029.6</v>
      </c>
      <c r="I50" s="57" t="n">
        <v>5</v>
      </c>
      <c r="J50" s="57" t="n">
        <v>1666.8</v>
      </c>
      <c r="K50" s="57" t="n">
        <v>7</v>
      </c>
      <c r="L50" s="58" t="inlineStr">
        <is>
          <t>N/A</t>
        </is>
      </c>
    </row>
    <row r="51" ht="25" customHeight="1" s="55">
      <c r="A51" s="57" t="n">
        <v>50</v>
      </c>
      <c r="B51" s="57" t="inlineStr">
        <is>
          <t>BHN589</t>
        </is>
      </c>
      <c r="C51" s="57" t="inlineStr">
        <is>
          <t>High tunnel</t>
        </is>
      </c>
      <c r="D51" s="59" t="n">
        <v>46231</v>
      </c>
      <c r="E51" s="57" t="inlineStr">
        <is>
          <t>Third</t>
        </is>
      </c>
      <c r="F51" s="57" t="n"/>
      <c r="G51" s="57" t="n"/>
      <c r="H51" s="57" t="n">
        <v>1108</v>
      </c>
      <c r="I51" s="57" t="n">
        <v>5</v>
      </c>
      <c r="J51" s="57" t="n">
        <v>579</v>
      </c>
      <c r="K51" s="57" t="n">
        <v>3</v>
      </c>
      <c r="L51" s="58" t="inlineStr">
        <is>
          <t>N/A</t>
        </is>
      </c>
    </row>
  </sheetData>
  <autoFilter ref="A1:L51"/>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51"/>
  <sheetViews>
    <sheetView showGridLines="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13" customWidth="1" style="55" min="2" max="2"/>
    <col width="13" customWidth="1" style="55" min="3" max="3"/>
    <col width="21" customWidth="1" style="55" min="4" max="4"/>
    <col width="9" customWidth="1" style="55" min="5" max="5"/>
    <col width="29" customWidth="1" style="55" min="6" max="6"/>
    <col width="29" customWidth="1" style="55" min="7" max="7"/>
    <col width="29" customWidth="1" style="55" min="8" max="8"/>
    <col width="29" customWidth="1" style="55" min="9" max="9"/>
    <col width="24" customWidth="1" style="55" min="10" max="10"/>
    <col width="24" customWidth="1" style="55" min="11" max="11"/>
    <col width="11" customWidth="1" style="55" min="12" max="12"/>
  </cols>
  <sheetData>
    <row r="1" ht="18" customHeight="1" s="55">
      <c r="A1" s="56" t="inlineStr">
        <is>
          <t>SN</t>
        </is>
      </c>
      <c r="B1" s="56" t="inlineStr">
        <is>
          <t>Genotypes</t>
        </is>
      </c>
      <c r="C1" s="56" t="inlineStr">
        <is>
          <t>Location</t>
        </is>
      </c>
      <c r="D1" s="56" t="inlineStr">
        <is>
          <t>Date of harvest</t>
        </is>
      </c>
      <c r="E1" s="56" t="inlineStr">
        <is>
          <t>Harvest</t>
        </is>
      </c>
      <c r="F1" s="56" t="inlineStr">
        <is>
          <t>Grade 1 Marketable (weight)</t>
        </is>
      </c>
      <c r="G1" s="56" t="inlineStr">
        <is>
          <t>Grade 1 Marketable (counts)</t>
        </is>
      </c>
      <c r="H1" s="56" t="inlineStr">
        <is>
          <t>Grade 2 Marketable (weight)</t>
        </is>
      </c>
      <c r="I1" s="56" t="inlineStr">
        <is>
          <t>Grade 2 Marketable (counts)</t>
        </is>
      </c>
      <c r="J1" s="56" t="inlineStr">
        <is>
          <t>Unmarketables (weight)</t>
        </is>
      </c>
      <c r="K1" s="56" t="inlineStr">
        <is>
          <t>Unmarketables (counts)</t>
        </is>
      </c>
      <c r="L1" s="56" t="inlineStr">
        <is>
          <t>Replicate</t>
        </is>
      </c>
    </row>
    <row r="2" ht="25" customHeight="1" s="55">
      <c r="A2" s="57" t="n">
        <v>1</v>
      </c>
      <c r="B2" s="57" t="inlineStr">
        <is>
          <t>UKYT-25-001</t>
        </is>
      </c>
      <c r="C2" s="57" t="inlineStr">
        <is>
          <t>High tunnel</t>
        </is>
      </c>
      <c r="D2" s="59" t="n">
        <v>46237</v>
      </c>
      <c r="E2" s="57" t="inlineStr">
        <is>
          <t>Fourth</t>
        </is>
      </c>
      <c r="F2" s="57" t="n">
        <v>276</v>
      </c>
      <c r="G2" s="57" t="n">
        <v>23</v>
      </c>
      <c r="H2" s="57" t="n">
        <v>96</v>
      </c>
      <c r="I2" s="57" t="n">
        <v>8</v>
      </c>
      <c r="J2" s="57" t="n">
        <v>99</v>
      </c>
      <c r="K2" s="57" t="n">
        <v>10</v>
      </c>
      <c r="L2" s="58" t="inlineStr">
        <is>
          <t>N/A</t>
        </is>
      </c>
    </row>
    <row r="3" ht="25" customHeight="1" s="55">
      <c r="A3" s="57" t="n">
        <v>2</v>
      </c>
      <c r="B3" s="57" t="inlineStr">
        <is>
          <t>UKYT-25-002</t>
        </is>
      </c>
      <c r="C3" s="57" t="inlineStr">
        <is>
          <t>High tunnel</t>
        </is>
      </c>
      <c r="D3" s="59" t="n">
        <v>46237</v>
      </c>
      <c r="E3" s="57" t="inlineStr">
        <is>
          <t>Fourth</t>
        </is>
      </c>
      <c r="F3" s="57" t="n">
        <v>642</v>
      </c>
      <c r="G3" s="57" t="n">
        <v>30</v>
      </c>
      <c r="H3" s="57" t="n">
        <v>530</v>
      </c>
      <c r="I3" s="57" t="n">
        <v>30</v>
      </c>
      <c r="J3" s="57" t="n">
        <v>354</v>
      </c>
      <c r="K3" s="57" t="n">
        <v>30</v>
      </c>
      <c r="L3" s="58" t="inlineStr">
        <is>
          <t>N/A</t>
        </is>
      </c>
    </row>
    <row r="4" ht="25" customHeight="1" s="55">
      <c r="A4" s="57" t="n">
        <v>3</v>
      </c>
      <c r="B4" s="57" t="inlineStr">
        <is>
          <t>UKYT-25-003</t>
        </is>
      </c>
      <c r="C4" s="57" t="inlineStr">
        <is>
          <t>High tunnel</t>
        </is>
      </c>
      <c r="D4" s="59" t="n">
        <v>46237</v>
      </c>
      <c r="E4" s="57" t="inlineStr">
        <is>
          <t>Fourth</t>
        </is>
      </c>
      <c r="F4" s="57" t="n">
        <v>613</v>
      </c>
      <c r="G4" s="57" t="n">
        <v>45</v>
      </c>
      <c r="H4" s="57" t="n">
        <v>147</v>
      </c>
      <c r="I4" s="57" t="n">
        <v>12</v>
      </c>
      <c r="J4" s="57" t="n">
        <v>60</v>
      </c>
      <c r="K4" s="57" t="n">
        <v>7</v>
      </c>
      <c r="L4" s="58" t="inlineStr">
        <is>
          <t>N/A</t>
        </is>
      </c>
    </row>
    <row r="5" ht="25" customHeight="1" s="55">
      <c r="A5" s="57" t="n">
        <v>4</v>
      </c>
      <c r="B5" s="57" t="inlineStr">
        <is>
          <t>UKYT-25-004</t>
        </is>
      </c>
      <c r="C5" s="57" t="inlineStr">
        <is>
          <t>High tunnel</t>
        </is>
      </c>
      <c r="D5" s="59" t="n">
        <v>46237</v>
      </c>
      <c r="E5" s="57" t="inlineStr">
        <is>
          <t>Fourth</t>
        </is>
      </c>
      <c r="F5" s="57" t="n">
        <v>585</v>
      </c>
      <c r="G5" s="57" t="n">
        <v>35</v>
      </c>
      <c r="H5" s="57" t="n">
        <v>22</v>
      </c>
      <c r="I5" s="57" t="n">
        <v>2</v>
      </c>
      <c r="J5" s="57" t="n">
        <v>139</v>
      </c>
      <c r="K5" s="57" t="n">
        <v>12</v>
      </c>
      <c r="L5" s="58" t="inlineStr">
        <is>
          <t>N/A</t>
        </is>
      </c>
    </row>
    <row r="6" ht="25" customHeight="1" s="55">
      <c r="A6" s="57" t="n">
        <v>5</v>
      </c>
      <c r="B6" s="57" t="inlineStr">
        <is>
          <t>UKYT-25-005</t>
        </is>
      </c>
      <c r="C6" s="57" t="inlineStr">
        <is>
          <t>High tunnel</t>
        </is>
      </c>
      <c r="D6" s="59" t="n">
        <v>46237</v>
      </c>
      <c r="E6" s="57" t="inlineStr">
        <is>
          <t>Fourth</t>
        </is>
      </c>
      <c r="F6" s="57" t="n">
        <v>314</v>
      </c>
      <c r="G6" s="57" t="n">
        <v>20</v>
      </c>
      <c r="H6" s="57" t="n">
        <v>162</v>
      </c>
      <c r="I6" s="57" t="n">
        <v>9</v>
      </c>
      <c r="J6" s="57" t="n">
        <v>30</v>
      </c>
      <c r="K6" s="57" t="n">
        <v>4</v>
      </c>
      <c r="L6" s="58" t="inlineStr">
        <is>
          <t>N/A</t>
        </is>
      </c>
    </row>
    <row r="7" ht="25" customHeight="1" s="55">
      <c r="A7" s="57" t="n">
        <v>6</v>
      </c>
      <c r="B7" s="57" t="inlineStr">
        <is>
          <t>UKYT-25-006</t>
        </is>
      </c>
      <c r="C7" s="57" t="inlineStr">
        <is>
          <t>High tunnel</t>
        </is>
      </c>
      <c r="D7" s="59" t="n">
        <v>46237</v>
      </c>
      <c r="E7" s="57" t="inlineStr">
        <is>
          <t>Fourth</t>
        </is>
      </c>
      <c r="F7" s="57" t="n"/>
      <c r="G7" s="57" t="n"/>
      <c r="H7" s="57" t="n"/>
      <c r="I7" s="57" t="n"/>
      <c r="J7" s="57" t="n"/>
      <c r="K7" s="57" t="n"/>
      <c r="L7" s="58" t="inlineStr">
        <is>
          <t>N/A</t>
        </is>
      </c>
    </row>
    <row r="8" ht="25" customHeight="1" s="55">
      <c r="A8" s="57" t="n">
        <v>7</v>
      </c>
      <c r="B8" s="57" t="inlineStr">
        <is>
          <t>UKYT-25-007</t>
        </is>
      </c>
      <c r="C8" s="57" t="inlineStr">
        <is>
          <t>High tunnel</t>
        </is>
      </c>
      <c r="D8" s="59" t="n">
        <v>46237</v>
      </c>
      <c r="E8" s="57" t="inlineStr">
        <is>
          <t>Fourth</t>
        </is>
      </c>
      <c r="F8" s="57" t="n">
        <v>598</v>
      </c>
      <c r="G8" s="57" t="n">
        <v>29</v>
      </c>
      <c r="H8" s="57" t="n">
        <v>216</v>
      </c>
      <c r="I8" s="57" t="n">
        <v>11</v>
      </c>
      <c r="J8" s="57" t="n">
        <v>23</v>
      </c>
      <c r="K8" s="57" t="n">
        <v>2</v>
      </c>
      <c r="L8" s="58" t="inlineStr">
        <is>
          <t>N/A</t>
        </is>
      </c>
    </row>
    <row r="9" ht="25" customHeight="1" s="55">
      <c r="A9" s="57" t="n">
        <v>8</v>
      </c>
      <c r="B9" s="57" t="inlineStr">
        <is>
          <t>UKYT-25-008</t>
        </is>
      </c>
      <c r="C9" s="57" t="inlineStr">
        <is>
          <t>High tunnel</t>
        </is>
      </c>
      <c r="D9" s="59" t="n">
        <v>46237</v>
      </c>
      <c r="E9" s="57" t="inlineStr">
        <is>
          <t>Fourth</t>
        </is>
      </c>
      <c r="F9" s="57" t="n">
        <v>834</v>
      </c>
      <c r="G9" s="57" t="n">
        <v>43</v>
      </c>
      <c r="H9" s="57" t="n">
        <v>41</v>
      </c>
      <c r="I9" s="57" t="n">
        <v>3</v>
      </c>
      <c r="J9" s="57" t="n">
        <v>44</v>
      </c>
      <c r="K9" s="57" t="n">
        <v>4</v>
      </c>
      <c r="L9" s="58" t="inlineStr">
        <is>
          <t>N/A</t>
        </is>
      </c>
    </row>
    <row r="10" ht="25" customHeight="1" s="55">
      <c r="A10" s="57" t="n">
        <v>9</v>
      </c>
      <c r="B10" s="57" t="inlineStr">
        <is>
          <t>UKYT-25-009</t>
        </is>
      </c>
      <c r="C10" s="57" t="inlineStr">
        <is>
          <t>High tunnel</t>
        </is>
      </c>
      <c r="D10" s="59" t="n">
        <v>46237</v>
      </c>
      <c r="E10" s="57" t="inlineStr">
        <is>
          <t>Fourth</t>
        </is>
      </c>
      <c r="F10" s="57" t="n">
        <v>451</v>
      </c>
      <c r="G10" s="57" t="n">
        <v>24</v>
      </c>
      <c r="H10" s="57" t="n">
        <v>42</v>
      </c>
      <c r="I10" s="57" t="n">
        <v>3</v>
      </c>
      <c r="J10" s="57" t="n">
        <v>120</v>
      </c>
      <c r="K10" s="57" t="n">
        <v>9</v>
      </c>
      <c r="L10" s="58" t="inlineStr">
        <is>
          <t>N/A</t>
        </is>
      </c>
    </row>
    <row r="11" ht="25" customHeight="1" s="55">
      <c r="A11" s="57" t="n">
        <v>10</v>
      </c>
      <c r="B11" s="57" t="inlineStr">
        <is>
          <t>UKYT-25-010</t>
        </is>
      </c>
      <c r="C11" s="57" t="inlineStr">
        <is>
          <t>High tunnel</t>
        </is>
      </c>
      <c r="D11" s="59" t="n">
        <v>46237</v>
      </c>
      <c r="E11" s="57" t="inlineStr">
        <is>
          <t>Fourth</t>
        </is>
      </c>
      <c r="F11" s="57" t="n">
        <v>652</v>
      </c>
      <c r="G11" s="57" t="n">
        <v>45</v>
      </c>
      <c r="H11" s="57" t="n">
        <v>48</v>
      </c>
      <c r="I11" s="57" t="n">
        <v>5</v>
      </c>
      <c r="J11" s="57" t="n">
        <v>73</v>
      </c>
      <c r="K11" s="57" t="n">
        <v>8</v>
      </c>
      <c r="L11" s="58" t="inlineStr">
        <is>
          <t>N/A</t>
        </is>
      </c>
    </row>
    <row r="12" ht="25" customHeight="1" s="55">
      <c r="A12" s="57" t="n">
        <v>11</v>
      </c>
      <c r="B12" s="57" t="inlineStr">
        <is>
          <t>UKYT-25-011</t>
        </is>
      </c>
      <c r="C12" s="57" t="inlineStr">
        <is>
          <t>High tunnel</t>
        </is>
      </c>
      <c r="D12" s="59" t="n">
        <v>46237</v>
      </c>
      <c r="E12" s="57" t="inlineStr">
        <is>
          <t>Fourth</t>
        </is>
      </c>
      <c r="F12" s="57" t="n">
        <v>856</v>
      </c>
      <c r="G12" s="57" t="n">
        <v>52</v>
      </c>
      <c r="H12" s="57" t="n">
        <v>97</v>
      </c>
      <c r="I12" s="57" t="n">
        <v>7</v>
      </c>
      <c r="J12" s="57" t="n">
        <v>92</v>
      </c>
      <c r="K12" s="57" t="n">
        <v>9</v>
      </c>
      <c r="L12" s="58" t="inlineStr">
        <is>
          <t>N/A</t>
        </is>
      </c>
    </row>
    <row r="13" ht="25" customHeight="1" s="55">
      <c r="A13" s="57" t="n">
        <v>12</v>
      </c>
      <c r="B13" s="57" t="inlineStr">
        <is>
          <t>UKYT-25-012</t>
        </is>
      </c>
      <c r="C13" s="57" t="inlineStr">
        <is>
          <t>High tunnel</t>
        </is>
      </c>
      <c r="D13" s="59" t="n">
        <v>46237</v>
      </c>
      <c r="E13" s="57" t="inlineStr">
        <is>
          <t>Fourth</t>
        </is>
      </c>
      <c r="F13" s="57" t="n">
        <v>577</v>
      </c>
      <c r="G13" s="57" t="n">
        <v>37</v>
      </c>
      <c r="H13" s="57" t="n">
        <v>91</v>
      </c>
      <c r="I13" s="57" t="n">
        <v>6</v>
      </c>
      <c r="J13" s="57" t="n">
        <v>182</v>
      </c>
      <c r="K13" s="57" t="n">
        <v>17</v>
      </c>
      <c r="L13" s="58" t="inlineStr">
        <is>
          <t>N/A</t>
        </is>
      </c>
    </row>
    <row r="14" ht="25" customHeight="1" s="55">
      <c r="A14" s="57" t="n">
        <v>13</v>
      </c>
      <c r="B14" s="57" t="inlineStr">
        <is>
          <t>UKYT-25-013</t>
        </is>
      </c>
      <c r="C14" s="57" t="inlineStr">
        <is>
          <t>High tunnel</t>
        </is>
      </c>
      <c r="D14" s="59" t="n">
        <v>46237</v>
      </c>
      <c r="E14" s="57" t="inlineStr">
        <is>
          <t>Fourth</t>
        </is>
      </c>
      <c r="F14" s="57" t="n">
        <v>385</v>
      </c>
      <c r="G14" s="57" t="n">
        <v>24</v>
      </c>
      <c r="H14" s="57" t="n">
        <v>81</v>
      </c>
      <c r="I14" s="57" t="n">
        <v>6</v>
      </c>
      <c r="J14" s="57" t="n">
        <v>55</v>
      </c>
      <c r="K14" s="57" t="n">
        <v>6</v>
      </c>
      <c r="L14" s="58" t="inlineStr">
        <is>
          <t>N/A</t>
        </is>
      </c>
    </row>
    <row r="15" ht="25" customHeight="1" s="55">
      <c r="A15" s="57" t="n">
        <v>14</v>
      </c>
      <c r="B15" s="57" t="inlineStr">
        <is>
          <t>UKYT-25-014</t>
        </is>
      </c>
      <c r="C15" s="57" t="inlineStr">
        <is>
          <t>High tunnel</t>
        </is>
      </c>
      <c r="D15" s="59" t="n">
        <v>46237</v>
      </c>
      <c r="E15" s="57" t="inlineStr">
        <is>
          <t>Fourth</t>
        </is>
      </c>
      <c r="F15" s="57" t="n">
        <v>440</v>
      </c>
      <c r="G15" s="57" t="n">
        <v>25</v>
      </c>
      <c r="H15" s="57" t="n">
        <v>191</v>
      </c>
      <c r="I15" s="57" t="n">
        <v>14</v>
      </c>
      <c r="J15" s="57" t="n">
        <v>56</v>
      </c>
      <c r="K15" s="57" t="n">
        <v>9</v>
      </c>
      <c r="L15" s="58" t="inlineStr">
        <is>
          <t>N/A</t>
        </is>
      </c>
    </row>
    <row r="16" ht="25" customHeight="1" s="55">
      <c r="A16" s="57" t="n">
        <v>15</v>
      </c>
      <c r="B16" s="57" t="inlineStr">
        <is>
          <t>UKYT-25-015</t>
        </is>
      </c>
      <c r="C16" s="57" t="inlineStr">
        <is>
          <t>High tunnel</t>
        </is>
      </c>
      <c r="D16" s="59" t="n">
        <v>46237</v>
      </c>
      <c r="E16" s="57" t="inlineStr">
        <is>
          <t>Fourth</t>
        </is>
      </c>
      <c r="F16" s="57" t="n"/>
      <c r="G16" s="57" t="n"/>
      <c r="H16" s="57" t="n"/>
      <c r="I16" s="57" t="n"/>
      <c r="J16" s="57" t="n"/>
      <c r="K16" s="57" t="n"/>
      <c r="L16" s="58" t="inlineStr">
        <is>
          <t>N/A</t>
        </is>
      </c>
    </row>
    <row r="17" ht="25" customHeight="1" s="55">
      <c r="A17" s="57" t="n">
        <v>16</v>
      </c>
      <c r="B17" s="57" t="inlineStr">
        <is>
          <t>UKYT-25-016</t>
        </is>
      </c>
      <c r="C17" s="57" t="inlineStr">
        <is>
          <t>High tunnel</t>
        </is>
      </c>
      <c r="D17" s="59" t="n">
        <v>46237</v>
      </c>
      <c r="E17" s="57" t="inlineStr">
        <is>
          <t>Fourth</t>
        </is>
      </c>
      <c r="F17" s="57" t="n">
        <v>147</v>
      </c>
      <c r="G17" s="57" t="n">
        <v>16</v>
      </c>
      <c r="H17" s="57" t="n">
        <v>27</v>
      </c>
      <c r="I17" s="57" t="n">
        <v>4</v>
      </c>
      <c r="J17" s="57" t="n"/>
      <c r="K17" s="57" t="n"/>
      <c r="L17" s="58" t="inlineStr">
        <is>
          <t>N/A</t>
        </is>
      </c>
    </row>
    <row r="18" ht="25" customHeight="1" s="55">
      <c r="A18" s="57" t="n">
        <v>17</v>
      </c>
      <c r="B18" s="57" t="inlineStr">
        <is>
          <t>UKYT-25-017</t>
        </is>
      </c>
      <c r="C18" s="57" t="inlineStr">
        <is>
          <t>High tunnel</t>
        </is>
      </c>
      <c r="D18" s="59" t="n">
        <v>46237</v>
      </c>
      <c r="E18" s="57" t="inlineStr">
        <is>
          <t>Fourth</t>
        </is>
      </c>
      <c r="F18" s="57" t="n">
        <v>312</v>
      </c>
      <c r="G18" s="57" t="n">
        <v>19</v>
      </c>
      <c r="H18" s="57" t="n">
        <v>137</v>
      </c>
      <c r="I18" s="57" t="n">
        <v>8</v>
      </c>
      <c r="J18" s="57" t="n">
        <v>194</v>
      </c>
      <c r="K18" s="57" t="n">
        <v>18</v>
      </c>
      <c r="L18" s="58" t="inlineStr">
        <is>
          <t>N/A</t>
        </is>
      </c>
    </row>
    <row r="19" ht="25" customHeight="1" s="55">
      <c r="A19" s="57" t="n">
        <v>18</v>
      </c>
      <c r="B19" s="57" t="inlineStr">
        <is>
          <t>UKYT-26-001</t>
        </is>
      </c>
      <c r="C19" s="57" t="inlineStr">
        <is>
          <t>High tunnel</t>
        </is>
      </c>
      <c r="D19" s="59" t="n">
        <v>46237</v>
      </c>
      <c r="E19" s="57" t="inlineStr">
        <is>
          <t>Fourth</t>
        </is>
      </c>
      <c r="F19" s="57" t="n">
        <v>91</v>
      </c>
      <c r="G19" s="57" t="n">
        <v>2</v>
      </c>
      <c r="H19" s="57" t="n">
        <v>245</v>
      </c>
      <c r="I19" s="57" t="n">
        <v>3</v>
      </c>
      <c r="J19" s="57" t="n">
        <v>95</v>
      </c>
      <c r="K19" s="57" t="n">
        <v>1</v>
      </c>
      <c r="L19" s="58" t="inlineStr">
        <is>
          <t>N/A</t>
        </is>
      </c>
    </row>
    <row r="20" ht="25" customHeight="1" s="55">
      <c r="A20" s="57" t="n">
        <v>19</v>
      </c>
      <c r="B20" s="57" t="inlineStr">
        <is>
          <t>UKYT-26-006</t>
        </is>
      </c>
      <c r="C20" s="57" t="inlineStr">
        <is>
          <t>High tunnel</t>
        </is>
      </c>
      <c r="D20" s="59" t="n">
        <v>46237</v>
      </c>
      <c r="E20" s="57" t="inlineStr">
        <is>
          <t>Fourth</t>
        </is>
      </c>
      <c r="F20" s="57" t="n">
        <v>412</v>
      </c>
      <c r="G20" s="57" t="n">
        <v>28</v>
      </c>
      <c r="H20" s="57" t="n">
        <v>360</v>
      </c>
      <c r="I20" s="57" t="n">
        <v>25</v>
      </c>
      <c r="J20" s="57" t="n">
        <v>117</v>
      </c>
      <c r="K20" s="57" t="n">
        <v>11</v>
      </c>
      <c r="L20" s="58" t="inlineStr">
        <is>
          <t>N/A</t>
        </is>
      </c>
    </row>
    <row r="21" ht="25" customHeight="1" s="55">
      <c r="A21" s="57" t="n">
        <v>20</v>
      </c>
      <c r="B21" s="57" t="inlineStr">
        <is>
          <t>UKYT-26-011</t>
        </is>
      </c>
      <c r="C21" s="57" t="inlineStr">
        <is>
          <t>High tunnel</t>
        </is>
      </c>
      <c r="D21" s="59" t="n">
        <v>46237</v>
      </c>
      <c r="E21" s="57" t="inlineStr">
        <is>
          <t>Fourth</t>
        </is>
      </c>
      <c r="F21" s="57" t="n"/>
      <c r="G21" s="57" t="n"/>
      <c r="H21" s="57" t="n"/>
      <c r="I21" s="57" t="n"/>
      <c r="J21" s="57" t="n"/>
      <c r="K21" s="57" t="n"/>
      <c r="L21" s="58" t="inlineStr">
        <is>
          <t>N/A</t>
        </is>
      </c>
    </row>
    <row r="22" ht="25" customHeight="1" s="55">
      <c r="A22" s="57" t="n">
        <v>21</v>
      </c>
      <c r="B22" s="57" t="inlineStr">
        <is>
          <t>UKYT-26-012</t>
        </is>
      </c>
      <c r="C22" s="57" t="inlineStr">
        <is>
          <t>High tunnel</t>
        </is>
      </c>
      <c r="D22" s="59" t="n">
        <v>46237</v>
      </c>
      <c r="E22" s="57" t="inlineStr">
        <is>
          <t>Fourth</t>
        </is>
      </c>
      <c r="F22" s="57" t="n"/>
      <c r="G22" s="57" t="n"/>
      <c r="H22" s="57" t="n">
        <v>866</v>
      </c>
      <c r="I22" s="57" t="n">
        <v>2</v>
      </c>
      <c r="J22" s="57" t="n">
        <v>490</v>
      </c>
      <c r="K22" s="57" t="n">
        <v>1</v>
      </c>
      <c r="L22" s="58" t="inlineStr">
        <is>
          <t>N/A</t>
        </is>
      </c>
    </row>
    <row r="23" ht="25" customHeight="1" s="55">
      <c r="A23" s="57" t="n">
        <v>22</v>
      </c>
      <c r="B23" s="57" t="inlineStr">
        <is>
          <t>UKYT-26-013</t>
        </is>
      </c>
      <c r="C23" s="57" t="inlineStr">
        <is>
          <t>High tunnel</t>
        </is>
      </c>
      <c r="D23" s="59" t="n">
        <v>46237</v>
      </c>
      <c r="E23" s="57" t="inlineStr">
        <is>
          <t>Fourth</t>
        </is>
      </c>
      <c r="F23" s="57" t="n"/>
      <c r="G23" s="57" t="n"/>
      <c r="H23" s="57" t="n">
        <v>791</v>
      </c>
      <c r="I23" s="57" t="n">
        <v>2</v>
      </c>
      <c r="J23" s="57" t="n"/>
      <c r="K23" s="57" t="n"/>
      <c r="L23" s="58" t="inlineStr">
        <is>
          <t>N/A</t>
        </is>
      </c>
    </row>
    <row r="24" ht="25" customHeight="1" s="55">
      <c r="A24" s="57" t="n">
        <v>23</v>
      </c>
      <c r="B24" s="57" t="inlineStr">
        <is>
          <t>UKYT-26-014</t>
        </is>
      </c>
      <c r="C24" s="57" t="inlineStr">
        <is>
          <t>High tunnel</t>
        </is>
      </c>
      <c r="D24" s="59" t="n">
        <v>46237</v>
      </c>
      <c r="E24" s="57" t="inlineStr">
        <is>
          <t>Fourth</t>
        </is>
      </c>
      <c r="F24" s="57" t="n">
        <v>317</v>
      </c>
      <c r="G24" s="57" t="n">
        <v>1</v>
      </c>
      <c r="H24" s="57" t="n">
        <v>783</v>
      </c>
      <c r="I24" s="57" t="n">
        <v>4</v>
      </c>
      <c r="J24" s="57" t="n"/>
      <c r="K24" s="57" t="n"/>
      <c r="L24" s="58" t="inlineStr">
        <is>
          <t>N/A</t>
        </is>
      </c>
    </row>
    <row r="25" ht="25" customHeight="1" s="55">
      <c r="A25" s="57" t="n">
        <v>24</v>
      </c>
      <c r="B25" s="57" t="inlineStr">
        <is>
          <t>UKYT-26-015</t>
        </is>
      </c>
      <c r="C25" s="57" t="inlineStr">
        <is>
          <t>High tunnel</t>
        </is>
      </c>
      <c r="D25" s="59" t="n">
        <v>46237</v>
      </c>
      <c r="E25" s="57" t="inlineStr">
        <is>
          <t>Fourth</t>
        </is>
      </c>
      <c r="F25" s="57" t="n">
        <v>710</v>
      </c>
      <c r="G25" s="57" t="n">
        <v>2</v>
      </c>
      <c r="H25" s="57" t="n">
        <v>2072</v>
      </c>
      <c r="I25" s="57" t="n">
        <v>6</v>
      </c>
      <c r="J25" s="57" t="n">
        <v>1145</v>
      </c>
      <c r="K25" s="57" t="n">
        <v>5</v>
      </c>
      <c r="L25" s="58" t="inlineStr">
        <is>
          <t>N/A</t>
        </is>
      </c>
    </row>
    <row r="26" ht="25" customHeight="1" s="55">
      <c r="A26" s="57" t="n">
        <v>25</v>
      </c>
      <c r="B26" s="57" t="inlineStr">
        <is>
          <t>UKYT-26-016</t>
        </is>
      </c>
      <c r="C26" s="57" t="inlineStr">
        <is>
          <t>High tunnel</t>
        </is>
      </c>
      <c r="D26" s="59" t="n">
        <v>46237</v>
      </c>
      <c r="E26" s="57" t="inlineStr">
        <is>
          <t>Fourth</t>
        </is>
      </c>
      <c r="F26" s="57" t="n"/>
      <c r="G26" s="57" t="n"/>
      <c r="H26" s="57" t="n"/>
      <c r="I26" s="57" t="n"/>
      <c r="J26" s="57" t="n">
        <v>609</v>
      </c>
      <c r="K26" s="57" t="n">
        <v>3</v>
      </c>
      <c r="L26" s="58" t="inlineStr">
        <is>
          <t>N/A</t>
        </is>
      </c>
    </row>
    <row r="27" ht="25" customHeight="1" s="55">
      <c r="A27" s="57" t="n">
        <v>26</v>
      </c>
      <c r="B27" s="57" t="inlineStr">
        <is>
          <t>UKYT-26-017</t>
        </is>
      </c>
      <c r="C27" s="57" t="inlineStr">
        <is>
          <t>High tunnel</t>
        </is>
      </c>
      <c r="D27" s="59" t="n">
        <v>46237</v>
      </c>
      <c r="E27" s="57" t="inlineStr">
        <is>
          <t>Fourth</t>
        </is>
      </c>
      <c r="F27" s="57" t="n">
        <v>518</v>
      </c>
      <c r="G27" s="57" t="n">
        <v>1</v>
      </c>
      <c r="H27" s="57" t="n">
        <v>596</v>
      </c>
      <c r="I27" s="57" t="n">
        <v>1</v>
      </c>
      <c r="J27" s="57" t="n"/>
      <c r="K27" s="57" t="n"/>
      <c r="L27" s="58" t="inlineStr">
        <is>
          <t>N/A</t>
        </is>
      </c>
    </row>
    <row r="28" ht="25" customHeight="1" s="55">
      <c r="A28" s="57" t="n">
        <v>27</v>
      </c>
      <c r="B28" s="57" t="inlineStr">
        <is>
          <t>UKYT-26-018</t>
        </is>
      </c>
      <c r="C28" s="57" t="inlineStr">
        <is>
          <t>High tunnel</t>
        </is>
      </c>
      <c r="D28" s="59" t="n">
        <v>46237</v>
      </c>
      <c r="E28" s="57" t="inlineStr">
        <is>
          <t>Fourth</t>
        </is>
      </c>
      <c r="F28" s="57" t="n">
        <v>564</v>
      </c>
      <c r="G28" s="57" t="n">
        <v>2</v>
      </c>
      <c r="H28" s="57" t="n">
        <v>425</v>
      </c>
      <c r="I28" s="57" t="n">
        <v>2</v>
      </c>
      <c r="J28" s="57" t="n">
        <v>108</v>
      </c>
      <c r="K28" s="57" t="n">
        <v>1</v>
      </c>
      <c r="L28" s="58" t="inlineStr">
        <is>
          <t>N/A</t>
        </is>
      </c>
    </row>
    <row r="29" ht="25" customHeight="1" s="55">
      <c r="A29" s="57" t="n">
        <v>28</v>
      </c>
      <c r="B29" s="57" t="inlineStr">
        <is>
          <t>UKYT-26-019</t>
        </is>
      </c>
      <c r="C29" s="57" t="inlineStr">
        <is>
          <t>High tunnel</t>
        </is>
      </c>
      <c r="D29" s="59" t="n">
        <v>46237</v>
      </c>
      <c r="E29" s="57" t="inlineStr">
        <is>
          <t>Fourth</t>
        </is>
      </c>
      <c r="F29" s="57" t="n"/>
      <c r="G29" s="57" t="n"/>
      <c r="H29" s="57" t="n">
        <v>1004</v>
      </c>
      <c r="I29" s="57" t="n">
        <v>3</v>
      </c>
      <c r="J29" s="57" t="n">
        <v>222</v>
      </c>
      <c r="K29" s="57" t="n">
        <v>1</v>
      </c>
      <c r="L29" s="58" t="inlineStr">
        <is>
          <t>N/A</t>
        </is>
      </c>
    </row>
    <row r="30" ht="25" customHeight="1" s="55">
      <c r="A30" s="57" t="n">
        <v>29</v>
      </c>
      <c r="B30" s="57" t="inlineStr">
        <is>
          <t>UKYT-26-020</t>
        </is>
      </c>
      <c r="C30" s="57" t="inlineStr">
        <is>
          <t>High tunnel</t>
        </is>
      </c>
      <c r="D30" s="59" t="n">
        <v>46237</v>
      </c>
      <c r="E30" s="57" t="inlineStr">
        <is>
          <t>Fourth</t>
        </is>
      </c>
      <c r="F30" s="57" t="n"/>
      <c r="G30" s="57" t="n"/>
      <c r="H30" s="57" t="n">
        <v>829</v>
      </c>
      <c r="I30" s="57" t="n">
        <v>2</v>
      </c>
      <c r="J30" s="57" t="n">
        <v>365</v>
      </c>
      <c r="K30" s="57" t="n">
        <v>3</v>
      </c>
      <c r="L30" s="58" t="inlineStr">
        <is>
          <t>N/A</t>
        </is>
      </c>
    </row>
    <row r="31" ht="25" customHeight="1" s="55">
      <c r="A31" s="57" t="n">
        <v>30</v>
      </c>
      <c r="B31" s="57" t="inlineStr">
        <is>
          <t>UKYT-26-021</t>
        </is>
      </c>
      <c r="C31" s="57" t="inlineStr">
        <is>
          <t>High tunnel</t>
        </is>
      </c>
      <c r="D31" s="59" t="n">
        <v>46237</v>
      </c>
      <c r="E31" s="57" t="inlineStr">
        <is>
          <t>Fourth</t>
        </is>
      </c>
      <c r="F31" s="57" t="n"/>
      <c r="G31" s="57" t="n"/>
      <c r="H31" s="57" t="n">
        <v>411</v>
      </c>
      <c r="I31" s="57" t="n">
        <v>2</v>
      </c>
      <c r="J31" s="57" t="n">
        <v>806</v>
      </c>
      <c r="K31" s="57" t="n">
        <v>3</v>
      </c>
      <c r="L31" s="58" t="inlineStr">
        <is>
          <t>N/A</t>
        </is>
      </c>
    </row>
    <row r="32" ht="25" customHeight="1" s="55">
      <c r="A32" s="57" t="n">
        <v>31</v>
      </c>
      <c r="B32" s="57" t="inlineStr">
        <is>
          <t>UKYT-26-022</t>
        </is>
      </c>
      <c r="C32" s="57" t="inlineStr">
        <is>
          <t>High tunnel</t>
        </is>
      </c>
      <c r="D32" s="59" t="n">
        <v>46237</v>
      </c>
      <c r="E32" s="57" t="inlineStr">
        <is>
          <t>Fourth</t>
        </is>
      </c>
      <c r="F32" s="57" t="n">
        <v>335</v>
      </c>
      <c r="G32" s="57" t="n">
        <v>1</v>
      </c>
      <c r="H32" s="57" t="n">
        <v>1485</v>
      </c>
      <c r="I32" s="57" t="n">
        <v>5</v>
      </c>
      <c r="J32" s="57" t="n"/>
      <c r="K32" s="57" t="n"/>
      <c r="L32" s="58" t="inlineStr">
        <is>
          <t>N/A</t>
        </is>
      </c>
    </row>
    <row r="33" ht="25" customHeight="1" s="55">
      <c r="A33" s="57" t="n">
        <v>32</v>
      </c>
      <c r="B33" s="57" t="inlineStr">
        <is>
          <t>UKYT-26-023</t>
        </is>
      </c>
      <c r="C33" s="57" t="inlineStr">
        <is>
          <t>High tunnel</t>
        </is>
      </c>
      <c r="D33" s="59" t="n">
        <v>46237</v>
      </c>
      <c r="E33" s="57" t="inlineStr">
        <is>
          <t>Fourth</t>
        </is>
      </c>
      <c r="F33" s="57" t="n"/>
      <c r="G33" s="57" t="n"/>
      <c r="H33" s="57" t="n"/>
      <c r="I33" s="57" t="n"/>
      <c r="J33" s="57" t="n"/>
      <c r="K33" s="57" t="n"/>
      <c r="L33" s="58" t="inlineStr">
        <is>
          <t>N/A</t>
        </is>
      </c>
    </row>
    <row r="34" ht="25" customHeight="1" s="55">
      <c r="A34" s="57" t="n">
        <v>33</v>
      </c>
      <c r="B34" s="57" t="inlineStr">
        <is>
          <t>UKYT-26-024</t>
        </is>
      </c>
      <c r="C34" s="57" t="inlineStr">
        <is>
          <t>High tunnel</t>
        </is>
      </c>
      <c r="D34" s="59" t="n">
        <v>46237</v>
      </c>
      <c r="E34" s="57" t="inlineStr">
        <is>
          <t>Fourth</t>
        </is>
      </c>
      <c r="F34" s="57" t="n"/>
      <c r="G34" s="57" t="n"/>
      <c r="H34" s="57" t="n">
        <v>423</v>
      </c>
      <c r="I34" s="57" t="n">
        <v>1</v>
      </c>
      <c r="J34" s="57" t="n">
        <v>609</v>
      </c>
      <c r="K34" s="57" t="n">
        <v>2</v>
      </c>
      <c r="L34" s="58" t="inlineStr">
        <is>
          <t>N/A</t>
        </is>
      </c>
    </row>
    <row r="35" ht="25" customHeight="1" s="55">
      <c r="A35" s="57" t="n">
        <v>34</v>
      </c>
      <c r="B35" s="57" t="inlineStr">
        <is>
          <t>UKYT-26-025</t>
        </is>
      </c>
      <c r="C35" s="57" t="inlineStr">
        <is>
          <t>High tunnel</t>
        </is>
      </c>
      <c r="D35" s="59" t="n">
        <v>46237</v>
      </c>
      <c r="E35" s="57" t="inlineStr">
        <is>
          <t>Fourth</t>
        </is>
      </c>
      <c r="F35" s="57" t="n"/>
      <c r="G35" s="57" t="n"/>
      <c r="H35" s="57" t="n">
        <v>1451</v>
      </c>
      <c r="I35" s="57" t="n">
        <v>3</v>
      </c>
      <c r="J35" s="57" t="n">
        <v>2025</v>
      </c>
      <c r="K35" s="57" t="n">
        <v>6</v>
      </c>
      <c r="L35" s="58" t="inlineStr">
        <is>
          <t>N/A</t>
        </is>
      </c>
    </row>
    <row r="36" ht="25" customHeight="1" s="55">
      <c r="A36" s="57" t="n">
        <v>35</v>
      </c>
      <c r="B36" s="57" t="inlineStr">
        <is>
          <t>UKYT-26-026</t>
        </is>
      </c>
      <c r="C36" s="57" t="inlineStr">
        <is>
          <t>High tunnel</t>
        </is>
      </c>
      <c r="D36" s="59" t="n">
        <v>46237</v>
      </c>
      <c r="E36" s="57" t="inlineStr">
        <is>
          <t>Fourth</t>
        </is>
      </c>
      <c r="F36" s="57" t="n"/>
      <c r="G36" s="57" t="n"/>
      <c r="H36" s="57" t="n">
        <v>1227</v>
      </c>
      <c r="I36" s="57" t="n">
        <v>3</v>
      </c>
      <c r="J36" s="57" t="n">
        <v>597</v>
      </c>
      <c r="K36" s="57" t="n">
        <v>2</v>
      </c>
      <c r="L36" s="58" t="inlineStr">
        <is>
          <t>N/A</t>
        </is>
      </c>
    </row>
    <row r="37" ht="25" customHeight="1" s="55">
      <c r="A37" s="57" t="n">
        <v>36</v>
      </c>
      <c r="B37" s="57" t="inlineStr">
        <is>
          <t>UKYT-26-027</t>
        </is>
      </c>
      <c r="C37" s="57" t="inlineStr">
        <is>
          <t>High tunnel</t>
        </is>
      </c>
      <c r="D37" s="59" t="n">
        <v>46237</v>
      </c>
      <c r="E37" s="57" t="inlineStr">
        <is>
          <t>Fourth</t>
        </is>
      </c>
      <c r="F37" s="57" t="n"/>
      <c r="G37" s="57" t="n"/>
      <c r="H37" s="57" t="n">
        <v>336</v>
      </c>
      <c r="I37" s="57" t="n">
        <v>1</v>
      </c>
      <c r="J37" s="57" t="n"/>
      <c r="K37" s="57" t="n"/>
      <c r="L37" s="58" t="inlineStr">
        <is>
          <t>N/A</t>
        </is>
      </c>
    </row>
    <row r="38" ht="25" customHeight="1" s="55">
      <c r="A38" s="57" t="n">
        <v>37</v>
      </c>
      <c r="B38" s="57" t="inlineStr">
        <is>
          <t>UKYT-26-028</t>
        </is>
      </c>
      <c r="C38" s="57" t="inlineStr">
        <is>
          <t>High tunnel</t>
        </is>
      </c>
      <c r="D38" s="59" t="n">
        <v>46237</v>
      </c>
      <c r="E38" s="57" t="inlineStr">
        <is>
          <t>Fourth</t>
        </is>
      </c>
      <c r="F38" s="57" t="n"/>
      <c r="G38" s="57" t="n"/>
      <c r="H38" s="57" t="n">
        <v>425</v>
      </c>
      <c r="I38" s="57" t="n">
        <v>2</v>
      </c>
      <c r="J38" s="57" t="n">
        <v>545</v>
      </c>
      <c r="K38" s="57" t="n">
        <v>2</v>
      </c>
      <c r="L38" s="58" t="inlineStr">
        <is>
          <t>N/A</t>
        </is>
      </c>
    </row>
    <row r="39" ht="25" customHeight="1" s="55">
      <c r="A39" s="57" t="n">
        <v>38</v>
      </c>
      <c r="B39" s="57" t="inlineStr">
        <is>
          <t>UKYT-26-029</t>
        </is>
      </c>
      <c r="C39" s="57" t="inlineStr">
        <is>
          <t>High tunnel</t>
        </is>
      </c>
      <c r="D39" s="59" t="n">
        <v>46237</v>
      </c>
      <c r="E39" s="57" t="inlineStr">
        <is>
          <t>Fourth</t>
        </is>
      </c>
      <c r="F39" s="57" t="n"/>
      <c r="G39" s="57" t="n"/>
      <c r="H39" s="57" t="n">
        <v>170</v>
      </c>
      <c r="I39" s="57" t="n">
        <v>1</v>
      </c>
      <c r="J39" s="57" t="n">
        <v>508</v>
      </c>
      <c r="K39" s="57" t="n">
        <v>4</v>
      </c>
      <c r="L39" s="58" t="inlineStr">
        <is>
          <t>N/A</t>
        </is>
      </c>
    </row>
    <row r="40" ht="25" customHeight="1" s="55">
      <c r="A40" s="57" t="n">
        <v>39</v>
      </c>
      <c r="B40" s="57" t="inlineStr">
        <is>
          <t>UKYT-26-030</t>
        </is>
      </c>
      <c r="C40" s="57" t="inlineStr">
        <is>
          <t>High tunnel</t>
        </is>
      </c>
      <c r="D40" s="59" t="n">
        <v>46237</v>
      </c>
      <c r="E40" s="57" t="inlineStr">
        <is>
          <t>Fourth</t>
        </is>
      </c>
      <c r="F40" s="57" t="n">
        <v>608</v>
      </c>
      <c r="G40" s="57" t="n">
        <v>7</v>
      </c>
      <c r="H40" s="57" t="n">
        <v>385</v>
      </c>
      <c r="I40" s="57" t="n">
        <v>5</v>
      </c>
      <c r="J40" s="57" t="n">
        <v>392</v>
      </c>
      <c r="K40" s="57" t="n">
        <v>6</v>
      </c>
      <c r="L40" s="58" t="inlineStr">
        <is>
          <t>N/A</t>
        </is>
      </c>
    </row>
    <row r="41" ht="25" customHeight="1" s="55">
      <c r="A41" s="57" t="n">
        <v>40</v>
      </c>
      <c r="B41" s="57" t="inlineStr">
        <is>
          <t>UKYT-26-031</t>
        </is>
      </c>
      <c r="C41" s="57" t="inlineStr">
        <is>
          <t>High tunnel</t>
        </is>
      </c>
      <c r="D41" s="59" t="n">
        <v>46237</v>
      </c>
      <c r="E41" s="57" t="inlineStr">
        <is>
          <t>Fourth</t>
        </is>
      </c>
      <c r="F41" s="57" t="n"/>
      <c r="G41" s="57" t="n"/>
      <c r="H41" s="57" t="n"/>
      <c r="I41" s="57" t="n"/>
      <c r="J41" s="57" t="n"/>
      <c r="K41" s="57" t="n"/>
      <c r="L41" s="58" t="inlineStr">
        <is>
          <t>N/A</t>
        </is>
      </c>
    </row>
    <row r="42" ht="25" customHeight="1" s="55">
      <c r="A42" s="57" t="n">
        <v>41</v>
      </c>
      <c r="B42" s="57" t="inlineStr">
        <is>
          <t>UKYT-26-032</t>
        </is>
      </c>
      <c r="C42" s="57" t="inlineStr">
        <is>
          <t>High tunnel</t>
        </is>
      </c>
      <c r="D42" s="59" t="n">
        <v>46237</v>
      </c>
      <c r="E42" s="57" t="inlineStr">
        <is>
          <t>Fourth</t>
        </is>
      </c>
      <c r="F42" s="57" t="n">
        <v>676</v>
      </c>
      <c r="G42" s="57" t="n">
        <v>3</v>
      </c>
      <c r="H42" s="57" t="n">
        <v>510</v>
      </c>
      <c r="I42" s="57" t="n">
        <v>2</v>
      </c>
      <c r="J42" s="57" t="n">
        <v>255</v>
      </c>
      <c r="K42" s="57" t="n">
        <v>2</v>
      </c>
      <c r="L42" s="58" t="inlineStr">
        <is>
          <t>N/A</t>
        </is>
      </c>
    </row>
    <row r="43" ht="25" customHeight="1" s="55">
      <c r="A43" s="57" t="n">
        <v>42</v>
      </c>
      <c r="B43" s="57" t="inlineStr">
        <is>
          <t>UKYT-26-033</t>
        </is>
      </c>
      <c r="C43" s="57" t="inlineStr">
        <is>
          <t>High tunnel</t>
        </is>
      </c>
      <c r="D43" s="59" t="n">
        <v>46237</v>
      </c>
      <c r="E43" s="57" t="inlineStr">
        <is>
          <t>Fourth</t>
        </is>
      </c>
      <c r="F43" s="57" t="n">
        <v>1207</v>
      </c>
      <c r="G43" s="57" t="n">
        <v>10</v>
      </c>
      <c r="H43" s="57" t="n">
        <v>887</v>
      </c>
      <c r="I43" s="57" t="n">
        <v>7</v>
      </c>
      <c r="J43" s="57" t="n">
        <v>196</v>
      </c>
      <c r="K43" s="57" t="n">
        <v>2</v>
      </c>
      <c r="L43" s="58" t="inlineStr">
        <is>
          <t>N/A</t>
        </is>
      </c>
    </row>
    <row r="44" ht="25" customHeight="1" s="55">
      <c r="A44" s="57" t="n">
        <v>43</v>
      </c>
      <c r="B44" s="57" t="inlineStr">
        <is>
          <t>UKYT-26-034</t>
        </is>
      </c>
      <c r="C44" s="57" t="inlineStr">
        <is>
          <t>High tunnel</t>
        </is>
      </c>
      <c r="D44" s="59" t="n">
        <v>46237</v>
      </c>
      <c r="E44" s="57" t="inlineStr">
        <is>
          <t>Fourth</t>
        </is>
      </c>
      <c r="F44" s="57" t="n">
        <v>65</v>
      </c>
      <c r="G44" s="57" t="n">
        <v>1</v>
      </c>
      <c r="H44" s="57" t="n">
        <v>423</v>
      </c>
      <c r="I44" s="57" t="n">
        <v>4</v>
      </c>
      <c r="J44" s="57" t="n">
        <v>295</v>
      </c>
      <c r="K44" s="57" t="n">
        <v>2</v>
      </c>
      <c r="L44" s="58" t="inlineStr">
        <is>
          <t>N/A</t>
        </is>
      </c>
    </row>
    <row r="45" ht="25" customHeight="1" s="55">
      <c r="A45" s="57" t="n">
        <v>44</v>
      </c>
      <c r="B45" s="57" t="inlineStr">
        <is>
          <t>UKYT-26-035</t>
        </is>
      </c>
      <c r="C45" s="57" t="inlineStr">
        <is>
          <t>High tunnel</t>
        </is>
      </c>
      <c r="D45" s="59" t="n">
        <v>46237</v>
      </c>
      <c r="E45" s="57" t="inlineStr">
        <is>
          <t>Fourth</t>
        </is>
      </c>
      <c r="F45" s="57" t="n">
        <v>302</v>
      </c>
      <c r="G45" s="57" t="n">
        <v>3</v>
      </c>
      <c r="H45" s="57" t="n">
        <v>97</v>
      </c>
      <c r="I45" s="57" t="n">
        <v>1</v>
      </c>
      <c r="J45" s="57" t="n">
        <v>675</v>
      </c>
      <c r="K45" s="57" t="n">
        <v>10</v>
      </c>
      <c r="L45" s="58" t="inlineStr">
        <is>
          <t>N/A</t>
        </is>
      </c>
    </row>
    <row r="46" ht="25" customHeight="1" s="55">
      <c r="A46" s="57" t="n">
        <v>45</v>
      </c>
      <c r="B46" s="57" t="inlineStr">
        <is>
          <t>UKYT-26-036</t>
        </is>
      </c>
      <c r="C46" s="57" t="inlineStr">
        <is>
          <t>High tunnel</t>
        </is>
      </c>
      <c r="D46" s="59" t="n">
        <v>46237</v>
      </c>
      <c r="E46" s="57" t="inlineStr">
        <is>
          <t>Fourth</t>
        </is>
      </c>
      <c r="F46" s="57" t="n"/>
      <c r="G46" s="57" t="n"/>
      <c r="H46" s="57" t="n">
        <v>84</v>
      </c>
      <c r="I46" s="57" t="n">
        <v>1</v>
      </c>
      <c r="J46" s="57" t="n"/>
      <c r="K46" s="57" t="n"/>
      <c r="L46" s="58" t="inlineStr">
        <is>
          <t>N/A</t>
        </is>
      </c>
    </row>
    <row r="47" ht="25" customHeight="1" s="55">
      <c r="A47" s="57" t="n">
        <v>46</v>
      </c>
      <c r="B47" s="57" t="inlineStr">
        <is>
          <t>UKYT-26-037</t>
        </is>
      </c>
      <c r="C47" s="57" t="inlineStr">
        <is>
          <t>High tunnel</t>
        </is>
      </c>
      <c r="D47" s="59" t="n">
        <v>46237</v>
      </c>
      <c r="E47" s="57" t="inlineStr">
        <is>
          <t>Fourth</t>
        </is>
      </c>
      <c r="F47" s="57" t="n">
        <v>134</v>
      </c>
      <c r="G47" s="57" t="n">
        <v>1</v>
      </c>
      <c r="H47" s="57" t="n">
        <v>254</v>
      </c>
      <c r="I47" s="57" t="n">
        <v>2</v>
      </c>
      <c r="J47" s="57" t="n">
        <v>196</v>
      </c>
      <c r="K47" s="57" t="n">
        <v>2</v>
      </c>
      <c r="L47" s="58" t="inlineStr">
        <is>
          <t>N/A</t>
        </is>
      </c>
    </row>
    <row r="48" ht="25" customHeight="1" s="55">
      <c r="A48" s="57" t="n">
        <v>47</v>
      </c>
      <c r="B48" s="57" t="inlineStr">
        <is>
          <t>UKYT-26-038</t>
        </is>
      </c>
      <c r="C48" s="57" t="inlineStr">
        <is>
          <t>High tunnel</t>
        </is>
      </c>
      <c r="D48" s="59" t="n">
        <v>46237</v>
      </c>
      <c r="E48" s="57" t="inlineStr">
        <is>
          <t>Fourth</t>
        </is>
      </c>
      <c r="F48" s="57" t="n"/>
      <c r="G48" s="57" t="n"/>
      <c r="H48" s="57" t="n">
        <v>162</v>
      </c>
      <c r="I48" s="57" t="n">
        <v>1</v>
      </c>
      <c r="J48" s="57" t="n">
        <v>661</v>
      </c>
      <c r="K48" s="57" t="n">
        <v>5</v>
      </c>
      <c r="L48" s="58" t="inlineStr">
        <is>
          <t>N/A</t>
        </is>
      </c>
    </row>
    <row r="49" ht="25" customHeight="1" s="55">
      <c r="A49" s="57" t="n">
        <v>48</v>
      </c>
      <c r="B49" s="57" t="inlineStr">
        <is>
          <t>UKYT-26-039</t>
        </is>
      </c>
      <c r="C49" s="57" t="inlineStr">
        <is>
          <t>High tunnel</t>
        </is>
      </c>
      <c r="D49" s="59" t="n">
        <v>46237</v>
      </c>
      <c r="E49" s="57" t="inlineStr">
        <is>
          <t>Fourth</t>
        </is>
      </c>
      <c r="F49" s="57" t="n"/>
      <c r="G49" s="57" t="n"/>
      <c r="H49" s="57" t="n">
        <v>345</v>
      </c>
      <c r="I49" s="57" t="n">
        <v>2</v>
      </c>
      <c r="J49" s="57" t="n">
        <v>228</v>
      </c>
      <c r="K49" s="57" t="n">
        <v>1</v>
      </c>
      <c r="L49" s="58" t="inlineStr">
        <is>
          <t>N/A</t>
        </is>
      </c>
    </row>
    <row r="50" ht="25" customHeight="1" s="55">
      <c r="A50" s="57" t="n">
        <v>49</v>
      </c>
      <c r="B50" s="57" t="inlineStr">
        <is>
          <t>Mountain Fresh</t>
        </is>
      </c>
      <c r="C50" s="57" t="inlineStr">
        <is>
          <t>High tunnel</t>
        </is>
      </c>
      <c r="D50" s="59" t="n">
        <v>46237</v>
      </c>
      <c r="E50" s="57" t="inlineStr">
        <is>
          <t>Fourth</t>
        </is>
      </c>
      <c r="F50" s="57" t="n">
        <v>178</v>
      </c>
      <c r="G50" s="57" t="n">
        <v>1</v>
      </c>
      <c r="H50" s="57" t="n">
        <v>201</v>
      </c>
      <c r="I50" s="57" t="n">
        <v>1</v>
      </c>
      <c r="J50" s="57" t="n">
        <v>157</v>
      </c>
      <c r="K50" s="57" t="n">
        <v>1</v>
      </c>
      <c r="L50" s="58" t="inlineStr">
        <is>
          <t>N/A</t>
        </is>
      </c>
    </row>
    <row r="51" ht="25" customHeight="1" s="55">
      <c r="A51" s="57" t="n">
        <v>50</v>
      </c>
      <c r="B51" s="57" t="inlineStr">
        <is>
          <t>BHN589</t>
        </is>
      </c>
      <c r="C51" s="57" t="inlineStr">
        <is>
          <t>High tunnel</t>
        </is>
      </c>
      <c r="D51" s="59" t="n">
        <v>46237</v>
      </c>
      <c r="E51" s="57" t="inlineStr">
        <is>
          <t>Fourth</t>
        </is>
      </c>
      <c r="F51" s="57" t="n"/>
      <c r="G51" s="57" t="n"/>
      <c r="H51" s="57" t="n"/>
      <c r="I51" s="57" t="n"/>
      <c r="J51" s="57" t="n"/>
      <c r="K51" s="57" t="n"/>
      <c r="L51" s="58" t="inlineStr">
        <is>
          <t>N/A</t>
        </is>
      </c>
    </row>
  </sheetData>
  <autoFilter ref="A1:L51"/>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51"/>
  <sheetViews>
    <sheetView showGridLines="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13" customWidth="1" style="55" min="2" max="2"/>
    <col width="13" customWidth="1" style="55" min="3" max="3"/>
    <col width="21" customWidth="1" style="55" min="4" max="4"/>
    <col width="9" customWidth="1" style="55" min="5" max="5"/>
    <col width="29" customWidth="1" style="55" min="6" max="6"/>
    <col width="29" customWidth="1" style="55" min="7" max="7"/>
    <col width="29" customWidth="1" style="55" min="8" max="8"/>
    <col width="29" customWidth="1" style="55" min="9" max="9"/>
    <col width="24" customWidth="1" style="55" min="10" max="10"/>
    <col width="24" customWidth="1" style="55" min="11" max="11"/>
    <col width="11" customWidth="1" style="55" min="12" max="12"/>
  </cols>
  <sheetData>
    <row r="1" ht="18" customHeight="1" s="55">
      <c r="A1" s="56" t="inlineStr">
        <is>
          <t>SN</t>
        </is>
      </c>
      <c r="B1" s="56" t="inlineStr">
        <is>
          <t>Genotypes</t>
        </is>
      </c>
      <c r="C1" s="56" t="inlineStr">
        <is>
          <t>Location</t>
        </is>
      </c>
      <c r="D1" s="56" t="inlineStr">
        <is>
          <t>Date of harvest</t>
        </is>
      </c>
      <c r="E1" s="56" t="inlineStr">
        <is>
          <t>Harvest</t>
        </is>
      </c>
      <c r="F1" s="56" t="inlineStr">
        <is>
          <t>Grade 1 Marketable (weight)</t>
        </is>
      </c>
      <c r="G1" s="56" t="inlineStr">
        <is>
          <t>Grade 1 Marketable (counts)</t>
        </is>
      </c>
      <c r="H1" s="56" t="inlineStr">
        <is>
          <t>Grade 2 Marketable (weight)</t>
        </is>
      </c>
      <c r="I1" s="56" t="inlineStr">
        <is>
          <t>Grade 2 Marketable (counts)</t>
        </is>
      </c>
      <c r="J1" s="56" t="inlineStr">
        <is>
          <t>Unmarketables (weight)</t>
        </is>
      </c>
      <c r="K1" s="56" t="inlineStr">
        <is>
          <t>Unmarketables (counts)</t>
        </is>
      </c>
      <c r="L1" s="56" t="inlineStr">
        <is>
          <t>Replicate</t>
        </is>
      </c>
    </row>
    <row r="2" ht="25" customHeight="1" s="55">
      <c r="A2" s="57" t="n">
        <v>1</v>
      </c>
      <c r="B2" s="57" t="inlineStr">
        <is>
          <t>UKYT-25-001</t>
        </is>
      </c>
      <c r="C2" s="57" t="inlineStr">
        <is>
          <t>High tunnel</t>
        </is>
      </c>
      <c r="D2" s="59" t="n">
        <v>46244</v>
      </c>
      <c r="E2" s="57" t="inlineStr">
        <is>
          <t>Fifth</t>
        </is>
      </c>
      <c r="F2" s="57" t="n">
        <v>503</v>
      </c>
      <c r="G2" s="57" t="n">
        <v>49</v>
      </c>
      <c r="H2" s="57" t="n">
        <v>163</v>
      </c>
      <c r="I2" s="57" t="n">
        <v>17</v>
      </c>
      <c r="J2" s="57" t="n">
        <v>59</v>
      </c>
      <c r="K2" s="57" t="n">
        <v>10</v>
      </c>
      <c r="L2" s="58" t="inlineStr">
        <is>
          <t>N/A</t>
        </is>
      </c>
    </row>
    <row r="3" ht="25" customHeight="1" s="55">
      <c r="A3" s="57" t="n">
        <v>2</v>
      </c>
      <c r="B3" s="57" t="inlineStr">
        <is>
          <t>UKYT-25-002</t>
        </is>
      </c>
      <c r="C3" s="57" t="inlineStr">
        <is>
          <t>High tunnel</t>
        </is>
      </c>
      <c r="D3" s="59" t="n">
        <v>46244</v>
      </c>
      <c r="E3" s="57" t="inlineStr">
        <is>
          <t>Fifth</t>
        </is>
      </c>
      <c r="F3" s="57" t="n">
        <v>1198</v>
      </c>
      <c r="G3" s="57" t="n">
        <v>64</v>
      </c>
      <c r="H3" s="57" t="n">
        <v>153</v>
      </c>
      <c r="I3" s="57" t="n">
        <v>10</v>
      </c>
      <c r="J3" s="57" t="n">
        <v>484</v>
      </c>
      <c r="K3" s="57" t="n">
        <v>49</v>
      </c>
      <c r="L3" s="58" t="inlineStr">
        <is>
          <t>N/A</t>
        </is>
      </c>
    </row>
    <row r="4" ht="25" customHeight="1" s="55">
      <c r="A4" s="57" t="n">
        <v>3</v>
      </c>
      <c r="B4" s="57" t="inlineStr">
        <is>
          <t>UKYT-25-003</t>
        </is>
      </c>
      <c r="C4" s="57" t="inlineStr">
        <is>
          <t>High tunnel</t>
        </is>
      </c>
      <c r="D4" s="59" t="n">
        <v>46244</v>
      </c>
      <c r="E4" s="57" t="inlineStr">
        <is>
          <t>Fifth</t>
        </is>
      </c>
      <c r="F4" s="57" t="n">
        <v>792</v>
      </c>
      <c r="G4" s="57" t="n">
        <v>71</v>
      </c>
      <c r="H4" s="57" t="n">
        <v>191</v>
      </c>
      <c r="I4" s="57" t="n">
        <v>22</v>
      </c>
      <c r="J4" s="57" t="n">
        <v>299</v>
      </c>
      <c r="K4" s="57" t="n">
        <v>42</v>
      </c>
      <c r="L4" s="58" t="inlineStr">
        <is>
          <t>N/A</t>
        </is>
      </c>
    </row>
    <row r="5" ht="25" customHeight="1" s="55">
      <c r="A5" s="57" t="n">
        <v>4</v>
      </c>
      <c r="B5" s="57" t="inlineStr">
        <is>
          <t>UKYT-25-004</t>
        </is>
      </c>
      <c r="C5" s="57" t="inlineStr">
        <is>
          <t>High tunnel</t>
        </is>
      </c>
      <c r="D5" s="59" t="n">
        <v>46244</v>
      </c>
      <c r="E5" s="57" t="inlineStr">
        <is>
          <t>Fifth</t>
        </is>
      </c>
      <c r="F5" s="57" t="n">
        <v>408</v>
      </c>
      <c r="G5" s="57" t="n">
        <v>28</v>
      </c>
      <c r="H5" s="57" t="n">
        <v>201</v>
      </c>
      <c r="I5" s="57" t="n">
        <v>16</v>
      </c>
      <c r="J5" s="57" t="n">
        <v>82</v>
      </c>
      <c r="K5" s="57" t="n">
        <v>9</v>
      </c>
      <c r="L5" s="58" t="inlineStr">
        <is>
          <t>N/A</t>
        </is>
      </c>
    </row>
    <row r="6" ht="25" customHeight="1" s="55">
      <c r="A6" s="57" t="n">
        <v>5</v>
      </c>
      <c r="B6" s="57" t="inlineStr">
        <is>
          <t>UKYT-25-005</t>
        </is>
      </c>
      <c r="C6" s="57" t="inlineStr">
        <is>
          <t>High tunnel</t>
        </is>
      </c>
      <c r="D6" s="59" t="n">
        <v>46244</v>
      </c>
      <c r="E6" s="57" t="inlineStr">
        <is>
          <t>Fifth</t>
        </is>
      </c>
      <c r="F6" s="57" t="n">
        <v>297</v>
      </c>
      <c r="G6" s="57" t="n">
        <v>20</v>
      </c>
      <c r="H6" s="57" t="n">
        <v>172</v>
      </c>
      <c r="I6" s="57" t="n">
        <v>17</v>
      </c>
      <c r="J6" s="57" t="n">
        <v>273</v>
      </c>
      <c r="K6" s="57" t="n">
        <v>35</v>
      </c>
      <c r="L6" s="58" t="inlineStr">
        <is>
          <t>N/A</t>
        </is>
      </c>
    </row>
    <row r="7" ht="25" customHeight="1" s="55">
      <c r="A7" s="57" t="n">
        <v>6</v>
      </c>
      <c r="B7" s="57" t="inlineStr">
        <is>
          <t>UKYT-25-006</t>
        </is>
      </c>
      <c r="C7" s="57" t="inlineStr">
        <is>
          <t>High tunnel</t>
        </is>
      </c>
      <c r="D7" s="59" t="n">
        <v>46244</v>
      </c>
      <c r="E7" s="57" t="inlineStr">
        <is>
          <t>Fifth</t>
        </is>
      </c>
      <c r="F7" s="57" t="n">
        <v>679</v>
      </c>
      <c r="G7" s="57" t="n">
        <v>32</v>
      </c>
      <c r="H7" s="57" t="n">
        <v>156</v>
      </c>
      <c r="I7" s="57" t="n">
        <v>11</v>
      </c>
      <c r="J7" s="57" t="n">
        <v>92</v>
      </c>
      <c r="K7" s="57" t="n">
        <v>9</v>
      </c>
      <c r="L7" s="58" t="inlineStr">
        <is>
          <t>N/A</t>
        </is>
      </c>
    </row>
    <row r="8" ht="25" customHeight="1" s="55">
      <c r="A8" s="57" t="n">
        <v>7</v>
      </c>
      <c r="B8" s="57" t="inlineStr">
        <is>
          <t>UKYT-25-007</t>
        </is>
      </c>
      <c r="C8" s="57" t="inlineStr">
        <is>
          <t>High tunnel</t>
        </is>
      </c>
      <c r="D8" s="59" t="n">
        <v>46244</v>
      </c>
      <c r="E8" s="57" t="inlineStr">
        <is>
          <t>Fifth</t>
        </is>
      </c>
      <c r="F8" s="57" t="n">
        <v>480</v>
      </c>
      <c r="G8" s="57" t="n">
        <v>27</v>
      </c>
      <c r="H8" s="57" t="n"/>
      <c r="I8" s="57" t="n"/>
      <c r="J8" s="57" t="n">
        <v>283</v>
      </c>
      <c r="K8" s="57" t="n">
        <v>25</v>
      </c>
      <c r="L8" s="58" t="inlineStr">
        <is>
          <t>N/A</t>
        </is>
      </c>
    </row>
    <row r="9" ht="25" customHeight="1" s="55">
      <c r="A9" s="57" t="n">
        <v>8</v>
      </c>
      <c r="B9" s="57" t="inlineStr">
        <is>
          <t>UKYT-25-008</t>
        </is>
      </c>
      <c r="C9" s="57" t="inlineStr">
        <is>
          <t>High tunnel</t>
        </is>
      </c>
      <c r="D9" s="59" t="n">
        <v>46244</v>
      </c>
      <c r="E9" s="57" t="inlineStr">
        <is>
          <t>Fifth</t>
        </is>
      </c>
      <c r="F9" s="57" t="n">
        <v>654</v>
      </c>
      <c r="G9" s="57" t="n">
        <v>40</v>
      </c>
      <c r="H9" s="57" t="n">
        <v>85</v>
      </c>
      <c r="I9" s="57" t="n">
        <v>6</v>
      </c>
      <c r="J9" s="57" t="n">
        <v>390</v>
      </c>
      <c r="K9" s="57" t="n">
        <v>36</v>
      </c>
      <c r="L9" s="58" t="inlineStr">
        <is>
          <t>N/A</t>
        </is>
      </c>
    </row>
    <row r="10" ht="25" customHeight="1" s="55">
      <c r="A10" s="57" t="n">
        <v>9</v>
      </c>
      <c r="B10" s="57" t="inlineStr">
        <is>
          <t>UKYT-25-009</t>
        </is>
      </c>
      <c r="C10" s="57" t="inlineStr">
        <is>
          <t>High tunnel</t>
        </is>
      </c>
      <c r="D10" s="59" t="n">
        <v>46244</v>
      </c>
      <c r="E10" s="57" t="inlineStr">
        <is>
          <t>Fifth</t>
        </is>
      </c>
      <c r="F10" s="57" t="n">
        <v>227</v>
      </c>
      <c r="G10" s="57" t="n">
        <v>16</v>
      </c>
      <c r="H10" s="57" t="n">
        <v>123</v>
      </c>
      <c r="I10" s="57" t="n">
        <v>9</v>
      </c>
      <c r="J10" s="57" t="n">
        <v>105</v>
      </c>
      <c r="K10" s="57" t="n">
        <v>12</v>
      </c>
      <c r="L10" s="58" t="inlineStr">
        <is>
          <t>N/A</t>
        </is>
      </c>
    </row>
    <row r="11" ht="25" customHeight="1" s="55">
      <c r="A11" s="57" t="n">
        <v>10</v>
      </c>
      <c r="B11" s="57" t="inlineStr">
        <is>
          <t>UKYT-25-010</t>
        </is>
      </c>
      <c r="C11" s="57" t="inlineStr">
        <is>
          <t>High tunnel</t>
        </is>
      </c>
      <c r="D11" s="59" t="n">
        <v>46244</v>
      </c>
      <c r="E11" s="57" t="inlineStr">
        <is>
          <t>Fifth</t>
        </is>
      </c>
      <c r="F11" s="57" t="n">
        <v>869</v>
      </c>
      <c r="G11" s="57" t="n">
        <v>61</v>
      </c>
      <c r="H11" s="57" t="n">
        <v>339</v>
      </c>
      <c r="I11" s="57" t="n">
        <v>29</v>
      </c>
      <c r="J11" s="57" t="n">
        <v>385</v>
      </c>
      <c r="K11" s="57" t="n">
        <v>62</v>
      </c>
      <c r="L11" s="58" t="inlineStr">
        <is>
          <t>N/A</t>
        </is>
      </c>
    </row>
    <row r="12" ht="25" customHeight="1" s="55">
      <c r="A12" s="57" t="n">
        <v>11</v>
      </c>
      <c r="B12" s="57" t="inlineStr">
        <is>
          <t>UKYT-25-011</t>
        </is>
      </c>
      <c r="C12" s="57" t="inlineStr">
        <is>
          <t>High tunnel</t>
        </is>
      </c>
      <c r="D12" s="59" t="n">
        <v>46244</v>
      </c>
      <c r="E12" s="57" t="inlineStr">
        <is>
          <t>Fifth</t>
        </is>
      </c>
      <c r="F12" s="57" t="n">
        <v>635</v>
      </c>
      <c r="G12" s="57" t="n">
        <v>43</v>
      </c>
      <c r="H12" s="57" t="n">
        <v>141</v>
      </c>
      <c r="I12" s="57" t="n">
        <v>11</v>
      </c>
      <c r="J12" s="57" t="n">
        <v>306</v>
      </c>
      <c r="K12" s="57" t="n">
        <v>42</v>
      </c>
      <c r="L12" s="58" t="inlineStr">
        <is>
          <t>N/A</t>
        </is>
      </c>
    </row>
    <row r="13" ht="25" customHeight="1" s="55">
      <c r="A13" s="57" t="n">
        <v>12</v>
      </c>
      <c r="B13" s="57" t="inlineStr">
        <is>
          <t>UKYT-25-012</t>
        </is>
      </c>
      <c r="C13" s="57" t="inlineStr">
        <is>
          <t>High tunnel</t>
        </is>
      </c>
      <c r="D13" s="59" t="n">
        <v>46244</v>
      </c>
      <c r="E13" s="57" t="inlineStr">
        <is>
          <t>Fifth</t>
        </is>
      </c>
      <c r="F13" s="57" t="n">
        <v>570</v>
      </c>
      <c r="G13" s="57" t="n">
        <v>44</v>
      </c>
      <c r="H13" s="57" t="n">
        <v>244</v>
      </c>
      <c r="I13" s="57" t="n">
        <v>22</v>
      </c>
      <c r="J13" s="57" t="n">
        <v>212</v>
      </c>
      <c r="K13" s="57" t="n"/>
      <c r="L13" s="58" t="inlineStr">
        <is>
          <t>N/A</t>
        </is>
      </c>
    </row>
    <row r="14" ht="25" customHeight="1" s="55">
      <c r="A14" s="57" t="n">
        <v>13</v>
      </c>
      <c r="B14" s="57" t="inlineStr">
        <is>
          <t>UKYT-25-013</t>
        </is>
      </c>
      <c r="C14" s="57" t="inlineStr">
        <is>
          <t>High tunnel</t>
        </is>
      </c>
      <c r="D14" s="59" t="n">
        <v>46244</v>
      </c>
      <c r="E14" s="57" t="inlineStr">
        <is>
          <t>Fifth</t>
        </is>
      </c>
      <c r="F14" s="57" t="n">
        <v>408</v>
      </c>
      <c r="G14" s="57" t="n">
        <v>30</v>
      </c>
      <c r="H14" s="57" t="n">
        <v>29</v>
      </c>
      <c r="I14" s="57" t="n">
        <v>3</v>
      </c>
      <c r="J14" s="57" t="n">
        <v>98</v>
      </c>
      <c r="K14" s="57" t="n">
        <v>9</v>
      </c>
      <c r="L14" s="58" t="inlineStr">
        <is>
          <t>N/A</t>
        </is>
      </c>
    </row>
    <row r="15" ht="25" customHeight="1" s="55">
      <c r="A15" s="57" t="n">
        <v>14</v>
      </c>
      <c r="B15" s="57" t="inlineStr">
        <is>
          <t>UKYT-25-014</t>
        </is>
      </c>
      <c r="C15" s="57" t="inlineStr">
        <is>
          <t>High tunnel</t>
        </is>
      </c>
      <c r="D15" s="59" t="n">
        <v>46244</v>
      </c>
      <c r="E15" s="57" t="inlineStr">
        <is>
          <t>Fifth</t>
        </is>
      </c>
      <c r="F15" s="57" t="n">
        <v>474</v>
      </c>
      <c r="G15" s="57" t="n">
        <v>39</v>
      </c>
      <c r="H15" s="57" t="n">
        <v>88</v>
      </c>
      <c r="I15" s="57" t="n">
        <v>21</v>
      </c>
      <c r="J15" s="57" t="n">
        <v>178</v>
      </c>
      <c r="K15" s="57" t="n">
        <v>21</v>
      </c>
      <c r="L15" s="58" t="inlineStr">
        <is>
          <t>N/A</t>
        </is>
      </c>
    </row>
    <row r="16" ht="25" customHeight="1" s="55">
      <c r="A16" s="57" t="n">
        <v>15</v>
      </c>
      <c r="B16" s="57" t="inlineStr">
        <is>
          <t>UKYT-25-015</t>
        </is>
      </c>
      <c r="C16" s="57" t="inlineStr">
        <is>
          <t>High tunnel</t>
        </is>
      </c>
      <c r="D16" s="59" t="n">
        <v>46244</v>
      </c>
      <c r="E16" s="57" t="inlineStr">
        <is>
          <t>Fifth</t>
        </is>
      </c>
      <c r="F16" s="57" t="n">
        <v>605</v>
      </c>
      <c r="G16" s="57" t="n">
        <v>34</v>
      </c>
      <c r="H16" s="57" t="n">
        <v>131</v>
      </c>
      <c r="I16" s="57" t="n">
        <v>10</v>
      </c>
      <c r="J16" s="57" t="n">
        <v>84</v>
      </c>
      <c r="K16" s="57" t="n">
        <v>10</v>
      </c>
      <c r="L16" s="58" t="inlineStr">
        <is>
          <t>N/A</t>
        </is>
      </c>
    </row>
    <row r="17" ht="25" customHeight="1" s="55">
      <c r="A17" s="57" t="n">
        <v>16</v>
      </c>
      <c r="B17" s="57" t="inlineStr">
        <is>
          <t>UKYT-25-016</t>
        </is>
      </c>
      <c r="C17" s="57" t="inlineStr">
        <is>
          <t>High tunnel</t>
        </is>
      </c>
      <c r="D17" s="59" t="n">
        <v>46244</v>
      </c>
      <c r="E17" s="57" t="inlineStr">
        <is>
          <t>Fifth</t>
        </is>
      </c>
      <c r="F17" s="57" t="n">
        <v>334</v>
      </c>
      <c r="G17" s="57" t="n">
        <v>41</v>
      </c>
      <c r="H17" s="57" t="n">
        <v>56</v>
      </c>
      <c r="I17" s="57" t="n">
        <v>8</v>
      </c>
      <c r="J17" s="57" t="n">
        <v>44</v>
      </c>
      <c r="K17" s="57" t="n">
        <v>13</v>
      </c>
      <c r="L17" s="58" t="inlineStr">
        <is>
          <t>N/A</t>
        </is>
      </c>
    </row>
    <row r="18" ht="25" customHeight="1" s="55">
      <c r="A18" s="57" t="n">
        <v>17</v>
      </c>
      <c r="B18" s="57" t="inlineStr">
        <is>
          <t>UKYT-25-017</t>
        </is>
      </c>
      <c r="C18" s="57" t="inlineStr">
        <is>
          <t>High tunnel</t>
        </is>
      </c>
      <c r="D18" s="59" t="n">
        <v>46244</v>
      </c>
      <c r="E18" s="57" t="inlineStr">
        <is>
          <t>Fifth</t>
        </is>
      </c>
      <c r="F18" s="57" t="n">
        <v>800</v>
      </c>
      <c r="G18" s="57" t="n">
        <v>48</v>
      </c>
      <c r="H18" s="57" t="n">
        <v>156</v>
      </c>
      <c r="I18" s="57" t="n">
        <v>10</v>
      </c>
      <c r="J18" s="57" t="n">
        <v>529</v>
      </c>
      <c r="K18" s="57" t="n">
        <v>59</v>
      </c>
      <c r="L18" s="58" t="inlineStr">
        <is>
          <t>N/A</t>
        </is>
      </c>
    </row>
    <row r="19" ht="25" customHeight="1" s="55">
      <c r="A19" s="57" t="n">
        <v>18</v>
      </c>
      <c r="B19" s="57" t="inlineStr">
        <is>
          <t>UKYT-26-001</t>
        </is>
      </c>
      <c r="C19" s="57" t="inlineStr">
        <is>
          <t>High tunnel</t>
        </is>
      </c>
      <c r="D19" s="59" t="n">
        <v>46244</v>
      </c>
      <c r="E19" s="57" t="inlineStr">
        <is>
          <t>Fifth</t>
        </is>
      </c>
      <c r="F19" s="57" t="n">
        <v>310</v>
      </c>
      <c r="G19" s="57" t="n">
        <v>3</v>
      </c>
      <c r="H19" s="57" t="n">
        <v>466</v>
      </c>
      <c r="I19" s="57" t="n">
        <v>5</v>
      </c>
      <c r="J19" s="57" t="n">
        <v>500</v>
      </c>
      <c r="K19" s="57" t="n">
        <v>11</v>
      </c>
      <c r="L19" s="58" t="inlineStr">
        <is>
          <t>N/A</t>
        </is>
      </c>
    </row>
    <row r="20" ht="25" customHeight="1" s="55">
      <c r="A20" s="57" t="n">
        <v>19</v>
      </c>
      <c r="B20" s="57" t="inlineStr">
        <is>
          <t>UKYT-26-006</t>
        </is>
      </c>
      <c r="C20" s="57" t="inlineStr">
        <is>
          <t>High tunnel</t>
        </is>
      </c>
      <c r="D20" s="59" t="n">
        <v>46244</v>
      </c>
      <c r="E20" s="57" t="inlineStr">
        <is>
          <t>Fifth</t>
        </is>
      </c>
      <c r="F20" s="57" t="n">
        <v>294</v>
      </c>
      <c r="G20" s="57" t="n">
        <v>20</v>
      </c>
      <c r="H20" s="57" t="n">
        <v>265</v>
      </c>
      <c r="I20" s="57" t="n">
        <v>21</v>
      </c>
      <c r="J20" s="57" t="n">
        <v>288</v>
      </c>
      <c r="K20" s="57" t="n">
        <v>35</v>
      </c>
      <c r="L20" s="58" t="inlineStr">
        <is>
          <t>N/A</t>
        </is>
      </c>
    </row>
    <row r="21" ht="25" customHeight="1" s="55">
      <c r="A21" s="57" t="n">
        <v>20</v>
      </c>
      <c r="B21" s="57" t="inlineStr">
        <is>
          <t>UKYT-26-011</t>
        </is>
      </c>
      <c r="C21" s="57" t="inlineStr">
        <is>
          <t>High tunnel</t>
        </is>
      </c>
      <c r="D21" s="59" t="n">
        <v>46244</v>
      </c>
      <c r="E21" s="57" t="inlineStr">
        <is>
          <t>Fifth</t>
        </is>
      </c>
      <c r="F21" s="57" t="n"/>
      <c r="G21" s="57" t="n"/>
      <c r="H21" s="57" t="n"/>
      <c r="I21" s="57" t="n"/>
      <c r="J21" s="57" t="n"/>
      <c r="K21" s="57" t="n"/>
      <c r="L21" s="58" t="inlineStr">
        <is>
          <t>N/A</t>
        </is>
      </c>
    </row>
    <row r="22" ht="25" customHeight="1" s="55">
      <c r="A22" s="57" t="n">
        <v>21</v>
      </c>
      <c r="B22" s="57" t="inlineStr">
        <is>
          <t>UKYT-26-012</t>
        </is>
      </c>
      <c r="C22" s="57" t="inlineStr">
        <is>
          <t>High tunnel</t>
        </is>
      </c>
      <c r="D22" s="59" t="n">
        <v>46244</v>
      </c>
      <c r="E22" s="57" t="inlineStr">
        <is>
          <t>Fifth</t>
        </is>
      </c>
      <c r="F22" s="57" t="n"/>
      <c r="G22" s="57" t="n"/>
      <c r="H22" s="57" t="n"/>
      <c r="I22" s="57" t="n"/>
      <c r="J22" s="57" t="n"/>
      <c r="K22" s="57" t="n"/>
      <c r="L22" s="58" t="inlineStr">
        <is>
          <t>N/A</t>
        </is>
      </c>
    </row>
    <row r="23" ht="25" customHeight="1" s="55">
      <c r="A23" s="57" t="n">
        <v>22</v>
      </c>
      <c r="B23" s="57" t="inlineStr">
        <is>
          <t>UKYT-26-013</t>
        </is>
      </c>
      <c r="C23" s="57" t="inlineStr">
        <is>
          <t>High tunnel</t>
        </is>
      </c>
      <c r="D23" s="59" t="n">
        <v>46244</v>
      </c>
      <c r="E23" s="57" t="inlineStr">
        <is>
          <t>Fifth</t>
        </is>
      </c>
      <c r="F23" s="57" t="n"/>
      <c r="G23" s="57" t="n"/>
      <c r="H23" s="57" t="n"/>
      <c r="I23" s="57" t="n"/>
      <c r="J23" s="57" t="n"/>
      <c r="K23" s="57" t="n"/>
      <c r="L23" s="58" t="inlineStr">
        <is>
          <t>N/A</t>
        </is>
      </c>
    </row>
    <row r="24" ht="25" customHeight="1" s="55">
      <c r="A24" s="57" t="n">
        <v>23</v>
      </c>
      <c r="B24" s="57" t="inlineStr">
        <is>
          <t>UKYT-26-014</t>
        </is>
      </c>
      <c r="C24" s="57" t="inlineStr">
        <is>
          <t>High tunnel</t>
        </is>
      </c>
      <c r="D24" s="59" t="n">
        <v>46244</v>
      </c>
      <c r="E24" s="57" t="inlineStr">
        <is>
          <t>Fifth</t>
        </is>
      </c>
      <c r="F24" s="57" t="n"/>
      <c r="G24" s="57" t="n"/>
      <c r="H24" s="57" t="n"/>
      <c r="I24" s="57" t="n"/>
      <c r="J24" s="57" t="n"/>
      <c r="K24" s="57" t="n"/>
      <c r="L24" s="58" t="inlineStr">
        <is>
          <t>N/A</t>
        </is>
      </c>
    </row>
    <row r="25" ht="25" customHeight="1" s="55">
      <c r="A25" s="57" t="n">
        <v>24</v>
      </c>
      <c r="B25" s="57" t="inlineStr">
        <is>
          <t>UKYT-26-015</t>
        </is>
      </c>
      <c r="C25" s="57" t="inlineStr">
        <is>
          <t>High tunnel</t>
        </is>
      </c>
      <c r="D25" s="59" t="n">
        <v>46244</v>
      </c>
      <c r="E25" s="57" t="inlineStr">
        <is>
          <t>Fifth</t>
        </is>
      </c>
      <c r="F25" s="57" t="n">
        <v>768</v>
      </c>
      <c r="G25" s="57" t="n">
        <v>2</v>
      </c>
      <c r="H25" s="57" t="n">
        <v>218</v>
      </c>
      <c r="I25" s="57" t="n">
        <v>2</v>
      </c>
      <c r="J25" s="57" t="n">
        <v>437</v>
      </c>
      <c r="K25" s="57" t="n">
        <v>3</v>
      </c>
      <c r="L25" s="58" t="inlineStr">
        <is>
          <t>N/A</t>
        </is>
      </c>
    </row>
    <row r="26" ht="25" customHeight="1" s="55">
      <c r="A26" s="57" t="n">
        <v>25</v>
      </c>
      <c r="B26" s="57" t="inlineStr">
        <is>
          <t>UKYT-26-016</t>
        </is>
      </c>
      <c r="C26" s="57" t="inlineStr">
        <is>
          <t>High tunnel</t>
        </is>
      </c>
      <c r="D26" s="59" t="n">
        <v>46244</v>
      </c>
      <c r="E26" s="57" t="inlineStr">
        <is>
          <t>Fifth</t>
        </is>
      </c>
      <c r="F26" s="57" t="n"/>
      <c r="G26" s="57" t="n"/>
      <c r="H26" s="57" t="n"/>
      <c r="I26" s="57" t="n"/>
      <c r="J26" s="57" t="n"/>
      <c r="K26" s="57" t="n"/>
      <c r="L26" s="58" t="inlineStr">
        <is>
          <t>N/A</t>
        </is>
      </c>
    </row>
    <row r="27" ht="25" customHeight="1" s="55">
      <c r="A27" s="57" t="n">
        <v>26</v>
      </c>
      <c r="B27" s="57" t="inlineStr">
        <is>
          <t>UKYT-26-017</t>
        </is>
      </c>
      <c r="C27" s="57" t="inlineStr">
        <is>
          <t>High tunnel</t>
        </is>
      </c>
      <c r="D27" s="59" t="n">
        <v>46244</v>
      </c>
      <c r="E27" s="57" t="inlineStr">
        <is>
          <t>Fifth</t>
        </is>
      </c>
      <c r="F27" s="57" t="n"/>
      <c r="G27" s="57" t="n"/>
      <c r="H27" s="57" t="n"/>
      <c r="I27" s="57" t="n"/>
      <c r="J27" s="57" t="n"/>
      <c r="K27" s="57" t="n"/>
      <c r="L27" s="58" t="inlineStr">
        <is>
          <t>N/A</t>
        </is>
      </c>
    </row>
    <row r="28" ht="25" customHeight="1" s="55">
      <c r="A28" s="57" t="n">
        <v>27</v>
      </c>
      <c r="B28" s="57" t="inlineStr">
        <is>
          <t>UKYT-26-018</t>
        </is>
      </c>
      <c r="C28" s="57" t="inlineStr">
        <is>
          <t>High tunnel</t>
        </is>
      </c>
      <c r="D28" s="59" t="n">
        <v>46244</v>
      </c>
      <c r="E28" s="57" t="inlineStr">
        <is>
          <t>Fifth</t>
        </is>
      </c>
      <c r="F28" s="57" t="n"/>
      <c r="G28" s="57" t="n"/>
      <c r="H28" s="57" t="n"/>
      <c r="I28" s="57" t="n"/>
      <c r="J28" s="57" t="n"/>
      <c r="K28" s="57" t="n"/>
      <c r="L28" s="58" t="inlineStr">
        <is>
          <t>N/A</t>
        </is>
      </c>
    </row>
    <row r="29" ht="25" customHeight="1" s="55">
      <c r="A29" s="57" t="n">
        <v>28</v>
      </c>
      <c r="B29" s="57" t="inlineStr">
        <is>
          <t>UKYT-26-019</t>
        </is>
      </c>
      <c r="C29" s="57" t="inlineStr">
        <is>
          <t>High tunnel</t>
        </is>
      </c>
      <c r="D29" s="59" t="n">
        <v>46244</v>
      </c>
      <c r="E29" s="57" t="inlineStr">
        <is>
          <t>Fifth</t>
        </is>
      </c>
      <c r="F29" s="57" t="n"/>
      <c r="G29" s="57" t="n"/>
      <c r="H29" s="57" t="n"/>
      <c r="I29" s="57" t="n"/>
      <c r="J29" s="57" t="n"/>
      <c r="K29" s="57" t="n"/>
      <c r="L29" s="58" t="inlineStr">
        <is>
          <t>N/A</t>
        </is>
      </c>
    </row>
    <row r="30" ht="25" customHeight="1" s="55">
      <c r="A30" s="57" t="n">
        <v>29</v>
      </c>
      <c r="B30" s="57" t="inlineStr">
        <is>
          <t>UKYT-26-020</t>
        </is>
      </c>
      <c r="C30" s="57" t="inlineStr">
        <is>
          <t>High tunnel</t>
        </is>
      </c>
      <c r="D30" s="59" t="n">
        <v>46244</v>
      </c>
      <c r="E30" s="57" t="inlineStr">
        <is>
          <t>Fifth</t>
        </is>
      </c>
      <c r="F30" s="57" t="n"/>
      <c r="G30" s="57" t="n"/>
      <c r="H30" s="57" t="n"/>
      <c r="I30" s="57" t="n"/>
      <c r="J30" s="57" t="n"/>
      <c r="K30" s="57" t="n"/>
      <c r="L30" s="58" t="inlineStr">
        <is>
          <t>N/A</t>
        </is>
      </c>
    </row>
    <row r="31" ht="25" customHeight="1" s="55">
      <c r="A31" s="57" t="n">
        <v>30</v>
      </c>
      <c r="B31" s="57" t="inlineStr">
        <is>
          <t>UKYT-26-021</t>
        </is>
      </c>
      <c r="C31" s="57" t="inlineStr">
        <is>
          <t>High tunnel</t>
        </is>
      </c>
      <c r="D31" s="59" t="n">
        <v>46244</v>
      </c>
      <c r="E31" s="57" t="inlineStr">
        <is>
          <t>Fifth</t>
        </is>
      </c>
      <c r="F31" s="57" t="n"/>
      <c r="G31" s="57" t="n"/>
      <c r="H31" s="57" t="n"/>
      <c r="I31" s="57" t="n"/>
      <c r="J31" s="57" t="n"/>
      <c r="K31" s="57" t="n"/>
      <c r="L31" s="58" t="inlineStr">
        <is>
          <t>N/A</t>
        </is>
      </c>
    </row>
    <row r="32" ht="25" customHeight="1" s="55">
      <c r="A32" s="57" t="n">
        <v>31</v>
      </c>
      <c r="B32" s="57" t="inlineStr">
        <is>
          <t>UKYT-26-022</t>
        </is>
      </c>
      <c r="C32" s="57" t="inlineStr">
        <is>
          <t>High tunnel</t>
        </is>
      </c>
      <c r="D32" s="59" t="n">
        <v>46244</v>
      </c>
      <c r="E32" s="57" t="inlineStr">
        <is>
          <t>Fifth</t>
        </is>
      </c>
      <c r="F32" s="57" t="n"/>
      <c r="G32" s="57" t="n"/>
      <c r="H32" s="57" t="n"/>
      <c r="I32" s="57" t="n"/>
      <c r="J32" s="57" t="n"/>
      <c r="K32" s="57" t="n"/>
      <c r="L32" s="58" t="inlineStr">
        <is>
          <t>N/A</t>
        </is>
      </c>
    </row>
    <row r="33" ht="25" customHeight="1" s="55">
      <c r="A33" s="57" t="n">
        <v>32</v>
      </c>
      <c r="B33" s="57" t="inlineStr">
        <is>
          <t>UKYT-26-023</t>
        </is>
      </c>
      <c r="C33" s="57" t="inlineStr">
        <is>
          <t>High tunnel</t>
        </is>
      </c>
      <c r="D33" s="59" t="n">
        <v>46244</v>
      </c>
      <c r="E33" s="57" t="inlineStr">
        <is>
          <t>Fifth</t>
        </is>
      </c>
      <c r="F33" s="57" t="n"/>
      <c r="G33" s="57" t="n"/>
      <c r="H33" s="57" t="n"/>
      <c r="I33" s="57" t="n"/>
      <c r="J33" s="57" t="n"/>
      <c r="K33" s="57" t="n"/>
      <c r="L33" s="58" t="inlineStr">
        <is>
          <t>N/A</t>
        </is>
      </c>
    </row>
    <row r="34" ht="25" customHeight="1" s="55">
      <c r="A34" s="57" t="n">
        <v>33</v>
      </c>
      <c r="B34" s="57" t="inlineStr">
        <is>
          <t>UKYT-26-024</t>
        </is>
      </c>
      <c r="C34" s="57" t="inlineStr">
        <is>
          <t>High tunnel</t>
        </is>
      </c>
      <c r="D34" s="59" t="n">
        <v>46244</v>
      </c>
      <c r="E34" s="57" t="inlineStr">
        <is>
          <t>Fifth</t>
        </is>
      </c>
      <c r="F34" s="57" t="n"/>
      <c r="G34" s="57" t="n"/>
      <c r="H34" s="57" t="n"/>
      <c r="I34" s="57" t="n"/>
      <c r="J34" s="57" t="n"/>
      <c r="K34" s="57" t="n"/>
      <c r="L34" s="58" t="inlineStr">
        <is>
          <t>N/A</t>
        </is>
      </c>
    </row>
    <row r="35" ht="25" customHeight="1" s="55">
      <c r="A35" s="57" t="n">
        <v>34</v>
      </c>
      <c r="B35" s="57" t="inlineStr">
        <is>
          <t>UKYT-26-025</t>
        </is>
      </c>
      <c r="C35" s="57" t="inlineStr">
        <is>
          <t>High tunnel</t>
        </is>
      </c>
      <c r="D35" s="59" t="n">
        <v>46244</v>
      </c>
      <c r="E35" s="57" t="inlineStr">
        <is>
          <t>Fifth</t>
        </is>
      </c>
      <c r="F35" s="57" t="n"/>
      <c r="G35" s="57" t="n"/>
      <c r="H35" s="57" t="n"/>
      <c r="I35" s="57" t="n"/>
      <c r="J35" s="57" t="n"/>
      <c r="K35" s="57" t="n"/>
      <c r="L35" s="58" t="inlineStr">
        <is>
          <t>N/A</t>
        </is>
      </c>
    </row>
    <row r="36" ht="25" customHeight="1" s="55">
      <c r="A36" s="57" t="n">
        <v>35</v>
      </c>
      <c r="B36" s="57" t="inlineStr">
        <is>
          <t>UKYT-26-026</t>
        </is>
      </c>
      <c r="C36" s="57" t="inlineStr">
        <is>
          <t>High tunnel</t>
        </is>
      </c>
      <c r="D36" s="59" t="n">
        <v>46244</v>
      </c>
      <c r="E36" s="57" t="inlineStr">
        <is>
          <t>Fifth</t>
        </is>
      </c>
      <c r="F36" s="57" t="n"/>
      <c r="G36" s="57" t="n"/>
      <c r="H36" s="57" t="n"/>
      <c r="I36" s="57" t="n"/>
      <c r="J36" s="57" t="n"/>
      <c r="K36" s="57" t="n"/>
      <c r="L36" s="58" t="inlineStr">
        <is>
          <t>N/A</t>
        </is>
      </c>
    </row>
    <row r="37" ht="25" customHeight="1" s="55">
      <c r="A37" s="57" t="n">
        <v>36</v>
      </c>
      <c r="B37" s="57" t="inlineStr">
        <is>
          <t>UKYT-26-027</t>
        </is>
      </c>
      <c r="C37" s="57" t="inlineStr">
        <is>
          <t>High tunnel</t>
        </is>
      </c>
      <c r="D37" s="59" t="n">
        <v>46244</v>
      </c>
      <c r="E37" s="57" t="inlineStr">
        <is>
          <t>Fifth</t>
        </is>
      </c>
      <c r="F37" s="57" t="n"/>
      <c r="G37" s="57" t="n"/>
      <c r="H37" s="57" t="n"/>
      <c r="I37" s="57" t="n"/>
      <c r="J37" s="57" t="n"/>
      <c r="K37" s="57" t="n"/>
      <c r="L37" s="58" t="inlineStr">
        <is>
          <t>N/A</t>
        </is>
      </c>
    </row>
    <row r="38" ht="25" customHeight="1" s="55">
      <c r="A38" s="57" t="n">
        <v>37</v>
      </c>
      <c r="B38" s="57" t="inlineStr">
        <is>
          <t>UKYT-26-028</t>
        </is>
      </c>
      <c r="C38" s="57" t="inlineStr">
        <is>
          <t>High tunnel</t>
        </is>
      </c>
      <c r="D38" s="59" t="n">
        <v>46244</v>
      </c>
      <c r="E38" s="57" t="inlineStr">
        <is>
          <t>Fifth</t>
        </is>
      </c>
      <c r="F38" s="57" t="n"/>
      <c r="G38" s="57" t="n"/>
      <c r="H38" s="57" t="n"/>
      <c r="I38" s="57" t="n"/>
      <c r="J38" s="57" t="n"/>
      <c r="K38" s="57" t="n"/>
      <c r="L38" s="58" t="inlineStr">
        <is>
          <t>N/A</t>
        </is>
      </c>
    </row>
    <row r="39" ht="25" customHeight="1" s="55">
      <c r="A39" s="57" t="n">
        <v>38</v>
      </c>
      <c r="B39" s="57" t="inlineStr">
        <is>
          <t>UKYT-26-029</t>
        </is>
      </c>
      <c r="C39" s="57" t="inlineStr">
        <is>
          <t>High tunnel</t>
        </is>
      </c>
      <c r="D39" s="59" t="n">
        <v>46244</v>
      </c>
      <c r="E39" s="57" t="inlineStr">
        <is>
          <t>Fifth</t>
        </is>
      </c>
      <c r="F39" s="57" t="n"/>
      <c r="G39" s="57" t="n"/>
      <c r="H39" s="57" t="n"/>
      <c r="I39" s="57" t="n"/>
      <c r="J39" s="57" t="n"/>
      <c r="K39" s="57" t="n"/>
      <c r="L39" s="58" t="inlineStr">
        <is>
          <t>N/A</t>
        </is>
      </c>
    </row>
    <row r="40" ht="25" customHeight="1" s="55">
      <c r="A40" s="57" t="n">
        <v>39</v>
      </c>
      <c r="B40" s="57" t="inlineStr">
        <is>
          <t>UKYT-26-030</t>
        </is>
      </c>
      <c r="C40" s="57" t="inlineStr">
        <is>
          <t>High tunnel</t>
        </is>
      </c>
      <c r="D40" s="59" t="n">
        <v>46244</v>
      </c>
      <c r="E40" s="57" t="inlineStr">
        <is>
          <t>Fifth</t>
        </is>
      </c>
      <c r="F40" s="57" t="n"/>
      <c r="G40" s="57" t="n"/>
      <c r="H40" s="57" t="n"/>
      <c r="I40" s="57" t="n"/>
      <c r="J40" s="57" t="n"/>
      <c r="K40" s="57" t="n"/>
      <c r="L40" s="58" t="inlineStr">
        <is>
          <t>N/A</t>
        </is>
      </c>
    </row>
    <row r="41" ht="25" customHeight="1" s="55">
      <c r="A41" s="57" t="n">
        <v>40</v>
      </c>
      <c r="B41" s="57" t="inlineStr">
        <is>
          <t>UKYT-26-031</t>
        </is>
      </c>
      <c r="C41" s="57" t="inlineStr">
        <is>
          <t>High tunnel</t>
        </is>
      </c>
      <c r="D41" s="59" t="n">
        <v>46244</v>
      </c>
      <c r="E41" s="57" t="inlineStr">
        <is>
          <t>Fifth</t>
        </is>
      </c>
      <c r="F41" s="57" t="n"/>
      <c r="G41" s="57" t="n"/>
      <c r="H41" s="57" t="n"/>
      <c r="I41" s="57" t="n"/>
      <c r="J41" s="57" t="n"/>
      <c r="K41" s="57" t="n"/>
      <c r="L41" s="58" t="inlineStr">
        <is>
          <t>N/A</t>
        </is>
      </c>
    </row>
    <row r="42" ht="25" customHeight="1" s="55">
      <c r="A42" s="57" t="n">
        <v>41</v>
      </c>
      <c r="B42" s="57" t="inlineStr">
        <is>
          <t>UKYT-26-032</t>
        </is>
      </c>
      <c r="C42" s="57" t="inlineStr">
        <is>
          <t>High tunnel</t>
        </is>
      </c>
      <c r="D42" s="59" t="n">
        <v>46244</v>
      </c>
      <c r="E42" s="57" t="inlineStr">
        <is>
          <t>Fifth</t>
        </is>
      </c>
      <c r="F42" s="57" t="n"/>
      <c r="G42" s="57" t="n"/>
      <c r="H42" s="57" t="n"/>
      <c r="I42" s="57" t="n"/>
      <c r="J42" s="57" t="n"/>
      <c r="K42" s="57" t="n"/>
      <c r="L42" s="58" t="inlineStr">
        <is>
          <t>N/A</t>
        </is>
      </c>
    </row>
    <row r="43" ht="25" customHeight="1" s="55">
      <c r="A43" s="57" t="n">
        <v>42</v>
      </c>
      <c r="B43" s="57" t="inlineStr">
        <is>
          <t>UKYT-26-033</t>
        </is>
      </c>
      <c r="C43" s="57" t="inlineStr">
        <is>
          <t>High tunnel</t>
        </is>
      </c>
      <c r="D43" s="59" t="n">
        <v>46244</v>
      </c>
      <c r="E43" s="57" t="inlineStr">
        <is>
          <t>Fifth</t>
        </is>
      </c>
      <c r="F43" s="57" t="n"/>
      <c r="G43" s="57" t="n"/>
      <c r="H43" s="57" t="n"/>
      <c r="I43" s="57" t="n"/>
      <c r="J43" s="57" t="n"/>
      <c r="K43" s="57" t="n"/>
      <c r="L43" s="58" t="inlineStr">
        <is>
          <t>N/A</t>
        </is>
      </c>
    </row>
    <row r="44" ht="25" customHeight="1" s="55">
      <c r="A44" s="57" t="n">
        <v>43</v>
      </c>
      <c r="B44" s="57" t="inlineStr">
        <is>
          <t>UKYT-26-034</t>
        </is>
      </c>
      <c r="C44" s="57" t="inlineStr">
        <is>
          <t>High tunnel</t>
        </is>
      </c>
      <c r="D44" s="59" t="n">
        <v>46244</v>
      </c>
      <c r="E44" s="57" t="inlineStr">
        <is>
          <t>Fifth</t>
        </is>
      </c>
      <c r="F44" s="57" t="n"/>
      <c r="G44" s="57" t="n"/>
      <c r="H44" s="57" t="n"/>
      <c r="I44" s="57" t="n"/>
      <c r="J44" s="57" t="n"/>
      <c r="K44" s="57" t="n"/>
      <c r="L44" s="58" t="inlineStr">
        <is>
          <t>N/A</t>
        </is>
      </c>
    </row>
    <row r="45" ht="25" customHeight="1" s="55">
      <c r="A45" s="57" t="n">
        <v>44</v>
      </c>
      <c r="B45" s="57" t="inlineStr">
        <is>
          <t>UKYT-26-035</t>
        </is>
      </c>
      <c r="C45" s="57" t="inlineStr">
        <is>
          <t>High tunnel</t>
        </is>
      </c>
      <c r="D45" s="59" t="n">
        <v>46244</v>
      </c>
      <c r="E45" s="57" t="inlineStr">
        <is>
          <t>Fifth</t>
        </is>
      </c>
      <c r="F45" s="57" t="n"/>
      <c r="G45" s="57" t="n"/>
      <c r="H45" s="57" t="n"/>
      <c r="I45" s="57" t="n"/>
      <c r="J45" s="57" t="n"/>
      <c r="K45" s="57" t="n"/>
      <c r="L45" s="58" t="inlineStr">
        <is>
          <t>N/A</t>
        </is>
      </c>
    </row>
    <row r="46" ht="25" customHeight="1" s="55">
      <c r="A46" s="57" t="n">
        <v>45</v>
      </c>
      <c r="B46" s="57" t="inlineStr">
        <is>
          <t>UKYT-26-036</t>
        </is>
      </c>
      <c r="C46" s="57" t="inlineStr">
        <is>
          <t>High tunnel</t>
        </is>
      </c>
      <c r="D46" s="59" t="n">
        <v>46244</v>
      </c>
      <c r="E46" s="57" t="inlineStr">
        <is>
          <t>Fifth</t>
        </is>
      </c>
      <c r="F46" s="57" t="n"/>
      <c r="G46" s="57" t="n"/>
      <c r="H46" s="57" t="n"/>
      <c r="I46" s="57" t="n"/>
      <c r="J46" s="57" t="n"/>
      <c r="K46" s="57" t="n"/>
      <c r="L46" s="58" t="inlineStr">
        <is>
          <t>N/A</t>
        </is>
      </c>
    </row>
    <row r="47" ht="25" customHeight="1" s="55">
      <c r="A47" s="57" t="n">
        <v>46</v>
      </c>
      <c r="B47" s="57" t="inlineStr">
        <is>
          <t>UKYT-26-037</t>
        </is>
      </c>
      <c r="C47" s="57" t="inlineStr">
        <is>
          <t>High tunnel</t>
        </is>
      </c>
      <c r="D47" s="59" t="n">
        <v>46244</v>
      </c>
      <c r="E47" s="57" t="inlineStr">
        <is>
          <t>Fifth</t>
        </is>
      </c>
      <c r="F47" s="57" t="n"/>
      <c r="G47" s="57" t="n"/>
      <c r="H47" s="57" t="n"/>
      <c r="I47" s="57" t="n"/>
      <c r="J47" s="57" t="n"/>
      <c r="K47" s="57" t="n"/>
      <c r="L47" s="58" t="inlineStr">
        <is>
          <t>N/A</t>
        </is>
      </c>
    </row>
    <row r="48" ht="25" customHeight="1" s="55">
      <c r="A48" s="57" t="n">
        <v>47</v>
      </c>
      <c r="B48" s="57" t="inlineStr">
        <is>
          <t>UKYT-26-038</t>
        </is>
      </c>
      <c r="C48" s="57" t="inlineStr">
        <is>
          <t>High tunnel</t>
        </is>
      </c>
      <c r="D48" s="59" t="n">
        <v>46244</v>
      </c>
      <c r="E48" s="57" t="inlineStr">
        <is>
          <t>Fifth</t>
        </is>
      </c>
      <c r="F48" s="57" t="n"/>
      <c r="G48" s="57" t="n"/>
      <c r="H48" s="57" t="n"/>
      <c r="I48" s="57" t="n"/>
      <c r="J48" s="57" t="n"/>
      <c r="K48" s="57" t="n"/>
      <c r="L48" s="58" t="inlineStr">
        <is>
          <t>N/A</t>
        </is>
      </c>
    </row>
    <row r="49" ht="25" customHeight="1" s="55">
      <c r="A49" s="57" t="n">
        <v>48</v>
      </c>
      <c r="B49" s="57" t="inlineStr">
        <is>
          <t>UKYT-26-039</t>
        </is>
      </c>
      <c r="C49" s="57" t="inlineStr">
        <is>
          <t>High tunnel</t>
        </is>
      </c>
      <c r="D49" s="59" t="n">
        <v>46244</v>
      </c>
      <c r="E49" s="57" t="inlineStr">
        <is>
          <t>Fifth</t>
        </is>
      </c>
      <c r="F49" s="57" t="n"/>
      <c r="G49" s="57" t="n"/>
      <c r="H49" s="57" t="n"/>
      <c r="I49" s="57" t="n"/>
      <c r="J49" s="57" t="n"/>
      <c r="K49" s="57" t="n"/>
      <c r="L49" s="58" t="inlineStr">
        <is>
          <t>N/A</t>
        </is>
      </c>
    </row>
    <row r="50" ht="25" customHeight="1" s="55">
      <c r="A50" s="57" t="n">
        <v>49</v>
      </c>
      <c r="B50" s="57" t="inlineStr">
        <is>
          <t>Mountain Fresh</t>
        </is>
      </c>
      <c r="C50" s="57" t="inlineStr">
        <is>
          <t>High tunnel</t>
        </is>
      </c>
      <c r="D50" s="59" t="n">
        <v>46244</v>
      </c>
      <c r="E50" s="57" t="inlineStr">
        <is>
          <t>Fifth</t>
        </is>
      </c>
      <c r="F50" s="57" t="n">
        <v>1044</v>
      </c>
      <c r="G50" s="57" t="n">
        <v>4</v>
      </c>
      <c r="H50" s="57" t="n">
        <v>1038</v>
      </c>
      <c r="I50" s="57" t="n">
        <v>5</v>
      </c>
      <c r="J50" s="57" t="n">
        <v>358</v>
      </c>
      <c r="K50" s="57" t="n">
        <v>2</v>
      </c>
      <c r="L50" s="58" t="inlineStr">
        <is>
          <t>N/A</t>
        </is>
      </c>
    </row>
    <row r="51" ht="25" customHeight="1" s="55">
      <c r="A51" s="57" t="n">
        <v>50</v>
      </c>
      <c r="B51" s="57" t="inlineStr">
        <is>
          <t>BHN589</t>
        </is>
      </c>
      <c r="C51" s="57" t="inlineStr">
        <is>
          <t>High tunnel</t>
        </is>
      </c>
      <c r="D51" s="59" t="n">
        <v>46244</v>
      </c>
      <c r="E51" s="57" t="inlineStr">
        <is>
          <t>Fifth</t>
        </is>
      </c>
      <c r="F51" s="57" t="n"/>
      <c r="G51" s="57" t="n"/>
      <c r="H51" s="57" t="n"/>
      <c r="I51" s="57" t="n"/>
      <c r="J51" s="57" t="n"/>
      <c r="K51" s="57" t="n"/>
      <c r="L51" s="58" t="inlineStr">
        <is>
          <t>N/A</t>
        </is>
      </c>
    </row>
  </sheetData>
  <autoFilter ref="A1:L51"/>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24"/>
  <sheetViews>
    <sheetView showGridLines="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13" customWidth="1" style="55" min="2" max="2"/>
    <col width="13" customWidth="1" style="55" min="3" max="3"/>
    <col width="21" customWidth="1" style="55" min="4" max="4"/>
    <col width="9" customWidth="1" style="55" min="5" max="5"/>
    <col width="29" customWidth="1" style="55" min="6" max="6"/>
    <col width="29" customWidth="1" style="55" min="7" max="7"/>
    <col width="29" customWidth="1" style="55" min="8" max="8"/>
    <col width="29" customWidth="1" style="55" min="9" max="9"/>
    <col width="24" customWidth="1" style="55" min="10" max="10"/>
    <col width="24" customWidth="1" style="55" min="11" max="11"/>
    <col width="11" customWidth="1" style="55" min="12" max="12"/>
  </cols>
  <sheetData>
    <row r="1" ht="18" customHeight="1" s="55">
      <c r="A1" s="56" t="inlineStr">
        <is>
          <t>SN</t>
        </is>
      </c>
      <c r="B1" s="56" t="inlineStr">
        <is>
          <t>Genotypes</t>
        </is>
      </c>
      <c r="C1" s="56" t="inlineStr">
        <is>
          <t>Location</t>
        </is>
      </c>
      <c r="D1" s="56" t="inlineStr">
        <is>
          <t>Date of harvest</t>
        </is>
      </c>
      <c r="E1" s="56" t="inlineStr">
        <is>
          <t>Harvest</t>
        </is>
      </c>
      <c r="F1" s="56" t="inlineStr">
        <is>
          <t>Grade 1 Marketable (weight)</t>
        </is>
      </c>
      <c r="G1" s="56" t="inlineStr">
        <is>
          <t>Grade 1 Marketable (counts)</t>
        </is>
      </c>
      <c r="H1" s="56" t="inlineStr">
        <is>
          <t>Grade 2 Marketable (weight)</t>
        </is>
      </c>
      <c r="I1" s="56" t="inlineStr">
        <is>
          <t>Grade 2 Marketable (counts)</t>
        </is>
      </c>
      <c r="J1" s="56" t="inlineStr">
        <is>
          <t>Unmarketables (weight)</t>
        </is>
      </c>
      <c r="K1" s="56" t="inlineStr">
        <is>
          <t>Unmarketables (counts)</t>
        </is>
      </c>
      <c r="L1" s="56" t="inlineStr">
        <is>
          <t>Replicate</t>
        </is>
      </c>
    </row>
    <row r="2" ht="25" customHeight="1" s="55">
      <c r="A2" s="57" t="n">
        <v>1</v>
      </c>
      <c r="B2" s="57" t="inlineStr">
        <is>
          <t>UKYT-26-032</t>
        </is>
      </c>
      <c r="C2" s="57" t="inlineStr">
        <is>
          <t>High tunnel</t>
        </is>
      </c>
      <c r="D2" s="59" t="n">
        <v>46252</v>
      </c>
      <c r="E2" s="57" t="inlineStr">
        <is>
          <t>Sixth</t>
        </is>
      </c>
      <c r="F2" s="57" t="n">
        <v>2444</v>
      </c>
      <c r="G2" s="57" t="n">
        <v>15</v>
      </c>
      <c r="H2" s="57" t="n"/>
      <c r="I2" s="57" t="n"/>
      <c r="J2" s="57" t="n"/>
      <c r="K2" s="57" t="n"/>
      <c r="L2" s="58" t="inlineStr">
        <is>
          <t>N/A</t>
        </is>
      </c>
    </row>
    <row r="3" ht="25" customHeight="1" s="55">
      <c r="A3" s="57" t="n">
        <v>2</v>
      </c>
      <c r="B3" s="57" t="inlineStr">
        <is>
          <t>UKYT-26-039</t>
        </is>
      </c>
      <c r="C3" s="57" t="inlineStr">
        <is>
          <t>High tunnel</t>
        </is>
      </c>
      <c r="D3" s="59" t="n">
        <v>46252</v>
      </c>
      <c r="E3" s="57" t="inlineStr">
        <is>
          <t>Sixth</t>
        </is>
      </c>
      <c r="F3" s="57" t="n">
        <v>1280</v>
      </c>
      <c r="G3" s="57" t="n">
        <v>6</v>
      </c>
      <c r="H3" s="57" t="n"/>
      <c r="I3" s="57" t="n"/>
      <c r="J3" s="57" t="n"/>
      <c r="K3" s="57" t="n"/>
      <c r="L3" s="58" t="inlineStr">
        <is>
          <t>N/A</t>
        </is>
      </c>
    </row>
    <row r="4" ht="25" customHeight="1" s="55">
      <c r="A4" s="57" t="n">
        <v>3</v>
      </c>
      <c r="B4" s="57" t="inlineStr">
        <is>
          <t>UKYT-26-038</t>
        </is>
      </c>
      <c r="C4" s="57" t="inlineStr">
        <is>
          <t>High tunnel</t>
        </is>
      </c>
      <c r="D4" s="59" t="n">
        <v>46252</v>
      </c>
      <c r="E4" s="57" t="inlineStr">
        <is>
          <t>Sixth</t>
        </is>
      </c>
      <c r="F4" s="57" t="n">
        <v>1351</v>
      </c>
      <c r="G4" s="57" t="n">
        <v>7</v>
      </c>
      <c r="H4" s="57" t="n"/>
      <c r="I4" s="57" t="n"/>
      <c r="J4" s="57" t="n"/>
      <c r="K4" s="57" t="n"/>
      <c r="L4" s="58" t="inlineStr">
        <is>
          <t>N/A</t>
        </is>
      </c>
    </row>
    <row r="5" ht="25" customHeight="1" s="55">
      <c r="A5" s="57" t="n">
        <v>4</v>
      </c>
      <c r="B5" s="57" t="inlineStr">
        <is>
          <t>UKYT-26-037</t>
        </is>
      </c>
      <c r="C5" s="57" t="inlineStr">
        <is>
          <t>High tunnel</t>
        </is>
      </c>
      <c r="D5" s="59" t="n">
        <v>46252</v>
      </c>
      <c r="E5" s="57" t="inlineStr">
        <is>
          <t>Sixth</t>
        </is>
      </c>
      <c r="F5" s="57" t="n">
        <v>657</v>
      </c>
      <c r="G5" s="57" t="n">
        <v>4</v>
      </c>
      <c r="H5" s="57" t="n"/>
      <c r="I5" s="57" t="n"/>
      <c r="J5" s="57" t="n"/>
      <c r="K5" s="57" t="n"/>
      <c r="L5" s="58" t="inlineStr">
        <is>
          <t>N/A</t>
        </is>
      </c>
    </row>
    <row r="6" ht="25" customHeight="1" s="55">
      <c r="A6" s="57" t="n">
        <v>5</v>
      </c>
      <c r="B6" s="57" t="inlineStr">
        <is>
          <t>UKYT-26-017</t>
        </is>
      </c>
      <c r="C6" s="57" t="inlineStr">
        <is>
          <t>High tunnel</t>
        </is>
      </c>
      <c r="D6" s="59" t="n">
        <v>46252</v>
      </c>
      <c r="E6" s="57" t="inlineStr">
        <is>
          <t>Sixth</t>
        </is>
      </c>
      <c r="F6" s="57" t="n">
        <v>902</v>
      </c>
      <c r="G6" s="57" t="n">
        <v>3</v>
      </c>
      <c r="H6" s="57" t="n">
        <v>644</v>
      </c>
      <c r="I6" s="57" t="n">
        <v>2</v>
      </c>
      <c r="J6" s="57" t="n"/>
      <c r="K6" s="57" t="n"/>
      <c r="L6" s="58" t="inlineStr">
        <is>
          <t>N/A</t>
        </is>
      </c>
    </row>
    <row r="7" ht="25" customHeight="1" s="55">
      <c r="A7" s="57" t="n">
        <v>6</v>
      </c>
      <c r="B7" s="57" t="inlineStr">
        <is>
          <t>UKYT-26-016</t>
        </is>
      </c>
      <c r="C7" s="57" t="inlineStr">
        <is>
          <t>High tunnel</t>
        </is>
      </c>
      <c r="D7" s="59" t="n">
        <v>46252</v>
      </c>
      <c r="E7" s="57" t="inlineStr">
        <is>
          <t>Sixth</t>
        </is>
      </c>
      <c r="F7" s="57" t="n">
        <v>1048</v>
      </c>
      <c r="G7" s="57" t="n">
        <v>4</v>
      </c>
      <c r="H7" s="57" t="n">
        <v>457</v>
      </c>
      <c r="I7" s="57" t="n">
        <v>2</v>
      </c>
      <c r="J7" s="57" t="n"/>
      <c r="K7" s="57" t="n"/>
      <c r="L7" s="58" t="inlineStr">
        <is>
          <t>N/A</t>
        </is>
      </c>
    </row>
    <row r="8" ht="25" customHeight="1" s="55">
      <c r="A8" s="57" t="n">
        <v>7</v>
      </c>
      <c r="B8" s="57" t="inlineStr">
        <is>
          <t>UKYT-26-018</t>
        </is>
      </c>
      <c r="C8" s="57" t="inlineStr">
        <is>
          <t>High tunnel</t>
        </is>
      </c>
      <c r="D8" s="59" t="n">
        <v>46252</v>
      </c>
      <c r="E8" s="57" t="inlineStr">
        <is>
          <t>Sixth</t>
        </is>
      </c>
      <c r="F8" s="57" t="n">
        <v>219</v>
      </c>
      <c r="G8" s="57" t="n">
        <v>1</v>
      </c>
      <c r="H8" s="57" t="n">
        <v>1137</v>
      </c>
      <c r="I8" s="57" t="n">
        <v>6</v>
      </c>
      <c r="J8" s="57" t="n"/>
      <c r="K8" s="57" t="n"/>
      <c r="L8" s="58" t="inlineStr">
        <is>
          <t>N/A</t>
        </is>
      </c>
    </row>
    <row r="9" ht="25" customHeight="1" s="55">
      <c r="A9" s="57" t="n">
        <v>8</v>
      </c>
      <c r="B9" s="57" t="inlineStr">
        <is>
          <t>UKYT-26-024</t>
        </is>
      </c>
      <c r="C9" s="57" t="inlineStr">
        <is>
          <t>High tunnel</t>
        </is>
      </c>
      <c r="D9" s="59" t="n">
        <v>46252</v>
      </c>
      <c r="E9" s="57" t="inlineStr">
        <is>
          <t>Sixth</t>
        </is>
      </c>
      <c r="F9" s="57" t="n">
        <v>309</v>
      </c>
      <c r="G9" s="57" t="n">
        <v>1</v>
      </c>
      <c r="H9" s="57" t="n"/>
      <c r="I9" s="57" t="n"/>
      <c r="J9" s="57" t="n">
        <v>1558</v>
      </c>
      <c r="K9" s="57" t="n">
        <v>6</v>
      </c>
      <c r="L9" s="58" t="inlineStr">
        <is>
          <t>N/A</t>
        </is>
      </c>
    </row>
    <row r="10" ht="25" customHeight="1" s="55">
      <c r="A10" s="57" t="n">
        <v>9</v>
      </c>
      <c r="B10" s="57" t="inlineStr">
        <is>
          <t>UKYT-26-019</t>
        </is>
      </c>
      <c r="C10" s="57" t="inlineStr">
        <is>
          <t>High tunnel</t>
        </is>
      </c>
      <c r="D10" s="59" t="n">
        <v>46252</v>
      </c>
      <c r="E10" s="57" t="inlineStr">
        <is>
          <t>Sixth</t>
        </is>
      </c>
      <c r="F10" s="57" t="n">
        <v>458</v>
      </c>
      <c r="G10" s="57" t="n">
        <v>1</v>
      </c>
      <c r="H10" s="57" t="n"/>
      <c r="I10" s="57" t="n"/>
      <c r="J10" s="57" t="n">
        <v>573</v>
      </c>
      <c r="K10" s="57" t="n">
        <v>2</v>
      </c>
      <c r="L10" s="58" t="inlineStr">
        <is>
          <t>N/A</t>
        </is>
      </c>
    </row>
    <row r="11" ht="25" customHeight="1" s="55">
      <c r="A11" s="57" t="n">
        <v>10</v>
      </c>
      <c r="B11" s="57" t="inlineStr">
        <is>
          <t>UKYT-26-020</t>
        </is>
      </c>
      <c r="C11" s="57" t="inlineStr">
        <is>
          <t>High tunnel</t>
        </is>
      </c>
      <c r="D11" s="59" t="n">
        <v>46252</v>
      </c>
      <c r="E11" s="57" t="inlineStr">
        <is>
          <t>Sixth</t>
        </is>
      </c>
      <c r="F11" s="57" t="n">
        <v>510</v>
      </c>
      <c r="G11" s="57" t="n">
        <v>2</v>
      </c>
      <c r="H11" s="57" t="n">
        <v>679</v>
      </c>
      <c r="I11" s="57" t="n">
        <v>3</v>
      </c>
      <c r="J11" s="57" t="n"/>
      <c r="K11" s="57" t="n"/>
      <c r="L11" s="58" t="inlineStr">
        <is>
          <t>N/A</t>
        </is>
      </c>
    </row>
    <row r="12" ht="25" customHeight="1" s="55">
      <c r="A12" s="57" t="n">
        <v>11</v>
      </c>
      <c r="B12" s="57" t="inlineStr">
        <is>
          <t>UKYT-26-023</t>
        </is>
      </c>
      <c r="C12" s="57" t="inlineStr">
        <is>
          <t>High tunnel</t>
        </is>
      </c>
      <c r="D12" s="59" t="n">
        <v>46252</v>
      </c>
      <c r="E12" s="57" t="inlineStr">
        <is>
          <t>Sixth</t>
        </is>
      </c>
      <c r="F12" s="57" t="n">
        <v>281</v>
      </c>
      <c r="G12" s="57" t="n">
        <v>1</v>
      </c>
      <c r="H12" s="57" t="n">
        <v>379</v>
      </c>
      <c r="I12" s="57" t="n">
        <v>1</v>
      </c>
      <c r="J12" s="57" t="n"/>
      <c r="K12" s="57" t="n"/>
      <c r="L12" s="58" t="inlineStr">
        <is>
          <t>N/A</t>
        </is>
      </c>
    </row>
    <row r="13" ht="25" customHeight="1" s="55">
      <c r="A13" s="57" t="n">
        <v>12</v>
      </c>
      <c r="B13" s="57" t="inlineStr">
        <is>
          <t>UKYT-26-022</t>
        </is>
      </c>
      <c r="C13" s="57" t="inlineStr">
        <is>
          <t>High tunnel</t>
        </is>
      </c>
      <c r="D13" s="59" t="n">
        <v>46252</v>
      </c>
      <c r="E13" s="57" t="inlineStr">
        <is>
          <t>Sixth</t>
        </is>
      </c>
      <c r="F13" s="57" t="n">
        <v>1142</v>
      </c>
      <c r="G13" s="57" t="n">
        <v>3</v>
      </c>
      <c r="H13" s="57" t="n"/>
      <c r="I13" s="57" t="n"/>
      <c r="J13" s="57" t="n">
        <v>631</v>
      </c>
      <c r="K13" s="57" t="n">
        <v>2</v>
      </c>
      <c r="L13" s="58" t="inlineStr">
        <is>
          <t>N/A</t>
        </is>
      </c>
    </row>
    <row r="14" ht="25" customHeight="1" s="55">
      <c r="A14" s="57" t="n">
        <v>13</v>
      </c>
      <c r="B14" s="57" t="inlineStr">
        <is>
          <t>UKYT-26-027</t>
        </is>
      </c>
      <c r="C14" s="57" t="inlineStr">
        <is>
          <t>High tunnel</t>
        </is>
      </c>
      <c r="D14" s="59" t="n">
        <v>46252</v>
      </c>
      <c r="E14" s="57" t="inlineStr">
        <is>
          <t>Sixth</t>
        </is>
      </c>
      <c r="F14" s="57" t="n">
        <v>278</v>
      </c>
      <c r="G14" s="57" t="n">
        <v>1</v>
      </c>
      <c r="H14" s="57" t="n"/>
      <c r="I14" s="57" t="n"/>
      <c r="J14" s="57" t="n"/>
      <c r="K14" s="57" t="n"/>
      <c r="L14" s="58" t="inlineStr">
        <is>
          <t>N/A</t>
        </is>
      </c>
    </row>
    <row r="15" ht="25" customHeight="1" s="55">
      <c r="A15" s="57" t="n">
        <v>14</v>
      </c>
      <c r="B15" s="57" t="inlineStr">
        <is>
          <t>BHN589</t>
        </is>
      </c>
      <c r="C15" s="57" t="inlineStr">
        <is>
          <t>High tunnel</t>
        </is>
      </c>
      <c r="D15" s="59" t="n">
        <v>46252</v>
      </c>
      <c r="E15" s="57" t="inlineStr">
        <is>
          <t>Sixth</t>
        </is>
      </c>
      <c r="F15" s="57" t="n">
        <v>1055</v>
      </c>
      <c r="G15" s="57" t="n">
        <v>5</v>
      </c>
      <c r="H15" s="57" t="n"/>
      <c r="I15" s="57" t="n"/>
      <c r="J15" s="57" t="n">
        <v>206</v>
      </c>
      <c r="K15" s="57" t="n">
        <v>1</v>
      </c>
      <c r="L15" s="58" t="inlineStr">
        <is>
          <t>N/A</t>
        </is>
      </c>
    </row>
    <row r="16" ht="25" customHeight="1" s="55">
      <c r="A16" s="57" t="n">
        <v>15</v>
      </c>
      <c r="B16" s="57" t="inlineStr">
        <is>
          <t>UKYT-26-026</t>
        </is>
      </c>
      <c r="C16" s="57" t="inlineStr">
        <is>
          <t>High tunnel</t>
        </is>
      </c>
      <c r="D16" s="59" t="n">
        <v>46252</v>
      </c>
      <c r="E16" s="57" t="inlineStr">
        <is>
          <t>Sixth</t>
        </is>
      </c>
      <c r="F16" s="57" t="n">
        <v>1196</v>
      </c>
      <c r="G16" s="57" t="n">
        <v>3</v>
      </c>
      <c r="H16" s="57" t="n"/>
      <c r="I16" s="57" t="n"/>
      <c r="J16" s="57" t="n">
        <v>1474</v>
      </c>
      <c r="K16" s="57" t="n">
        <v>4</v>
      </c>
      <c r="L16" s="58" t="inlineStr">
        <is>
          <t>N/A</t>
        </is>
      </c>
    </row>
    <row r="17" ht="25" customHeight="1" s="55">
      <c r="A17" s="57" t="n">
        <v>16</v>
      </c>
      <c r="B17" s="57" t="inlineStr">
        <is>
          <t>UKYT-26-033</t>
        </is>
      </c>
      <c r="C17" s="57" t="inlineStr">
        <is>
          <t>High tunnel</t>
        </is>
      </c>
      <c r="D17" s="59" t="n">
        <v>46252</v>
      </c>
      <c r="E17" s="57" t="inlineStr">
        <is>
          <t>Sixth</t>
        </is>
      </c>
      <c r="F17" s="57" t="n">
        <v>982</v>
      </c>
      <c r="G17" s="57" t="n">
        <v>8</v>
      </c>
      <c r="H17" s="57" t="n">
        <v>672</v>
      </c>
      <c r="I17" s="57" t="n">
        <v>4</v>
      </c>
      <c r="J17" s="57" t="n">
        <v>626</v>
      </c>
      <c r="K17" s="57" t="n">
        <v>6</v>
      </c>
      <c r="L17" s="58" t="inlineStr">
        <is>
          <t>N/A</t>
        </is>
      </c>
    </row>
    <row r="18" ht="25" customHeight="1" s="55">
      <c r="A18" s="57" t="n">
        <v>17</v>
      </c>
      <c r="B18" s="57" t="inlineStr">
        <is>
          <t>UKYT-26-028</t>
        </is>
      </c>
      <c r="C18" s="57" t="inlineStr">
        <is>
          <t>High tunnel</t>
        </is>
      </c>
      <c r="D18" s="59" t="n">
        <v>46252</v>
      </c>
      <c r="E18" s="57" t="inlineStr">
        <is>
          <t>Sixth</t>
        </is>
      </c>
      <c r="F18" s="57" t="n">
        <v>392</v>
      </c>
      <c r="G18" s="57" t="n">
        <v>2</v>
      </c>
      <c r="H18" s="57" t="n"/>
      <c r="I18" s="57" t="n"/>
      <c r="J18" s="57" t="n">
        <v>386</v>
      </c>
      <c r="K18" s="57" t="n">
        <v>2</v>
      </c>
      <c r="L18" s="58" t="inlineStr">
        <is>
          <t>N/A</t>
        </is>
      </c>
    </row>
    <row r="19" ht="25" customHeight="1" s="55">
      <c r="A19" s="57" t="n">
        <v>18</v>
      </c>
      <c r="B19" s="57" t="inlineStr">
        <is>
          <t>UKYT-26-029</t>
        </is>
      </c>
      <c r="C19" s="57" t="inlineStr">
        <is>
          <t>High tunnel</t>
        </is>
      </c>
      <c r="D19" s="59" t="n">
        <v>46252</v>
      </c>
      <c r="E19" s="57" t="inlineStr">
        <is>
          <t>Sixth</t>
        </is>
      </c>
      <c r="F19" s="57" t="n">
        <v>627</v>
      </c>
      <c r="G19" s="57" t="n">
        <v>3</v>
      </c>
      <c r="H19" s="57" t="n"/>
      <c r="I19" s="57" t="n"/>
      <c r="J19" s="57" t="n">
        <v>1090</v>
      </c>
      <c r="K19" s="57" t="n">
        <v>11</v>
      </c>
      <c r="L19" s="58" t="inlineStr">
        <is>
          <t>N/A</t>
        </is>
      </c>
    </row>
    <row r="20" ht="25" customHeight="1" s="55">
      <c r="A20" s="57" t="n">
        <v>19</v>
      </c>
      <c r="B20" s="57" t="inlineStr">
        <is>
          <t>UKYT-26-035</t>
        </is>
      </c>
      <c r="C20" s="57" t="inlineStr">
        <is>
          <t>High tunnel</t>
        </is>
      </c>
      <c r="D20" s="59" t="n">
        <v>46252</v>
      </c>
      <c r="E20" s="57" t="inlineStr">
        <is>
          <t>Sixth</t>
        </is>
      </c>
      <c r="F20" s="57" t="n">
        <v>1427</v>
      </c>
      <c r="G20" s="57" t="n">
        <v>13</v>
      </c>
      <c r="H20" s="57" t="n">
        <v>1989</v>
      </c>
      <c r="I20" s="57" t="n">
        <v>19</v>
      </c>
      <c r="J20" s="57" t="n">
        <v>1069</v>
      </c>
      <c r="K20" s="57" t="n">
        <v>17</v>
      </c>
      <c r="L20" s="58" t="inlineStr">
        <is>
          <t>N/A</t>
        </is>
      </c>
    </row>
    <row r="21" ht="25" customHeight="1" s="55">
      <c r="A21" s="57" t="n">
        <v>20</v>
      </c>
      <c r="B21" s="57" t="inlineStr">
        <is>
          <t>UKYT-26-031</t>
        </is>
      </c>
      <c r="C21" s="57" t="inlineStr">
        <is>
          <t>High tunnel</t>
        </is>
      </c>
      <c r="D21" s="59" t="n">
        <v>46252</v>
      </c>
      <c r="E21" s="57" t="inlineStr">
        <is>
          <t>Sixth</t>
        </is>
      </c>
      <c r="F21" s="57" t="n">
        <v>1457</v>
      </c>
      <c r="G21" s="57" t="n">
        <v>13</v>
      </c>
      <c r="H21" s="57" t="n">
        <v>205</v>
      </c>
      <c r="I21" s="57" t="n">
        <v>2</v>
      </c>
      <c r="J21" s="57" t="n">
        <v>162</v>
      </c>
      <c r="K21" s="57" t="n">
        <v>2</v>
      </c>
      <c r="L21" s="58" t="inlineStr">
        <is>
          <t>N/A</t>
        </is>
      </c>
    </row>
    <row r="22" ht="25" customHeight="1" s="55">
      <c r="A22" s="57" t="n">
        <v>21</v>
      </c>
      <c r="B22" s="57" t="inlineStr">
        <is>
          <t>UKYT-26-030</t>
        </is>
      </c>
      <c r="C22" s="57" t="inlineStr">
        <is>
          <t>High tunnel</t>
        </is>
      </c>
      <c r="D22" s="59" t="n">
        <v>46252</v>
      </c>
      <c r="E22" s="57" t="inlineStr">
        <is>
          <t>Sixth</t>
        </is>
      </c>
      <c r="F22" s="57" t="n">
        <v>2399</v>
      </c>
      <c r="G22" s="57" t="n">
        <v>25</v>
      </c>
      <c r="H22" s="57" t="n">
        <v>700</v>
      </c>
      <c r="I22" s="57" t="n">
        <v>8</v>
      </c>
      <c r="J22" s="57" t="n">
        <v>401</v>
      </c>
      <c r="K22" s="57" t="n">
        <v>7</v>
      </c>
      <c r="L22" s="58" t="inlineStr">
        <is>
          <t>N/A</t>
        </is>
      </c>
    </row>
    <row r="23" ht="25" customHeight="1" s="55">
      <c r="A23" s="57" t="n">
        <v>22</v>
      </c>
      <c r="B23" s="57" t="inlineStr">
        <is>
          <t>UKYT-26-034</t>
        </is>
      </c>
      <c r="C23" s="57" t="inlineStr">
        <is>
          <t>High tunnel</t>
        </is>
      </c>
      <c r="D23" s="59" t="n">
        <v>46252</v>
      </c>
      <c r="E23" s="57" t="inlineStr">
        <is>
          <t>Sixth</t>
        </is>
      </c>
      <c r="F23" s="57" t="n">
        <v>307</v>
      </c>
      <c r="G23" s="57" t="n">
        <v>2</v>
      </c>
      <c r="H23" s="57" t="n"/>
      <c r="I23" s="57" t="n"/>
      <c r="J23" s="57" t="n">
        <v>751</v>
      </c>
      <c r="K23" s="57" t="n">
        <v>8</v>
      </c>
      <c r="L23" s="58" t="inlineStr">
        <is>
          <t>N/A</t>
        </is>
      </c>
    </row>
    <row r="24" ht="25" customHeight="1" s="55">
      <c r="A24" s="57" t="n">
        <v>23</v>
      </c>
      <c r="B24" s="57" t="inlineStr">
        <is>
          <t>UKYT-26-036</t>
        </is>
      </c>
      <c r="C24" s="57" t="inlineStr">
        <is>
          <t>High tunnel</t>
        </is>
      </c>
      <c r="D24" s="59" t="n">
        <v>46252</v>
      </c>
      <c r="E24" s="57" t="inlineStr">
        <is>
          <t>Sixth</t>
        </is>
      </c>
      <c r="F24" s="57" t="n">
        <v>913</v>
      </c>
      <c r="G24" s="57" t="n">
        <v>6</v>
      </c>
      <c r="H24" s="57" t="n">
        <v>699</v>
      </c>
      <c r="I24" s="57" t="n">
        <v>6</v>
      </c>
      <c r="J24" s="57" t="n">
        <v>626</v>
      </c>
      <c r="K24" s="57" t="n">
        <v>4</v>
      </c>
      <c r="L24" s="58" t="inlineStr">
        <is>
          <t>N/A</t>
        </is>
      </c>
    </row>
  </sheetData>
  <autoFilter ref="A1:L24"/>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3"/>
  <sheetViews>
    <sheetView showGridLines="1" topLeftCell="A1" workbookViewId="0">
      <pane ySplit="1" topLeftCell="A2" activePane="bottomLeft" state="frozen"/>
      <selection pane="bottomLeft" activeCell="A1" sqref="A1"/>
    </sheetView>
  </sheetViews>
  <sheetFormatPr baseColWidth="8" defaultColWidth="10.875" defaultRowHeight="16.5" customHeight="0"/>
  <cols>
    <col width="8" bestFit="1" customWidth="1" style="55" min="1" max="1"/>
    <col width="16" bestFit="1" customWidth="1" style="55" min="2" max="2"/>
    <col width="13" customWidth="1" style="55" min="3" max="3"/>
    <col width="21" customWidth="1" style="55" min="4" max="4"/>
    <col width="9" customWidth="1" style="55" min="5" max="5"/>
    <col width="29" customWidth="1" style="55" min="6" max="6"/>
    <col width="29" customWidth="1" style="55" min="7" max="7"/>
    <col width="29" customWidth="1" style="55" min="8" max="8"/>
    <col width="29" customWidth="1" style="55" min="9" max="9"/>
    <col width="11" customWidth="1" style="55" min="10" max="10"/>
    <col width="12" customWidth="1" style="55" min="11" max="11"/>
  </cols>
  <sheetData>
    <row r="1" ht="18" customHeight="1" s="55">
      <c r="A1" s="56" t="inlineStr">
        <is>
          <t>SN</t>
        </is>
      </c>
      <c r="B1" s="56" t="inlineStr">
        <is>
          <t>Genotypes</t>
        </is>
      </c>
      <c r="C1" s="56" t="inlineStr">
        <is>
          <t>Location</t>
        </is>
      </c>
      <c r="D1" s="56" t="inlineStr">
        <is>
          <t>Date of harvest</t>
        </is>
      </c>
      <c r="E1" s="56" t="inlineStr">
        <is>
          <t>Harvest</t>
        </is>
      </c>
      <c r="F1" s="56" t="inlineStr">
        <is>
          <t>Grade 1 Marketable (weight)</t>
        </is>
      </c>
      <c r="G1" s="56" t="inlineStr">
        <is>
          <t>Grade 1 Marketable (counts)</t>
        </is>
      </c>
      <c r="H1" s="56" t="inlineStr">
        <is>
          <t>Grade 2 Marketable (weight)</t>
        </is>
      </c>
      <c r="I1" s="56" t="inlineStr">
        <is>
          <t>Grade 2 Marketable (counts)</t>
        </is>
      </c>
      <c r="J1" s="56" t="inlineStr">
        <is>
          <t>Replicate</t>
        </is>
      </c>
      <c r="K1" s="56" t="inlineStr">
        <is>
          <t>Entered_by</t>
        </is>
      </c>
    </row>
    <row r="2" ht="25" customHeight="1" s="55">
      <c r="A2" s="57" t="n">
        <v>1</v>
      </c>
      <c r="B2" s="57" t="inlineStr">
        <is>
          <t>Mountain Fresh</t>
        </is>
      </c>
      <c r="C2" s="57" t="inlineStr">
        <is>
          <t>High tunnel</t>
        </is>
      </c>
      <c r="D2" s="59" t="n">
        <v>46253</v>
      </c>
      <c r="E2" s="57" t="inlineStr">
        <is>
          <t>Seventh</t>
        </is>
      </c>
      <c r="F2" s="57" t="n">
        <v>2864</v>
      </c>
      <c r="G2" s="57" t="n">
        <v>11</v>
      </c>
      <c r="H2" s="57" t="n">
        <v>790</v>
      </c>
      <c r="I2" s="57" t="n">
        <v>3</v>
      </c>
      <c r="J2" s="58" t="inlineStr">
        <is>
          <t>N/A</t>
        </is>
      </c>
      <c r="K2" s="57" t="inlineStr">
        <is>
          <t>Nam</t>
        </is>
      </c>
    </row>
    <row r="3" ht="25" customHeight="1" s="55">
      <c r="A3" s="57" t="n">
        <v>2</v>
      </c>
      <c r="B3" s="57" t="inlineStr">
        <is>
          <t>UKYT-26-015</t>
        </is>
      </c>
      <c r="C3" s="57" t="inlineStr">
        <is>
          <t>High tunnel</t>
        </is>
      </c>
      <c r="D3" s="59" t="n">
        <v>46253</v>
      </c>
      <c r="E3" s="57" t="inlineStr">
        <is>
          <t>Seventh</t>
        </is>
      </c>
      <c r="F3" s="57" t="n">
        <v>2709</v>
      </c>
      <c r="G3" s="57" t="n">
        <v>11</v>
      </c>
      <c r="H3" s="57" t="n">
        <v>255</v>
      </c>
      <c r="I3" s="57" t="n">
        <v>1</v>
      </c>
      <c r="J3" s="58" t="inlineStr">
        <is>
          <t>N/A</t>
        </is>
      </c>
      <c r="K3" s="57" t="inlineStr">
        <is>
          <t>Nam</t>
        </is>
      </c>
    </row>
  </sheetData>
  <autoFilter ref="A1:K3"/>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51"/>
  <sheetViews>
    <sheetView showGridLines="1" topLeftCell="A1"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8" customWidth="1" style="55" min="2" max="2"/>
    <col width="13" customWidth="1" style="55" min="3" max="3"/>
    <col width="18" customWidth="1" style="55" min="4" max="4"/>
    <col width="36" customWidth="1" style="55" min="5" max="5"/>
    <col width="19" customWidth="1" style="55" min="6" max="6"/>
  </cols>
  <sheetData>
    <row r="1" ht="18" customHeight="1" s="55">
      <c r="A1" s="56" t="inlineStr">
        <is>
          <t>SN</t>
        </is>
      </c>
      <c r="B1" s="56" t="inlineStr">
        <is>
          <t>EN</t>
        </is>
      </c>
      <c r="C1" s="56" t="inlineStr">
        <is>
          <t>Genotypes</t>
        </is>
      </c>
      <c r="D1" s="56" t="inlineStr">
        <is>
          <t>Growth habit</t>
        </is>
      </c>
      <c r="E1" s="56" t="inlineStr">
        <is>
          <t>Fruit type / notes</t>
        </is>
      </c>
      <c r="F1" s="56" t="inlineStr">
        <is>
          <t>Source / pedigree</t>
        </is>
      </c>
    </row>
    <row r="2" ht="25" customHeight="1" s="55">
      <c r="A2" s="57" t="n">
        <v>1</v>
      </c>
      <c r="B2" s="57" t="n">
        <v>1</v>
      </c>
      <c r="C2" s="57" t="inlineStr">
        <is>
          <t>UKYT-25-001</t>
        </is>
      </c>
      <c r="D2" s="57" t="inlineStr">
        <is>
          <t>Indeterminate</t>
        </is>
      </c>
      <c r="E2" s="57" t="inlineStr">
        <is>
          <t>grape tomato; Different colors, sizes and shapes</t>
        </is>
      </c>
      <c r="F2" s="57" t="inlineStr">
        <is>
          <t>1E-201-1W(2022)</t>
        </is>
      </c>
    </row>
    <row r="3" ht="25" customHeight="1" s="55">
      <c r="A3" s="57" t="n">
        <v>2</v>
      </c>
      <c r="B3" s="57" t="n">
        <v>2</v>
      </c>
      <c r="C3" s="57" t="inlineStr">
        <is>
          <t>UKYT-25-002</t>
        </is>
      </c>
      <c r="D3" s="57" t="inlineStr">
        <is>
          <t>Indeterminate</t>
        </is>
      </c>
      <c r="E3" s="57" t="inlineStr">
        <is>
          <t>grape tomato</t>
        </is>
      </c>
      <c r="F3" s="57" t="inlineStr">
        <is>
          <t>2E-202-1W(2022)</t>
        </is>
      </c>
    </row>
    <row r="4" ht="25" customHeight="1" s="55">
      <c r="A4" s="57" t="n">
        <v>3</v>
      </c>
      <c r="B4" s="57" t="n">
        <v>3</v>
      </c>
      <c r="C4" s="57" t="inlineStr">
        <is>
          <t>UKYT-25-003</t>
        </is>
      </c>
      <c r="D4" s="57" t="inlineStr">
        <is>
          <t>Indeterminate</t>
        </is>
      </c>
      <c r="E4" s="57" t="inlineStr">
        <is>
          <t>grape tomato</t>
        </is>
      </c>
      <c r="F4" s="57" t="inlineStr">
        <is>
          <t>3E-203-1W(2022)</t>
        </is>
      </c>
    </row>
    <row r="5" ht="25" customHeight="1" s="55">
      <c r="A5" s="57" t="n">
        <v>4</v>
      </c>
      <c r="B5" s="57" t="n">
        <v>4</v>
      </c>
      <c r="C5" s="57" t="inlineStr">
        <is>
          <t>UKYT-25-004</t>
        </is>
      </c>
      <c r="D5" s="57" t="inlineStr">
        <is>
          <t>Indeterminate</t>
        </is>
      </c>
      <c r="E5" s="57" t="inlineStr">
        <is>
          <t>grape tomato</t>
        </is>
      </c>
      <c r="F5" s="57" t="inlineStr">
        <is>
          <t>4E-205-1W(2022)</t>
        </is>
      </c>
    </row>
    <row r="6" ht="25" customHeight="1" s="55">
      <c r="A6" s="57" t="n">
        <v>5</v>
      </c>
      <c r="B6" s="57" t="n">
        <v>5</v>
      </c>
      <c r="C6" s="57" t="inlineStr">
        <is>
          <t>UKYT-25-005</t>
        </is>
      </c>
      <c r="D6" s="57" t="inlineStr">
        <is>
          <t>Indeterminate</t>
        </is>
      </c>
      <c r="E6" s="57" t="inlineStr">
        <is>
          <t>grape tomato</t>
        </is>
      </c>
      <c r="F6" s="57" t="inlineStr">
        <is>
          <t>5E-206-1W(2022)</t>
        </is>
      </c>
    </row>
    <row r="7" ht="25" customHeight="1" s="55">
      <c r="A7" s="57" t="n">
        <v>6</v>
      </c>
      <c r="B7" s="57" t="n">
        <v>6</v>
      </c>
      <c r="C7" s="57" t="inlineStr">
        <is>
          <t>UKYT-25-006</t>
        </is>
      </c>
      <c r="D7" s="57" t="inlineStr">
        <is>
          <t>Indeterminate</t>
        </is>
      </c>
      <c r="E7" s="57" t="inlineStr">
        <is>
          <t>grape tomato</t>
        </is>
      </c>
      <c r="F7" s="57" t="inlineStr">
        <is>
          <t>6E-208-1W(2022)</t>
        </is>
      </c>
    </row>
    <row r="8" ht="25" customHeight="1" s="55">
      <c r="A8" s="57" t="n">
        <v>7</v>
      </c>
      <c r="B8" s="57" t="n">
        <v>7</v>
      </c>
      <c r="C8" s="57" t="inlineStr">
        <is>
          <t>UKYT-25-007</t>
        </is>
      </c>
      <c r="D8" s="57" t="inlineStr">
        <is>
          <t>Indeterminate</t>
        </is>
      </c>
      <c r="E8" s="57" t="inlineStr">
        <is>
          <t>grape tomato</t>
        </is>
      </c>
      <c r="F8" s="57" t="inlineStr">
        <is>
          <t>7E-217-1W(2022)</t>
        </is>
      </c>
    </row>
    <row r="9" ht="25" customHeight="1" s="55">
      <c r="A9" s="57" t="n">
        <v>8</v>
      </c>
      <c r="B9" s="57" t="n">
        <v>8</v>
      </c>
      <c r="C9" s="57" t="inlineStr">
        <is>
          <t>UKYT-25-008</t>
        </is>
      </c>
      <c r="D9" s="57" t="inlineStr">
        <is>
          <t>Indeterminate</t>
        </is>
      </c>
      <c r="E9" s="57" t="inlineStr">
        <is>
          <t>grape tomato</t>
        </is>
      </c>
      <c r="F9" s="57" t="inlineStr">
        <is>
          <t>8E-219-1W(2022)</t>
        </is>
      </c>
    </row>
    <row r="10" ht="25" customHeight="1" s="55">
      <c r="A10" s="57" t="n">
        <v>9</v>
      </c>
      <c r="B10" s="57" t="n">
        <v>9</v>
      </c>
      <c r="C10" s="57" t="inlineStr">
        <is>
          <t>UKYT-25-009</t>
        </is>
      </c>
      <c r="D10" s="57" t="inlineStr">
        <is>
          <t>Indeterminate</t>
        </is>
      </c>
      <c r="E10" s="57" t="inlineStr">
        <is>
          <t>grape tomato</t>
        </is>
      </c>
      <c r="F10" s="57" t="inlineStr">
        <is>
          <t>9E-220-1W(2022)</t>
        </is>
      </c>
    </row>
    <row r="11" ht="25" customHeight="1" s="55">
      <c r="A11" s="57" t="n">
        <v>10</v>
      </c>
      <c r="B11" s="57" t="n">
        <v>10</v>
      </c>
      <c r="C11" s="57" t="inlineStr">
        <is>
          <t>UKYT-25-010</t>
        </is>
      </c>
      <c r="D11" s="57" t="inlineStr">
        <is>
          <t>Indeterminate</t>
        </is>
      </c>
      <c r="E11" s="57" t="inlineStr">
        <is>
          <t>grape tomato</t>
        </is>
      </c>
      <c r="F11" s="57" t="inlineStr">
        <is>
          <t>10E-223-1W(2022)</t>
        </is>
      </c>
    </row>
    <row r="12" ht="25" customHeight="1" s="55">
      <c r="A12" s="57" t="n">
        <v>11</v>
      </c>
      <c r="B12" s="57" t="n">
        <v>11</v>
      </c>
      <c r="C12" s="57" t="inlineStr">
        <is>
          <t>UKYT-25-011</t>
        </is>
      </c>
      <c r="D12" s="57" t="inlineStr">
        <is>
          <t>Indeterminate</t>
        </is>
      </c>
      <c r="E12" s="57" t="inlineStr">
        <is>
          <t>grape tomato</t>
        </is>
      </c>
      <c r="F12" s="57" t="inlineStr">
        <is>
          <t>11E-224-1W(2022)</t>
        </is>
      </c>
    </row>
    <row r="13" ht="25" customHeight="1" s="55">
      <c r="A13" s="57" t="n">
        <v>12</v>
      </c>
      <c r="B13" s="57" t="n">
        <v>12</v>
      </c>
      <c r="C13" s="57" t="inlineStr">
        <is>
          <t>UKYT-25-012</t>
        </is>
      </c>
      <c r="D13" s="57" t="inlineStr">
        <is>
          <t>Indeterminate</t>
        </is>
      </c>
      <c r="E13" s="57" t="inlineStr">
        <is>
          <t>grape tomato</t>
        </is>
      </c>
      <c r="F13" s="57" t="inlineStr">
        <is>
          <t>12E-225-1W(2022)</t>
        </is>
      </c>
    </row>
    <row r="14" ht="25" customHeight="1" s="55">
      <c r="A14" s="57" t="n">
        <v>13</v>
      </c>
      <c r="B14" s="57" t="n">
        <v>13</v>
      </c>
      <c r="C14" s="57" t="inlineStr">
        <is>
          <t>UKYT-25-013</t>
        </is>
      </c>
      <c r="D14" s="57" t="inlineStr">
        <is>
          <t>Indeterminate</t>
        </is>
      </c>
      <c r="E14" s="57" t="inlineStr">
        <is>
          <t>grape tomato</t>
        </is>
      </c>
      <c r="F14" s="57" t="inlineStr">
        <is>
          <t>13E-228-1W(2022)</t>
        </is>
      </c>
    </row>
    <row r="15" ht="25" customHeight="1" s="55">
      <c r="A15" s="57" t="n">
        <v>14</v>
      </c>
      <c r="B15" s="57" t="n">
        <v>14</v>
      </c>
      <c r="C15" s="57" t="inlineStr">
        <is>
          <t>UKYT-25-014</t>
        </is>
      </c>
      <c r="D15" s="57" t="inlineStr">
        <is>
          <t>Indeterminate</t>
        </is>
      </c>
      <c r="E15" s="57" t="inlineStr">
        <is>
          <t>grape tomato</t>
        </is>
      </c>
      <c r="F15" s="57" t="inlineStr">
        <is>
          <t>14E-230-1W(2022)</t>
        </is>
      </c>
    </row>
    <row r="16" ht="25" customHeight="1" s="55">
      <c r="A16" s="57" t="n">
        <v>15</v>
      </c>
      <c r="B16" s="57" t="n">
        <v>15</v>
      </c>
      <c r="C16" s="57" t="inlineStr">
        <is>
          <t>UKYT-25-015</t>
        </is>
      </c>
      <c r="D16" s="57" t="inlineStr">
        <is>
          <t>Indeterminate</t>
        </is>
      </c>
      <c r="E16" s="57" t="inlineStr">
        <is>
          <t>grape tomato</t>
        </is>
      </c>
      <c r="F16" s="57" t="inlineStr">
        <is>
          <t>15E-232-2W(2022)</t>
        </is>
      </c>
    </row>
    <row r="17" ht="25" customHeight="1" s="55">
      <c r="A17" s="57" t="n">
        <v>16</v>
      </c>
      <c r="B17" s="57" t="n">
        <v>16</v>
      </c>
      <c r="C17" s="57" t="inlineStr">
        <is>
          <t>UKYT-25-016</t>
        </is>
      </c>
      <c r="D17" s="57" t="inlineStr">
        <is>
          <t>Indeterminate</t>
        </is>
      </c>
      <c r="E17" s="57" t="inlineStr">
        <is>
          <t>grape tomato</t>
        </is>
      </c>
      <c r="F17" s="57" t="inlineStr">
        <is>
          <t>16E-233-1W(2022)</t>
        </is>
      </c>
    </row>
    <row r="18" ht="25" customHeight="1" s="55">
      <c r="A18" s="57" t="n">
        <v>17</v>
      </c>
      <c r="B18" s="57" t="n">
        <v>17</v>
      </c>
      <c r="C18" s="57" t="inlineStr">
        <is>
          <t>UKYT-25-017</t>
        </is>
      </c>
      <c r="D18" s="57" t="inlineStr">
        <is>
          <t>Indeterminate</t>
        </is>
      </c>
      <c r="E18" s="57" t="inlineStr">
        <is>
          <t>grape tomato</t>
        </is>
      </c>
      <c r="F18" s="57" t="inlineStr">
        <is>
          <t>17E-238-1W(2022)</t>
        </is>
      </c>
    </row>
    <row r="19" ht="25" customHeight="1" s="55">
      <c r="A19" s="57" t="n">
        <v>18</v>
      </c>
      <c r="B19" s="57" t="n">
        <v>18</v>
      </c>
      <c r="C19" s="57" t="inlineStr">
        <is>
          <t>UKYT-26-001</t>
        </is>
      </c>
      <c r="D19" s="57" t="inlineStr">
        <is>
          <t>Semi determinate</t>
        </is>
      </c>
      <c r="E19" s="57" t="inlineStr">
        <is>
          <t>medium fruit size with blocky shape; red</t>
        </is>
      </c>
      <c r="F19" s="57" t="inlineStr">
        <is>
          <t>AVTO1906-CLN4066F</t>
        </is>
      </c>
    </row>
    <row r="20" ht="25" customHeight="1" s="55">
      <c r="A20" s="57" t="n">
        <v>19</v>
      </c>
      <c r="B20" s="57" t="n">
        <v>19</v>
      </c>
      <c r="C20" s="57" t="inlineStr">
        <is>
          <t>UKYT-26-006</t>
        </is>
      </c>
      <c r="D20" s="57" t="inlineStr">
        <is>
          <t>Indeterminate</t>
        </is>
      </c>
      <c r="E20" s="57" t="inlineStr">
        <is>
          <t>globe fruit shape; red</t>
        </is>
      </c>
      <c r="F20" s="57" t="inlineStr">
        <is>
          <t>AVTO2036-CLN4123C</t>
        </is>
      </c>
    </row>
    <row r="21" ht="25" customHeight="1" s="55">
      <c r="A21" s="57" t="n">
        <v>20</v>
      </c>
      <c r="B21" s="57" t="n">
        <v>20</v>
      </c>
      <c r="C21" s="57" t="inlineStr">
        <is>
          <t>UKYT-26-011</t>
        </is>
      </c>
      <c r="D21" s="57" t="inlineStr">
        <is>
          <t>Indeterminate</t>
        </is>
      </c>
      <c r="E21" s="57" t="inlineStr">
        <is>
          <t>large tomatoes; purple</t>
        </is>
      </c>
      <c r="F21" s="57" t="inlineStr">
        <is>
          <t>228-BKW (2025)</t>
        </is>
      </c>
    </row>
    <row r="22" ht="25" customHeight="1" s="55">
      <c r="A22" s="57" t="n">
        <v>21</v>
      </c>
      <c r="B22" s="57" t="n">
        <v>21</v>
      </c>
      <c r="C22" s="57" t="inlineStr">
        <is>
          <t>UKYT-26-012</t>
        </is>
      </c>
      <c r="D22" s="57" t="inlineStr">
        <is>
          <t>Indeterminate</t>
        </is>
      </c>
      <c r="E22" s="57" t="inlineStr">
        <is>
          <t>large tomatoes; pink</t>
        </is>
      </c>
      <c r="F22" s="57" t="inlineStr">
        <is>
          <t>226-BKW (2024)</t>
        </is>
      </c>
    </row>
    <row r="23" ht="25" customHeight="1" s="55">
      <c r="A23" s="57" t="n">
        <v>22</v>
      </c>
      <c r="B23" s="57" t="n">
        <v>22</v>
      </c>
      <c r="C23" s="57" t="inlineStr">
        <is>
          <t>UKYT-26-013</t>
        </is>
      </c>
      <c r="D23" s="57" t="inlineStr">
        <is>
          <t>Indeterminate</t>
        </is>
      </c>
      <c r="E23" s="57" t="inlineStr">
        <is>
          <t>large tomatoes; purple</t>
        </is>
      </c>
      <c r="F23" s="57" t="inlineStr">
        <is>
          <t>17-Bksp25</t>
        </is>
      </c>
    </row>
    <row r="24" ht="25" customHeight="1" s="55">
      <c r="A24" s="57" t="n">
        <v>23</v>
      </c>
      <c r="B24" s="57" t="n">
        <v>23</v>
      </c>
      <c r="C24" s="57" t="inlineStr">
        <is>
          <t>UKYT-26-014</t>
        </is>
      </c>
      <c r="D24" s="57" t="inlineStr">
        <is>
          <t>Determinate</t>
        </is>
      </c>
      <c r="E24" s="57" t="inlineStr">
        <is>
          <t>large tomatoes; pink</t>
        </is>
      </c>
      <c r="F24" s="57" t="inlineStr">
        <is>
          <t>242-Bkw (2025)</t>
        </is>
      </c>
    </row>
    <row r="25" ht="25" customHeight="1" s="55">
      <c r="A25" s="57" t="n">
        <v>24</v>
      </c>
      <c r="B25" s="57" t="n">
        <v>24</v>
      </c>
      <c r="C25" s="57" t="inlineStr">
        <is>
          <t>UKYT-26-015</t>
        </is>
      </c>
      <c r="D25" s="57" t="inlineStr">
        <is>
          <t>Determinate</t>
        </is>
      </c>
      <c r="E25" s="57" t="inlineStr">
        <is>
          <t>large tomatoes; pink</t>
        </is>
      </c>
      <c r="F25" s="57" t="inlineStr">
        <is>
          <t>249-BkW (2024)</t>
        </is>
      </c>
    </row>
    <row r="26" ht="25" customHeight="1" s="55">
      <c r="A26" s="57" t="n">
        <v>25</v>
      </c>
      <c r="B26" s="57" t="n">
        <v>25</v>
      </c>
      <c r="C26" s="57" t="inlineStr">
        <is>
          <t>UKYT-26-016</t>
        </is>
      </c>
      <c r="D26" s="57" t="inlineStr">
        <is>
          <t>Determinate</t>
        </is>
      </c>
      <c r="E26" s="57" t="inlineStr">
        <is>
          <t>large tomatoes; pink</t>
        </is>
      </c>
      <c r="F26" s="57" t="inlineStr">
        <is>
          <t>28-1sp25</t>
        </is>
      </c>
    </row>
    <row r="27" ht="25" customHeight="1" s="55">
      <c r="A27" s="57" t="n">
        <v>26</v>
      </c>
      <c r="B27" s="57" t="n">
        <v>26</v>
      </c>
      <c r="C27" s="57" t="inlineStr">
        <is>
          <t>UKYT-26-017</t>
        </is>
      </c>
      <c r="D27" s="57" t="inlineStr">
        <is>
          <t>Determinate</t>
        </is>
      </c>
      <c r="E27" s="57" t="inlineStr">
        <is>
          <t>large tomatoes; purple</t>
        </is>
      </c>
      <c r="F27" s="57" t="inlineStr">
        <is>
          <t>20-Bksp25</t>
        </is>
      </c>
    </row>
    <row r="28" ht="25" customHeight="1" s="55">
      <c r="A28" s="57" t="n">
        <v>27</v>
      </c>
      <c r="B28" s="57" t="n">
        <v>27</v>
      </c>
      <c r="C28" s="57" t="inlineStr">
        <is>
          <t>UKYT-26-018</t>
        </is>
      </c>
      <c r="D28" s="57" t="inlineStr">
        <is>
          <t>Determinate</t>
        </is>
      </c>
      <c r="E28" s="57" t="inlineStr">
        <is>
          <t>large tomatoes; purple</t>
        </is>
      </c>
      <c r="F28" s="57" t="inlineStr">
        <is>
          <t>52-Bksp24</t>
        </is>
      </c>
    </row>
    <row r="29" ht="25" customHeight="1" s="55">
      <c r="A29" s="57" t="n">
        <v>28</v>
      </c>
      <c r="B29" s="57" t="n">
        <v>28</v>
      </c>
      <c r="C29" s="57" t="inlineStr">
        <is>
          <t>UKYT-26-019</t>
        </is>
      </c>
      <c r="D29" s="57" t="inlineStr">
        <is>
          <t>Determinate</t>
        </is>
      </c>
      <c r="E29" s="57" t="inlineStr">
        <is>
          <t>large tomatoes; yellow/red bicolor</t>
        </is>
      </c>
      <c r="F29" s="57" t="inlineStr">
        <is>
          <t>86-Bksp23</t>
        </is>
      </c>
    </row>
    <row r="30" ht="25" customHeight="1" s="55">
      <c r="A30" s="57" t="n">
        <v>29</v>
      </c>
      <c r="B30" s="57" t="n">
        <v>29</v>
      </c>
      <c r="C30" s="57" t="inlineStr">
        <is>
          <t>UKYT-26-020</t>
        </is>
      </c>
      <c r="D30" s="57" t="inlineStr">
        <is>
          <t>Indeterminate</t>
        </is>
      </c>
      <c r="E30" s="57" t="inlineStr">
        <is>
          <t>large tomatoes; green</t>
        </is>
      </c>
      <c r="F30" s="57" t="inlineStr">
        <is>
          <t>401-BkW (2025)</t>
        </is>
      </c>
    </row>
    <row r="31" ht="25" customHeight="1" s="55">
      <c r="A31" s="57" t="n">
        <v>30</v>
      </c>
      <c r="B31" s="57" t="n">
        <v>30</v>
      </c>
      <c r="C31" s="57" t="inlineStr">
        <is>
          <t>UKYT-26-021</t>
        </is>
      </c>
      <c r="D31" s="57" t="inlineStr">
        <is>
          <t>Indeterminate</t>
        </is>
      </c>
      <c r="E31" s="57" t="inlineStr">
        <is>
          <t>large tomatoes; red with yellow stripes</t>
        </is>
      </c>
      <c r="F31" s="57" t="inlineStr">
        <is>
          <t>402-BkW (2025)</t>
        </is>
      </c>
    </row>
    <row r="32" ht="25" customHeight="1" s="55">
      <c r="A32" s="57" t="n">
        <v>31</v>
      </c>
      <c r="B32" s="57" t="n">
        <v>31</v>
      </c>
      <c r="C32" s="57" t="inlineStr">
        <is>
          <t>UKYT-26-022</t>
        </is>
      </c>
      <c r="D32" s="57" t="inlineStr">
        <is>
          <t>Indeterminate</t>
        </is>
      </c>
      <c r="E32" s="57" t="inlineStr">
        <is>
          <t>large tomatoes; pruple with green stripes</t>
        </is>
      </c>
      <c r="F32" s="57" t="inlineStr">
        <is>
          <t>403-BkW (2025)</t>
        </is>
      </c>
    </row>
    <row r="33" ht="25" customHeight="1" s="55">
      <c r="A33" s="57" t="n">
        <v>32</v>
      </c>
      <c r="B33" s="57" t="n">
        <v>32</v>
      </c>
      <c r="C33" s="57" t="inlineStr">
        <is>
          <t>UKYT-26-023</t>
        </is>
      </c>
      <c r="D33" s="57" t="inlineStr">
        <is>
          <t>Indeterminate</t>
        </is>
      </c>
      <c r="E33" s="57" t="inlineStr">
        <is>
          <t>large tomatoes; red</t>
        </is>
      </c>
      <c r="F33" s="57" t="inlineStr">
        <is>
          <t>404-BkW (2025)</t>
        </is>
      </c>
    </row>
    <row r="34" ht="25" customHeight="1" s="55">
      <c r="A34" s="57" t="n">
        <v>33</v>
      </c>
      <c r="B34" s="57" t="n">
        <v>33</v>
      </c>
      <c r="C34" s="57" t="inlineStr">
        <is>
          <t>UKYT-26-024</t>
        </is>
      </c>
      <c r="D34" s="57" t="inlineStr">
        <is>
          <t>Indeterminate</t>
        </is>
      </c>
      <c r="E34" s="57" t="inlineStr">
        <is>
          <t>large tomatoes; red with yellow stripes</t>
        </is>
      </c>
      <c r="F34" s="57" t="inlineStr">
        <is>
          <t>406-BkW (2025)</t>
        </is>
      </c>
    </row>
    <row r="35" ht="25" customHeight="1" s="55">
      <c r="A35" s="57" t="n">
        <v>34</v>
      </c>
      <c r="B35" s="57" t="n">
        <v>34</v>
      </c>
      <c r="C35" s="57" t="inlineStr">
        <is>
          <t>UKYT-26-025</t>
        </is>
      </c>
      <c r="D35" s="57" t="inlineStr">
        <is>
          <t>Indeterminate</t>
        </is>
      </c>
      <c r="E35" s="57" t="inlineStr">
        <is>
          <t>large tomatoes; green with green stripes</t>
        </is>
      </c>
      <c r="F35" s="57" t="inlineStr">
        <is>
          <t>407-BkW (2025)</t>
        </is>
      </c>
    </row>
    <row r="36" ht="25" customHeight="1" s="55">
      <c r="A36" s="57" t="n">
        <v>35</v>
      </c>
      <c r="B36" s="57" t="n">
        <v>35</v>
      </c>
      <c r="C36" s="57" t="inlineStr">
        <is>
          <t>UKYT-26-026</t>
        </is>
      </c>
      <c r="D36" s="57" t="inlineStr">
        <is>
          <t>Indeterminate</t>
        </is>
      </c>
      <c r="E36" s="57" t="inlineStr">
        <is>
          <t>large tomatoes; yellow with yellow stripes</t>
        </is>
      </c>
      <c r="F36" s="57" t="inlineStr">
        <is>
          <t>408-BkW (2025)</t>
        </is>
      </c>
    </row>
    <row r="37" ht="25" customHeight="1" s="55">
      <c r="A37" s="57" t="n">
        <v>36</v>
      </c>
      <c r="B37" s="57" t="n">
        <v>36</v>
      </c>
      <c r="C37" s="57" t="inlineStr">
        <is>
          <t>UKYT-26-027</t>
        </is>
      </c>
      <c r="D37" s="57" t="inlineStr">
        <is>
          <t>Indeterminate</t>
        </is>
      </c>
      <c r="E37" s="57" t="inlineStr">
        <is>
          <t>large tomatoes; brown with green stripes</t>
        </is>
      </c>
      <c r="F37" s="57" t="inlineStr">
        <is>
          <t>409-BkW (2025)</t>
        </is>
      </c>
    </row>
    <row r="38" ht="25" customHeight="1" s="55">
      <c r="A38" s="57" t="n">
        <v>37</v>
      </c>
      <c r="B38" s="57" t="n">
        <v>37</v>
      </c>
      <c r="C38" s="57" t="inlineStr">
        <is>
          <t>UKYT-26-028</t>
        </is>
      </c>
      <c r="D38" s="57" t="inlineStr">
        <is>
          <t>Indeterminate</t>
        </is>
      </c>
      <c r="E38" s="57" t="inlineStr">
        <is>
          <t>large tomatoes; red</t>
        </is>
      </c>
      <c r="F38" s="57" t="inlineStr">
        <is>
          <t>20-Bk (2024)-2</t>
        </is>
      </c>
    </row>
    <row r="39" ht="25" customHeight="1" s="55">
      <c r="A39" s="57" t="n">
        <v>38</v>
      </c>
      <c r="B39" s="57" t="n">
        <v>38</v>
      </c>
      <c r="C39" s="57" t="inlineStr">
        <is>
          <t>UKYT-26-029</t>
        </is>
      </c>
      <c r="D39" s="57" t="inlineStr">
        <is>
          <t>Indeterminate</t>
        </is>
      </c>
      <c r="E39" s="57" t="inlineStr">
        <is>
          <t>large tomatoes; red</t>
        </is>
      </c>
      <c r="F39" s="57" t="inlineStr">
        <is>
          <t>82-1A (2024)</t>
        </is>
      </c>
    </row>
    <row r="40" ht="25" customHeight="1" s="55">
      <c r="A40" s="57" t="n">
        <v>39</v>
      </c>
      <c r="B40" s="57" t="n">
        <v>39</v>
      </c>
      <c r="C40" s="57" t="inlineStr">
        <is>
          <t>UKYT-26-030</t>
        </is>
      </c>
      <c r="D40" s="57" t="inlineStr">
        <is>
          <t>Indeterminate</t>
        </is>
      </c>
      <c r="E40" s="57" t="inlineStr">
        <is>
          <t>large tomatoes; red</t>
        </is>
      </c>
      <c r="F40" s="57" t="inlineStr">
        <is>
          <t>84-3A (2024)</t>
        </is>
      </c>
    </row>
    <row r="41" ht="25" customHeight="1" s="55">
      <c r="A41" s="57" t="n">
        <v>40</v>
      </c>
      <c r="B41" s="57" t="n">
        <v>40</v>
      </c>
      <c r="C41" s="57" t="inlineStr">
        <is>
          <t>UKYT-26-031</t>
        </is>
      </c>
      <c r="D41" s="57" t="inlineStr">
        <is>
          <t>Indeterminate</t>
        </is>
      </c>
      <c r="E41" s="57" t="inlineStr">
        <is>
          <t>large tomatoes; tangerine</t>
        </is>
      </c>
      <c r="F41" s="57" t="inlineStr">
        <is>
          <t>85-1 (2024)</t>
        </is>
      </c>
    </row>
    <row r="42" ht="25" customHeight="1" s="55">
      <c r="A42" s="57" t="n">
        <v>41</v>
      </c>
      <c r="B42" s="57" t="n">
        <v>41</v>
      </c>
      <c r="C42" s="57" t="inlineStr">
        <is>
          <t>UKYT-26-032</t>
        </is>
      </c>
      <c r="D42" s="57" t="inlineStr">
        <is>
          <t>Determinate</t>
        </is>
      </c>
      <c r="E42" s="57" t="inlineStr">
        <is>
          <t>large tomatoes; tangerine</t>
        </is>
      </c>
      <c r="F42" s="57" t="inlineStr">
        <is>
          <t>46-Bk (2025)</t>
        </is>
      </c>
    </row>
    <row r="43" ht="25" customHeight="1" s="55">
      <c r="A43" s="57" t="n">
        <v>42</v>
      </c>
      <c r="B43" s="57" t="n">
        <v>42</v>
      </c>
      <c r="C43" s="57" t="inlineStr">
        <is>
          <t>UKYT-26-033</t>
        </is>
      </c>
      <c r="D43" s="57" t="inlineStr">
        <is>
          <t>Indeterminate</t>
        </is>
      </c>
      <c r="E43" s="57" t="inlineStr">
        <is>
          <t>large tomatoes; red</t>
        </is>
      </c>
      <c r="F43" s="57" t="inlineStr">
        <is>
          <t>220-1W (2025)</t>
        </is>
      </c>
    </row>
    <row r="44" ht="25" customHeight="1" s="55">
      <c r="A44" s="57" t="n">
        <v>43</v>
      </c>
      <c r="B44" s="57" t="n">
        <v>43</v>
      </c>
      <c r="C44" s="57" t="inlineStr">
        <is>
          <t>UKYT-26-034</t>
        </is>
      </c>
      <c r="D44" s="57" t="inlineStr">
        <is>
          <t>Indeterminate</t>
        </is>
      </c>
      <c r="E44" s="57" t="inlineStr">
        <is>
          <t>large tomatoes; purple</t>
        </is>
      </c>
      <c r="F44" s="57" t="inlineStr">
        <is>
          <t>221-BkW (2025)</t>
        </is>
      </c>
    </row>
    <row r="45" ht="25" customHeight="1" s="55">
      <c r="A45" s="57" t="n">
        <v>44</v>
      </c>
      <c r="B45" s="57" t="n">
        <v>44</v>
      </c>
      <c r="C45" s="57" t="inlineStr">
        <is>
          <t>UKYT-26-035</t>
        </is>
      </c>
      <c r="D45" s="57" t="inlineStr">
        <is>
          <t>Indeterminate</t>
        </is>
      </c>
      <c r="E45" s="57" t="inlineStr">
        <is>
          <t>large tomatoes; red</t>
        </is>
      </c>
      <c r="F45" s="57" t="inlineStr">
        <is>
          <t>225-BkW 2025)</t>
        </is>
      </c>
    </row>
    <row r="46" ht="25" customHeight="1" s="55">
      <c r="A46" s="57" t="n">
        <v>45</v>
      </c>
      <c r="B46" s="57" t="n">
        <v>45</v>
      </c>
      <c r="C46" s="57" t="inlineStr">
        <is>
          <t>UKYT-26-036</t>
        </is>
      </c>
      <c r="D46" s="57" t="inlineStr">
        <is>
          <t>Determinate</t>
        </is>
      </c>
      <c r="E46" s="57" t="inlineStr">
        <is>
          <t>large tomatoes; red</t>
        </is>
      </c>
      <c r="F46" s="57" t="inlineStr">
        <is>
          <t>308-BkW (2025)</t>
        </is>
      </c>
    </row>
    <row r="47" ht="25" customHeight="1" s="55">
      <c r="A47" s="57" t="n">
        <v>46</v>
      </c>
      <c r="B47" s="57" t="n">
        <v>46</v>
      </c>
      <c r="C47" s="57" t="inlineStr">
        <is>
          <t>UKYT-26-037</t>
        </is>
      </c>
      <c r="D47" s="57" t="inlineStr">
        <is>
          <t>Indeterminate</t>
        </is>
      </c>
      <c r="E47" s="57" t="inlineStr">
        <is>
          <t>large tomatoes; red</t>
        </is>
      </c>
      <c r="F47" s="57" t="inlineStr">
        <is>
          <t>410-BkW (2025)</t>
        </is>
      </c>
    </row>
    <row r="48" ht="25" customHeight="1" s="55">
      <c r="A48" s="57" t="n">
        <v>47</v>
      </c>
      <c r="B48" s="57" t="n">
        <v>47</v>
      </c>
      <c r="C48" s="57" t="inlineStr">
        <is>
          <t>UKYT-26-038</t>
        </is>
      </c>
      <c r="D48" s="57" t="inlineStr">
        <is>
          <t>Indeterminate</t>
        </is>
      </c>
      <c r="E48" s="57" t="inlineStr">
        <is>
          <t>large tomatoes; tangerine</t>
        </is>
      </c>
      <c r="F48" s="57" t="inlineStr">
        <is>
          <t>413-1W (2025)</t>
        </is>
      </c>
    </row>
    <row r="49" ht="25" customHeight="1" s="55">
      <c r="A49" s="57" t="n">
        <v>48</v>
      </c>
      <c r="B49" s="57" t="n">
        <v>48</v>
      </c>
      <c r="C49" s="57" t="inlineStr">
        <is>
          <t>UKYT-26-039</t>
        </is>
      </c>
      <c r="D49" s="57" t="inlineStr">
        <is>
          <t>Indeterminate</t>
        </is>
      </c>
      <c r="E49" s="57" t="inlineStr">
        <is>
          <t>large tomatoes; tangerine</t>
        </is>
      </c>
      <c r="F49" s="57" t="inlineStr">
        <is>
          <t>414-3AW (2025)</t>
        </is>
      </c>
    </row>
    <row r="50" ht="25" customHeight="1" s="55">
      <c r="A50" s="57" t="n">
        <v>49</v>
      </c>
      <c r="B50" s="57" t="n">
        <v>49</v>
      </c>
      <c r="C50" s="57" t="inlineStr">
        <is>
          <t>Mountain Fresh Plus</t>
        </is>
      </c>
      <c r="D50" s="57" t="inlineStr">
        <is>
          <t>Determinate</t>
        </is>
      </c>
      <c r="E50" s="57" t="inlineStr">
        <is>
          <t>large tomatoes; red</t>
        </is>
      </c>
      <c r="F50" s="57" t="inlineStr">
        <is>
          <t>Mountain fresh plus</t>
        </is>
      </c>
    </row>
    <row r="51" ht="25" customHeight="1" s="55">
      <c r="A51" s="57" t="n">
        <v>50</v>
      </c>
      <c r="B51" s="57" t="n">
        <v>50</v>
      </c>
      <c r="C51" s="57" t="inlineStr">
        <is>
          <t>BHN589</t>
        </is>
      </c>
      <c r="D51" s="57" t="inlineStr">
        <is>
          <t>Determinate</t>
        </is>
      </c>
      <c r="E51" s="57" t="inlineStr">
        <is>
          <t>large tomatoes; red</t>
        </is>
      </c>
      <c r="F51" s="58" t="inlineStr">
        <is>
          <t>N/A</t>
        </is>
      </c>
    </row>
  </sheetData>
  <autoFilter ref="A1:F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54"/>
  <sheetViews>
    <sheetView showGridLines="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14" bestFit="1" customWidth="1" style="55" min="2" max="2"/>
    <col width="12" bestFit="1" customWidth="1" style="55" min="3" max="3"/>
    <col width="21" bestFit="1" customWidth="1" style="55" min="4" max="4"/>
    <col width="9" bestFit="1" customWidth="1" style="55" min="5" max="5"/>
    <col width="19" bestFit="1" customWidth="1" style="55" min="6" max="6"/>
    <col width="29" bestFit="1" customWidth="1" style="55" min="7" max="7"/>
    <col width="29" bestFit="1" customWidth="1" style="55" min="8" max="8"/>
    <col width="24" bestFit="1" customWidth="1" style="55" min="9" max="9"/>
    <col width="24" customWidth="1" style="55" min="10" max="10"/>
    <col width="29" customWidth="1" style="55" min="11" max="11"/>
    <col width="22" customWidth="1" style="55" min="12" max="12"/>
    <col width="11" customWidth="1" style="55" min="13" max="13"/>
  </cols>
  <sheetData>
    <row r="1" ht="18" customHeight="1" s="55">
      <c r="A1" s="56" t="inlineStr">
        <is>
          <t>SN</t>
        </is>
      </c>
      <c r="B1" s="56" t="inlineStr">
        <is>
          <t>Genotypes</t>
        </is>
      </c>
      <c r="C1" s="56" t="inlineStr">
        <is>
          <t>Location</t>
        </is>
      </c>
      <c r="D1" s="56" t="inlineStr">
        <is>
          <t>Date of harvest</t>
        </is>
      </c>
      <c r="E1" s="56" t="inlineStr">
        <is>
          <t>Harvest</t>
        </is>
      </c>
      <c r="F1" s="56" t="inlineStr">
        <is>
          <t>Experiment</t>
        </is>
      </c>
      <c r="G1" s="56" t="inlineStr">
        <is>
          <t>Grade 1 Marketable (weight)</t>
        </is>
      </c>
      <c r="H1" s="56" t="inlineStr">
        <is>
          <t>Grade 1 Marketable (counts)</t>
        </is>
      </c>
      <c r="I1" s="56" t="inlineStr">
        <is>
          <t>Unmarketables (weight)</t>
        </is>
      </c>
      <c r="J1" s="56" t="inlineStr">
        <is>
          <t>Unmarketables (counts)</t>
        </is>
      </c>
      <c r="K1" s="56" t="inlineStr">
        <is>
          <t>Weight of 20 marketable (g)</t>
        </is>
      </c>
      <c r="L1" s="56" t="inlineStr">
        <is>
          <t>Genotype_raw</t>
        </is>
      </c>
      <c r="M1" s="56" t="inlineStr">
        <is>
          <t>Replicate</t>
        </is>
      </c>
    </row>
    <row r="2" ht="25" customHeight="1" s="55">
      <c r="A2" s="57" t="n">
        <v>1</v>
      </c>
      <c r="B2" s="57" t="inlineStr">
        <is>
          <t>NC25311G</t>
        </is>
      </c>
      <c r="C2" s="57" t="inlineStr">
        <is>
          <t>South Farm</t>
        </is>
      </c>
      <c r="D2" s="59" t="n">
        <v>46226</v>
      </c>
      <c r="E2" s="57" t="inlineStr">
        <is>
          <t>First</t>
        </is>
      </c>
      <c r="F2" s="57" t="inlineStr">
        <is>
          <t>Hybrid evaluation</t>
        </is>
      </c>
      <c r="G2" s="57" t="n">
        <v>132</v>
      </c>
      <c r="H2" s="57" t="n">
        <v>4</v>
      </c>
      <c r="I2" s="57" t="n">
        <v>1168</v>
      </c>
      <c r="J2" s="57" t="n">
        <v>6</v>
      </c>
      <c r="K2" s="57" t="n"/>
      <c r="L2" s="57" t="inlineStr">
        <is>
          <t>NC25311G-1</t>
        </is>
      </c>
      <c r="M2" s="58" t="inlineStr">
        <is>
          <t>N/A</t>
        </is>
      </c>
    </row>
    <row r="3" ht="25" customHeight="1" s="55">
      <c r="A3" s="57" t="n">
        <v>2</v>
      </c>
      <c r="B3" s="57" t="inlineStr">
        <is>
          <t>Mt. Girl</t>
        </is>
      </c>
      <c r="C3" s="57" t="inlineStr">
        <is>
          <t>South Farm</t>
        </is>
      </c>
      <c r="D3" s="59" t="n">
        <v>46226</v>
      </c>
      <c r="E3" s="57" t="inlineStr">
        <is>
          <t>First</t>
        </is>
      </c>
      <c r="F3" s="57" t="inlineStr">
        <is>
          <t>Hybrid evaluation</t>
        </is>
      </c>
      <c r="G3" s="57" t="n">
        <v>3440</v>
      </c>
      <c r="H3" s="57" t="n">
        <v>10</v>
      </c>
      <c r="I3" s="57" t="n">
        <v>3040</v>
      </c>
      <c r="J3" s="57" t="n">
        <v>10</v>
      </c>
      <c r="K3" s="57" t="n"/>
      <c r="L3" s="57" t="inlineStr">
        <is>
          <t>Mountain girl -1</t>
        </is>
      </c>
      <c r="M3" s="58" t="inlineStr">
        <is>
          <t>N/A</t>
        </is>
      </c>
    </row>
    <row r="4" ht="25" customHeight="1" s="55">
      <c r="A4" s="57" t="n">
        <v>3</v>
      </c>
      <c r="B4" s="57" t="inlineStr">
        <is>
          <t>NC25209</t>
        </is>
      </c>
      <c r="C4" s="57" t="inlineStr">
        <is>
          <t>South Farm</t>
        </is>
      </c>
      <c r="D4" s="59" t="n">
        <v>46226</v>
      </c>
      <c r="E4" s="57" t="inlineStr">
        <is>
          <t>First</t>
        </is>
      </c>
      <c r="F4" s="58" t="inlineStr">
        <is>
          <t>N/A</t>
        </is>
      </c>
      <c r="G4" s="57" t="n">
        <v>644</v>
      </c>
      <c r="H4" s="57" t="n">
        <v>2</v>
      </c>
      <c r="I4" s="57" t="n">
        <v>1084</v>
      </c>
      <c r="J4" s="57" t="n">
        <v>3</v>
      </c>
      <c r="K4" s="57" t="n"/>
      <c r="L4" s="57" t="inlineStr">
        <is>
          <t>NC25209-2</t>
        </is>
      </c>
      <c r="M4" s="58" t="inlineStr">
        <is>
          <t>N/A</t>
        </is>
      </c>
    </row>
    <row r="5" ht="25" customHeight="1" s="55">
      <c r="A5" s="57" t="n">
        <v>4</v>
      </c>
      <c r="B5" s="57" t="inlineStr">
        <is>
          <t>Mt. Heritage</t>
        </is>
      </c>
      <c r="C5" s="57" t="inlineStr">
        <is>
          <t>South Farm</t>
        </is>
      </c>
      <c r="D5" s="59" t="n">
        <v>46226</v>
      </c>
      <c r="E5" s="57" t="inlineStr">
        <is>
          <t>First</t>
        </is>
      </c>
      <c r="F5" s="57" t="inlineStr">
        <is>
          <t>Hybrid evaluation</t>
        </is>
      </c>
      <c r="G5" s="57" t="n">
        <v>882</v>
      </c>
      <c r="H5" s="57" t="n">
        <v>3</v>
      </c>
      <c r="I5" s="57" t="n">
        <v>1637</v>
      </c>
      <c r="J5" s="57" t="n">
        <v>5</v>
      </c>
      <c r="K5" s="57" t="n"/>
      <c r="L5" s="57" t="inlineStr">
        <is>
          <t>Mountain heritage -1</t>
        </is>
      </c>
      <c r="M5" s="58" t="inlineStr">
        <is>
          <t>N/A</t>
        </is>
      </c>
    </row>
    <row r="6" ht="25" customHeight="1" s="55">
      <c r="A6" s="57" t="n">
        <v>5</v>
      </c>
      <c r="B6" s="57" t="inlineStr">
        <is>
          <t>NC25315G</t>
        </is>
      </c>
      <c r="C6" s="57" t="inlineStr">
        <is>
          <t>South Farm</t>
        </is>
      </c>
      <c r="D6" s="59" t="n">
        <v>46226</v>
      </c>
      <c r="E6" s="57" t="inlineStr">
        <is>
          <t>First</t>
        </is>
      </c>
      <c r="F6" s="57" t="inlineStr">
        <is>
          <t>Hybrid evaluation</t>
        </is>
      </c>
      <c r="G6" s="57" t="n">
        <v>800</v>
      </c>
      <c r="H6" s="57" t="n">
        <v>3</v>
      </c>
      <c r="I6" s="57" t="n">
        <v>668</v>
      </c>
      <c r="J6" s="57" t="n">
        <v>3</v>
      </c>
      <c r="K6" s="57" t="n"/>
      <c r="L6" s="57" t="inlineStr">
        <is>
          <t>NC25315G-1</t>
        </is>
      </c>
      <c r="M6" s="58" t="inlineStr">
        <is>
          <t>N/A</t>
        </is>
      </c>
    </row>
    <row r="7" ht="25" customHeight="1" s="55">
      <c r="A7" s="57" t="n">
        <v>6</v>
      </c>
      <c r="B7" s="57" t="inlineStr">
        <is>
          <t>NC264G</t>
        </is>
      </c>
      <c r="C7" s="57" t="inlineStr">
        <is>
          <t>South Farm</t>
        </is>
      </c>
      <c r="D7" s="59" t="n">
        <v>46226</v>
      </c>
      <c r="E7" s="57" t="inlineStr">
        <is>
          <t>First</t>
        </is>
      </c>
      <c r="F7" s="57" t="inlineStr">
        <is>
          <t>Hybrid evaluation</t>
        </is>
      </c>
      <c r="G7" s="57" t="n">
        <v>1308</v>
      </c>
      <c r="H7" s="57" t="n">
        <v>5</v>
      </c>
      <c r="I7" s="57" t="n">
        <v>1324</v>
      </c>
      <c r="J7" s="57" t="n">
        <v>4</v>
      </c>
      <c r="K7" s="57" t="n"/>
      <c r="L7" s="57" t="inlineStr">
        <is>
          <t>NC264G-1</t>
        </is>
      </c>
      <c r="M7" s="58" t="inlineStr">
        <is>
          <t>N/A</t>
        </is>
      </c>
    </row>
    <row r="8" ht="25" customHeight="1" s="55">
      <c r="A8" s="57" t="n">
        <v>7</v>
      </c>
      <c r="B8" s="57" t="inlineStr">
        <is>
          <t>NC25218</t>
        </is>
      </c>
      <c r="C8" s="57" t="inlineStr">
        <is>
          <t>South Farm</t>
        </is>
      </c>
      <c r="D8" s="59" t="n">
        <v>46226</v>
      </c>
      <c r="E8" s="57" t="inlineStr">
        <is>
          <t>First</t>
        </is>
      </c>
      <c r="F8" s="58" t="inlineStr">
        <is>
          <t>N/A</t>
        </is>
      </c>
      <c r="G8" s="57" t="n">
        <v>1772</v>
      </c>
      <c r="H8" s="57" t="n">
        <v>6</v>
      </c>
      <c r="I8" s="57" t="n">
        <v>707</v>
      </c>
      <c r="J8" s="57" t="n">
        <v>4</v>
      </c>
      <c r="K8" s="57" t="n"/>
      <c r="L8" s="57" t="inlineStr">
        <is>
          <t>NC25218-1</t>
        </is>
      </c>
      <c r="M8" s="58" t="inlineStr">
        <is>
          <t>N/A</t>
        </is>
      </c>
    </row>
    <row r="9" ht="25" customHeight="1" s="55">
      <c r="A9" s="57" t="n">
        <v>8</v>
      </c>
      <c r="B9" s="57" t="inlineStr">
        <is>
          <t>NC25202</t>
        </is>
      </c>
      <c r="C9" s="57" t="inlineStr">
        <is>
          <t>South Farm</t>
        </is>
      </c>
      <c r="D9" s="59" t="n">
        <v>46226</v>
      </c>
      <c r="E9" s="57" t="inlineStr">
        <is>
          <t>First</t>
        </is>
      </c>
      <c r="F9" s="58" t="inlineStr">
        <is>
          <t>N/A</t>
        </is>
      </c>
      <c r="G9" s="57" t="n">
        <v>721</v>
      </c>
      <c r="H9" s="57" t="n">
        <v>3</v>
      </c>
      <c r="I9" s="57" t="n">
        <v>707</v>
      </c>
      <c r="J9" s="57" t="n">
        <v>4</v>
      </c>
      <c r="K9" s="57" t="n"/>
      <c r="L9" s="57" t="inlineStr">
        <is>
          <t>NC25202-2</t>
        </is>
      </c>
      <c r="M9" s="58" t="inlineStr">
        <is>
          <t>N/A</t>
        </is>
      </c>
    </row>
    <row r="10" ht="25" customHeight="1" s="55">
      <c r="A10" s="57" t="n">
        <v>9</v>
      </c>
      <c r="B10" s="57" t="inlineStr">
        <is>
          <t>NC20203</t>
        </is>
      </c>
      <c r="C10" s="57" t="inlineStr">
        <is>
          <t>South Farm</t>
        </is>
      </c>
      <c r="D10" s="59" t="n">
        <v>46226</v>
      </c>
      <c r="E10" s="57" t="inlineStr">
        <is>
          <t>First</t>
        </is>
      </c>
      <c r="F10" s="58" t="inlineStr">
        <is>
          <t>N/A</t>
        </is>
      </c>
      <c r="G10" s="57" t="n">
        <v>916</v>
      </c>
      <c r="H10" s="57" t="n">
        <v>4</v>
      </c>
      <c r="I10" s="57" t="n">
        <v>1143</v>
      </c>
      <c r="J10" s="57" t="n">
        <v>4</v>
      </c>
      <c r="K10" s="57" t="n"/>
      <c r="L10" s="57" t="inlineStr">
        <is>
          <t>NC20203-2</t>
        </is>
      </c>
      <c r="M10" s="58" t="inlineStr">
        <is>
          <t>N/A</t>
        </is>
      </c>
    </row>
    <row r="11" ht="25" customHeight="1" s="55">
      <c r="A11" s="57" t="n">
        <v>10</v>
      </c>
      <c r="B11" s="57" t="inlineStr">
        <is>
          <t>NC25205</t>
        </is>
      </c>
      <c r="C11" s="57" t="inlineStr">
        <is>
          <t>South Farm</t>
        </is>
      </c>
      <c r="D11" s="59" t="n">
        <v>46226</v>
      </c>
      <c r="E11" s="57" t="inlineStr">
        <is>
          <t>First</t>
        </is>
      </c>
      <c r="F11" s="58" t="inlineStr">
        <is>
          <t>N/A</t>
        </is>
      </c>
      <c r="G11" s="57" t="n">
        <v>1057</v>
      </c>
      <c r="H11" s="57" t="n">
        <v>4</v>
      </c>
      <c r="I11" s="57" t="n">
        <v>1673</v>
      </c>
      <c r="J11" s="57" t="n">
        <v>6</v>
      </c>
      <c r="K11" s="57" t="n"/>
      <c r="L11" s="57" t="inlineStr">
        <is>
          <t>NC25205-2</t>
        </is>
      </c>
      <c r="M11" s="58" t="inlineStr">
        <is>
          <t>N/A</t>
        </is>
      </c>
    </row>
    <row r="12" ht="25" customHeight="1" s="55">
      <c r="A12" s="57" t="n">
        <v>11</v>
      </c>
      <c r="B12" s="57" t="inlineStr">
        <is>
          <t>NC25317</t>
        </is>
      </c>
      <c r="C12" s="57" t="inlineStr">
        <is>
          <t>South Farm</t>
        </is>
      </c>
      <c r="D12" s="59" t="n">
        <v>46226</v>
      </c>
      <c r="E12" s="57" t="inlineStr">
        <is>
          <t>First</t>
        </is>
      </c>
      <c r="F12" s="58" t="inlineStr">
        <is>
          <t>N/A</t>
        </is>
      </c>
      <c r="G12" s="57" t="n">
        <v>2603</v>
      </c>
      <c r="H12" s="57" t="n">
        <v>13</v>
      </c>
      <c r="I12" s="57" t="n">
        <v>1277</v>
      </c>
      <c r="J12" s="57" t="n">
        <v>4</v>
      </c>
      <c r="K12" s="57" t="n"/>
      <c r="L12" s="57" t="inlineStr">
        <is>
          <t>NC25317</t>
        </is>
      </c>
      <c r="M12" s="58" t="inlineStr">
        <is>
          <t>N/A</t>
        </is>
      </c>
    </row>
    <row r="13" ht="25" customHeight="1" s="55">
      <c r="A13" s="57" t="n">
        <v>12</v>
      </c>
      <c r="B13" s="57" t="inlineStr">
        <is>
          <t>NC25207G</t>
        </is>
      </c>
      <c r="C13" s="57" t="inlineStr">
        <is>
          <t>South Farm</t>
        </is>
      </c>
      <c r="D13" s="59" t="n">
        <v>46226</v>
      </c>
      <c r="E13" s="57" t="inlineStr">
        <is>
          <t>First</t>
        </is>
      </c>
      <c r="F13" s="57" t="inlineStr">
        <is>
          <t>Hybrid evaluation</t>
        </is>
      </c>
      <c r="G13" s="57" t="n">
        <v>155</v>
      </c>
      <c r="H13" s="57" t="n">
        <v>1</v>
      </c>
      <c r="I13" s="57" t="n">
        <v>1023</v>
      </c>
      <c r="J13" s="57" t="n">
        <v>6</v>
      </c>
      <c r="K13" s="57" t="n"/>
      <c r="L13" s="57" t="inlineStr">
        <is>
          <t>NC25207G-2</t>
        </is>
      </c>
      <c r="M13" s="58" t="inlineStr">
        <is>
          <t>N/A</t>
        </is>
      </c>
    </row>
    <row r="14" ht="25" customHeight="1" s="55">
      <c r="A14" s="57" t="n">
        <v>13</v>
      </c>
      <c r="B14" s="57" t="inlineStr">
        <is>
          <t>NC25313</t>
        </is>
      </c>
      <c r="C14" s="57" t="inlineStr">
        <is>
          <t>South Farm</t>
        </is>
      </c>
      <c r="D14" s="59" t="n">
        <v>46226</v>
      </c>
      <c r="E14" s="57" t="inlineStr">
        <is>
          <t>First</t>
        </is>
      </c>
      <c r="F14" s="58" t="inlineStr">
        <is>
          <t>N/A</t>
        </is>
      </c>
      <c r="G14" s="57" t="n">
        <v>0</v>
      </c>
      <c r="H14" s="57" t="n">
        <v>0</v>
      </c>
      <c r="I14" s="57" t="n">
        <v>694</v>
      </c>
      <c r="J14" s="57" t="n">
        <v>4</v>
      </c>
      <c r="K14" s="57" t="n"/>
      <c r="L14" s="57" t="inlineStr">
        <is>
          <t>NC25313-1</t>
        </is>
      </c>
      <c r="M14" s="58" t="inlineStr">
        <is>
          <t>N/A</t>
        </is>
      </c>
    </row>
    <row r="15" ht="25" customHeight="1" s="55">
      <c r="A15" s="57" t="n">
        <v>14</v>
      </c>
      <c r="B15" s="57" t="inlineStr">
        <is>
          <t>NC25240G</t>
        </is>
      </c>
      <c r="C15" s="57" t="inlineStr">
        <is>
          <t>South Farm</t>
        </is>
      </c>
      <c r="D15" s="59" t="n">
        <v>46226</v>
      </c>
      <c r="E15" s="57" t="inlineStr">
        <is>
          <t>First</t>
        </is>
      </c>
      <c r="F15" s="57" t="inlineStr">
        <is>
          <t>Hybrid evaluation</t>
        </is>
      </c>
      <c r="G15" s="57" t="n">
        <v>1062</v>
      </c>
      <c r="H15" s="57" t="n">
        <v>4</v>
      </c>
      <c r="I15" s="57" t="n">
        <v>467</v>
      </c>
      <c r="J15" s="57" t="n">
        <v>3</v>
      </c>
      <c r="K15" s="57" t="n"/>
      <c r="L15" s="57" t="inlineStr">
        <is>
          <t>NC25240G-2</t>
        </is>
      </c>
      <c r="M15" s="58" t="inlineStr">
        <is>
          <t>N/A</t>
        </is>
      </c>
    </row>
    <row r="16" ht="25" customHeight="1" s="55">
      <c r="A16" s="57" t="n">
        <v>15</v>
      </c>
      <c r="B16" s="57" t="inlineStr">
        <is>
          <t>NC25304</t>
        </is>
      </c>
      <c r="C16" s="57" t="inlineStr">
        <is>
          <t>South Farm</t>
        </is>
      </c>
      <c r="D16" s="59" t="n">
        <v>46226</v>
      </c>
      <c r="E16" s="57" t="inlineStr">
        <is>
          <t>First</t>
        </is>
      </c>
      <c r="F16" s="58" t="inlineStr">
        <is>
          <t>N/A</t>
        </is>
      </c>
      <c r="G16" s="57" t="n">
        <v>997</v>
      </c>
      <c r="H16" s="57" t="n">
        <v>3</v>
      </c>
      <c r="I16" s="57" t="n">
        <v>1315</v>
      </c>
      <c r="J16" s="57" t="n">
        <v>4</v>
      </c>
      <c r="K16" s="57" t="n"/>
      <c r="L16" s="57" t="inlineStr">
        <is>
          <t>NC25304-1</t>
        </is>
      </c>
      <c r="M16" s="58" t="inlineStr">
        <is>
          <t>N/A</t>
        </is>
      </c>
    </row>
    <row r="17" ht="25" customHeight="1" s="55">
      <c r="A17" s="57" t="n">
        <v>16</v>
      </c>
      <c r="B17" s="57" t="inlineStr">
        <is>
          <t>NC25231G</t>
        </is>
      </c>
      <c r="C17" s="57" t="inlineStr">
        <is>
          <t>South Farm</t>
        </is>
      </c>
      <c r="D17" s="59" t="n">
        <v>46226</v>
      </c>
      <c r="E17" s="57" t="inlineStr">
        <is>
          <t>First</t>
        </is>
      </c>
      <c r="F17" s="57" t="inlineStr">
        <is>
          <t>Hybrid evaluation</t>
        </is>
      </c>
      <c r="G17" s="57" t="n">
        <v>208</v>
      </c>
      <c r="H17" s="57" t="n">
        <v>1</v>
      </c>
      <c r="I17" s="57" t="n">
        <v>0</v>
      </c>
      <c r="J17" s="57" t="n">
        <v>0</v>
      </c>
      <c r="K17" s="57" t="n"/>
      <c r="L17" s="57" t="inlineStr">
        <is>
          <t>NC25231G-2</t>
        </is>
      </c>
      <c r="M17" s="58" t="inlineStr">
        <is>
          <t>N/A</t>
        </is>
      </c>
    </row>
    <row r="18" ht="25" customHeight="1" s="55">
      <c r="A18" s="57" t="n">
        <v>17</v>
      </c>
      <c r="B18" s="57" t="inlineStr">
        <is>
          <t>NC25306G</t>
        </is>
      </c>
      <c r="C18" s="57" t="inlineStr">
        <is>
          <t>South Farm</t>
        </is>
      </c>
      <c r="D18" s="59" t="n">
        <v>46226</v>
      </c>
      <c r="E18" s="57" t="inlineStr">
        <is>
          <t>First</t>
        </is>
      </c>
      <c r="F18" s="57" t="inlineStr">
        <is>
          <t>Hybrid evaluation</t>
        </is>
      </c>
      <c r="G18" s="57" t="n">
        <v>1167</v>
      </c>
      <c r="H18" s="57" t="n">
        <v>4</v>
      </c>
      <c r="I18" s="57" t="n">
        <v>1093</v>
      </c>
      <c r="J18" s="57" t="n">
        <v>6</v>
      </c>
      <c r="K18" s="57" t="n"/>
      <c r="L18" s="57" t="inlineStr">
        <is>
          <t>NC25306G-1</t>
        </is>
      </c>
      <c r="M18" s="58" t="inlineStr">
        <is>
          <t>N/A</t>
        </is>
      </c>
    </row>
    <row r="19" ht="25" customHeight="1" s="55">
      <c r="A19" s="57" t="n">
        <v>18</v>
      </c>
      <c r="B19" s="57" t="inlineStr">
        <is>
          <t>NC25208G</t>
        </is>
      </c>
      <c r="C19" s="57" t="inlineStr">
        <is>
          <t>South Farm</t>
        </is>
      </c>
      <c r="D19" s="59" t="n">
        <v>46226</v>
      </c>
      <c r="E19" s="57" t="inlineStr">
        <is>
          <t>First</t>
        </is>
      </c>
      <c r="F19" s="57" t="inlineStr">
        <is>
          <t>Hybrid evaluation</t>
        </is>
      </c>
      <c r="G19" s="57" t="n">
        <v>862</v>
      </c>
      <c r="H19" s="57" t="n">
        <v>6</v>
      </c>
      <c r="I19" s="57" t="n">
        <v>425</v>
      </c>
      <c r="J19" s="57" t="n">
        <v>2</v>
      </c>
      <c r="K19" s="57" t="n"/>
      <c r="L19" s="57" t="inlineStr">
        <is>
          <t>NC25208G-2</t>
        </is>
      </c>
      <c r="M19" s="58" t="inlineStr">
        <is>
          <t>N/A</t>
        </is>
      </c>
    </row>
    <row r="20" ht="25" customHeight="1" s="55">
      <c r="A20" s="57" t="n">
        <v>19</v>
      </c>
      <c r="B20" s="57" t="inlineStr">
        <is>
          <t>Mt. Gem</t>
        </is>
      </c>
      <c r="C20" s="57" t="inlineStr">
        <is>
          <t>South Farm</t>
        </is>
      </c>
      <c r="D20" s="59" t="n">
        <v>46226</v>
      </c>
      <c r="E20" s="57" t="inlineStr">
        <is>
          <t>First</t>
        </is>
      </c>
      <c r="F20" s="57" t="inlineStr">
        <is>
          <t>Hybrid evaluation</t>
        </is>
      </c>
      <c r="G20" s="57" t="n">
        <v>439</v>
      </c>
      <c r="H20" s="57" t="n">
        <v>2</v>
      </c>
      <c r="I20" s="57" t="n">
        <v>0</v>
      </c>
      <c r="J20" s="57" t="n">
        <v>0</v>
      </c>
      <c r="K20" s="57" t="n"/>
      <c r="L20" s="57" t="inlineStr">
        <is>
          <t>MountainGem-1</t>
        </is>
      </c>
      <c r="M20" s="58" t="inlineStr">
        <is>
          <t>N/A</t>
        </is>
      </c>
    </row>
    <row r="21" ht="25" customHeight="1" s="55">
      <c r="A21" s="57" t="n">
        <v>20</v>
      </c>
      <c r="B21" s="57" t="inlineStr">
        <is>
          <t>Mt. Magic</t>
        </is>
      </c>
      <c r="C21" s="57" t="inlineStr">
        <is>
          <t>South Farm</t>
        </is>
      </c>
      <c r="D21" s="59" t="n">
        <v>46226</v>
      </c>
      <c r="E21" s="57" t="inlineStr">
        <is>
          <t>First</t>
        </is>
      </c>
      <c r="F21" s="57" t="inlineStr">
        <is>
          <t>Hybrid evaluation</t>
        </is>
      </c>
      <c r="G21" s="57" t="n">
        <v>2152</v>
      </c>
      <c r="H21" s="57" t="n">
        <v>54</v>
      </c>
      <c r="I21" s="57" t="n">
        <v>1086</v>
      </c>
      <c r="J21" s="57" t="n">
        <v>30</v>
      </c>
      <c r="K21" s="57" t="n"/>
      <c r="L21" s="57" t="inlineStr">
        <is>
          <t>Mountain magic -1</t>
        </is>
      </c>
      <c r="M21" s="58" t="inlineStr">
        <is>
          <t>N/A</t>
        </is>
      </c>
    </row>
    <row r="22" ht="25" customHeight="1" s="55">
      <c r="A22" s="57" t="n">
        <v>21</v>
      </c>
      <c r="B22" s="57" t="inlineStr">
        <is>
          <t>NC25230G</t>
        </is>
      </c>
      <c r="C22" s="57" t="inlineStr">
        <is>
          <t>South Farm</t>
        </is>
      </c>
      <c r="D22" s="59" t="n">
        <v>46226</v>
      </c>
      <c r="E22" s="57" t="inlineStr">
        <is>
          <t>First</t>
        </is>
      </c>
      <c r="F22" s="57" t="inlineStr">
        <is>
          <t>Hybrid evaluation</t>
        </is>
      </c>
      <c r="G22" s="57" t="n">
        <v>474</v>
      </c>
      <c r="H22" s="57" t="n">
        <v>3</v>
      </c>
      <c r="I22" s="57" t="n">
        <v>0</v>
      </c>
      <c r="J22" s="57" t="n">
        <v>0</v>
      </c>
      <c r="K22" s="57" t="n"/>
      <c r="L22" s="57" t="inlineStr">
        <is>
          <t>NC25230G</t>
        </is>
      </c>
      <c r="M22" s="58" t="inlineStr">
        <is>
          <t>N/A</t>
        </is>
      </c>
    </row>
    <row r="23" ht="25" customHeight="1" s="55">
      <c r="A23" s="57" t="n">
        <v>22</v>
      </c>
      <c r="B23" s="57" t="inlineStr">
        <is>
          <t>NC25203</t>
        </is>
      </c>
      <c r="C23" s="57" t="inlineStr">
        <is>
          <t>South Farm</t>
        </is>
      </c>
      <c r="D23" s="59" t="n">
        <v>46226</v>
      </c>
      <c r="E23" s="57" t="inlineStr">
        <is>
          <t>First</t>
        </is>
      </c>
      <c r="F23" s="58" t="inlineStr">
        <is>
          <t>N/A</t>
        </is>
      </c>
      <c r="G23" s="57" t="n">
        <v>1628</v>
      </c>
      <c r="H23" s="57" t="n">
        <v>6</v>
      </c>
      <c r="I23" s="57" t="n">
        <v>2182</v>
      </c>
      <c r="J23" s="57" t="n">
        <v>8</v>
      </c>
      <c r="K23" s="57" t="n"/>
      <c r="L23" s="57" t="inlineStr">
        <is>
          <t>NC25203-1</t>
        </is>
      </c>
      <c r="M23" s="58" t="inlineStr">
        <is>
          <t>N/A</t>
        </is>
      </c>
    </row>
    <row r="24" ht="25" customHeight="1" s="55">
      <c r="A24" s="57" t="n">
        <v>23</v>
      </c>
      <c r="B24" s="57" t="inlineStr">
        <is>
          <t>NC262G</t>
        </is>
      </c>
      <c r="C24" s="57" t="inlineStr">
        <is>
          <t>South Farm</t>
        </is>
      </c>
      <c r="D24" s="59" t="n">
        <v>46226</v>
      </c>
      <c r="E24" s="57" t="inlineStr">
        <is>
          <t>First</t>
        </is>
      </c>
      <c r="F24" s="57" t="inlineStr">
        <is>
          <t>Hybrid evaluation</t>
        </is>
      </c>
      <c r="G24" s="57" t="n">
        <v>0</v>
      </c>
      <c r="H24" s="57" t="n">
        <v>0</v>
      </c>
      <c r="I24" s="57" t="n">
        <v>1046</v>
      </c>
      <c r="J24" s="57" t="n">
        <v>3</v>
      </c>
      <c r="K24" s="57" t="n"/>
      <c r="L24" s="57" t="inlineStr">
        <is>
          <t>NC262G-2</t>
        </is>
      </c>
      <c r="M24" s="58" t="inlineStr">
        <is>
          <t>N/A</t>
        </is>
      </c>
    </row>
    <row r="25" ht="25" customHeight="1" s="55">
      <c r="A25" s="57" t="n">
        <v>24</v>
      </c>
      <c r="B25" s="57" t="inlineStr">
        <is>
          <t>NC25217G</t>
        </is>
      </c>
      <c r="C25" s="57" t="inlineStr">
        <is>
          <t>South Farm</t>
        </is>
      </c>
      <c r="D25" s="59" t="n">
        <v>46226</v>
      </c>
      <c r="E25" s="57" t="inlineStr">
        <is>
          <t>First</t>
        </is>
      </c>
      <c r="F25" s="57" t="inlineStr">
        <is>
          <t>Hybrid evaluation</t>
        </is>
      </c>
      <c r="G25" s="57" t="n">
        <v>1355</v>
      </c>
      <c r="H25" s="57" t="n">
        <v>6</v>
      </c>
      <c r="I25" s="57" t="n">
        <v>2353</v>
      </c>
      <c r="J25" s="57" t="n">
        <v>10</v>
      </c>
      <c r="K25" s="57" t="n"/>
      <c r="L25" s="57" t="inlineStr">
        <is>
          <t>NC25217G-1</t>
        </is>
      </c>
      <c r="M25" s="58" t="inlineStr">
        <is>
          <t>N/A</t>
        </is>
      </c>
    </row>
    <row r="26" ht="25" customHeight="1" s="55">
      <c r="A26" s="57" t="n">
        <v>25</v>
      </c>
      <c r="B26" s="57" t="inlineStr">
        <is>
          <t>NC25212G</t>
        </is>
      </c>
      <c r="C26" s="57" t="inlineStr">
        <is>
          <t>South Farm</t>
        </is>
      </c>
      <c r="D26" s="59" t="n">
        <v>46226</v>
      </c>
      <c r="E26" s="57" t="inlineStr">
        <is>
          <t>First</t>
        </is>
      </c>
      <c r="F26" s="57" t="inlineStr">
        <is>
          <t>Hybrid evaluation</t>
        </is>
      </c>
      <c r="G26" s="57" t="n">
        <v>0</v>
      </c>
      <c r="H26" s="57" t="n">
        <v>0</v>
      </c>
      <c r="I26" s="57" t="n">
        <v>995</v>
      </c>
      <c r="J26" s="57" t="n">
        <v>3</v>
      </c>
      <c r="K26" s="57" t="n"/>
      <c r="L26" s="57" t="inlineStr">
        <is>
          <t>NC25212G-1</t>
        </is>
      </c>
      <c r="M26" s="58" t="inlineStr">
        <is>
          <t>N/A</t>
        </is>
      </c>
    </row>
    <row r="27" ht="25" customHeight="1" s="55">
      <c r="A27" s="57" t="n">
        <v>26</v>
      </c>
      <c r="B27" s="57" t="inlineStr">
        <is>
          <t>NC263G</t>
        </is>
      </c>
      <c r="C27" s="57" t="inlineStr">
        <is>
          <t>South Farm</t>
        </is>
      </c>
      <c r="D27" s="59" t="n">
        <v>46226</v>
      </c>
      <c r="E27" s="57" t="inlineStr">
        <is>
          <t>First</t>
        </is>
      </c>
      <c r="F27" s="57" t="inlineStr">
        <is>
          <t>Hybrid evaluation</t>
        </is>
      </c>
      <c r="G27" s="57" t="n">
        <v>0</v>
      </c>
      <c r="H27" s="57" t="n">
        <v>0</v>
      </c>
      <c r="I27" s="57" t="n">
        <v>152</v>
      </c>
      <c r="J27" s="57" t="n">
        <v>1</v>
      </c>
      <c r="K27" s="57" t="n"/>
      <c r="L27" s="57" t="inlineStr">
        <is>
          <t>NC263G-1</t>
        </is>
      </c>
      <c r="M27" s="58" t="inlineStr">
        <is>
          <t>N/A</t>
        </is>
      </c>
    </row>
    <row r="28" ht="25" customHeight="1" s="55">
      <c r="A28" s="57" t="n">
        <v>27</v>
      </c>
      <c r="B28" s="57" t="inlineStr">
        <is>
          <t>NC262G</t>
        </is>
      </c>
      <c r="C28" s="57" t="inlineStr">
        <is>
          <t>South Farm</t>
        </is>
      </c>
      <c r="D28" s="59" t="n">
        <v>46226</v>
      </c>
      <c r="E28" s="57" t="inlineStr">
        <is>
          <t>First</t>
        </is>
      </c>
      <c r="F28" s="57" t="inlineStr">
        <is>
          <t>Hybrid evaluation</t>
        </is>
      </c>
      <c r="G28" s="57" t="n">
        <v>1085</v>
      </c>
      <c r="H28" s="57" t="n">
        <v>4</v>
      </c>
      <c r="I28" s="57" t="n">
        <v>0</v>
      </c>
      <c r="J28" s="57" t="n">
        <v>0</v>
      </c>
      <c r="K28" s="57" t="n"/>
      <c r="L28" s="57" t="inlineStr">
        <is>
          <t>NC262G-1</t>
        </is>
      </c>
      <c r="M28" s="58" t="inlineStr">
        <is>
          <t>N/A</t>
        </is>
      </c>
    </row>
    <row r="29" ht="25" customHeight="1" s="55">
      <c r="A29" s="57" t="n">
        <v>28</v>
      </c>
      <c r="B29" s="57" t="inlineStr">
        <is>
          <t>NC261G</t>
        </is>
      </c>
      <c r="C29" s="57" t="inlineStr">
        <is>
          <t>South Farm</t>
        </is>
      </c>
      <c r="D29" s="59" t="n">
        <v>46226</v>
      </c>
      <c r="E29" s="57" t="inlineStr">
        <is>
          <t>First</t>
        </is>
      </c>
      <c r="F29" s="57" t="inlineStr">
        <is>
          <t>Hybrid evaluation</t>
        </is>
      </c>
      <c r="G29" s="57" t="n">
        <v>722</v>
      </c>
      <c r="H29" s="57" t="n">
        <v>5</v>
      </c>
      <c r="I29" s="57" t="n">
        <v>141</v>
      </c>
      <c r="J29" s="57" t="n">
        <v>1</v>
      </c>
      <c r="K29" s="57" t="n"/>
      <c r="L29" s="57" t="inlineStr">
        <is>
          <t>NC261G-1</t>
        </is>
      </c>
      <c r="M29" s="58" t="inlineStr">
        <is>
          <t>N/A</t>
        </is>
      </c>
    </row>
    <row r="30" ht="25" customHeight="1" s="55">
      <c r="A30" s="57" t="n">
        <v>29</v>
      </c>
      <c r="B30" s="57" t="inlineStr">
        <is>
          <t>NC23926G</t>
        </is>
      </c>
      <c r="C30" s="57" t="inlineStr">
        <is>
          <t>South Farm</t>
        </is>
      </c>
      <c r="D30" s="59" t="n">
        <v>46226</v>
      </c>
      <c r="E30" s="57" t="inlineStr">
        <is>
          <t>First</t>
        </is>
      </c>
      <c r="F30" s="57" t="inlineStr">
        <is>
          <t>Hybrid evaluation</t>
        </is>
      </c>
      <c r="G30" s="57" t="n">
        <v>0</v>
      </c>
      <c r="H30" s="57" t="n">
        <v>0</v>
      </c>
      <c r="I30" s="57" t="n">
        <v>212</v>
      </c>
      <c r="J30" s="57" t="n">
        <v>1</v>
      </c>
      <c r="K30" s="57" t="n"/>
      <c r="L30" s="57" t="inlineStr">
        <is>
          <t>NC23926G-1</t>
        </is>
      </c>
      <c r="M30" s="58" t="inlineStr">
        <is>
          <t>N/A</t>
        </is>
      </c>
    </row>
    <row r="31" ht="25" customHeight="1" s="55">
      <c r="A31" s="57" t="n">
        <v>30</v>
      </c>
      <c r="B31" s="57" t="inlineStr">
        <is>
          <t>NC255G</t>
        </is>
      </c>
      <c r="C31" s="57" t="inlineStr">
        <is>
          <t>South Farm</t>
        </is>
      </c>
      <c r="D31" s="59" t="n">
        <v>46226</v>
      </c>
      <c r="E31" s="57" t="inlineStr">
        <is>
          <t>First</t>
        </is>
      </c>
      <c r="F31" s="57" t="inlineStr">
        <is>
          <t>Hybrid evaluation</t>
        </is>
      </c>
      <c r="G31" s="57" t="n">
        <v>568</v>
      </c>
      <c r="H31" s="57" t="n">
        <v>3</v>
      </c>
      <c r="I31" s="57" t="n">
        <v>1046</v>
      </c>
      <c r="J31" s="57" t="n">
        <v>10</v>
      </c>
      <c r="K31" s="57" t="n"/>
      <c r="L31" s="57" t="inlineStr">
        <is>
          <t>NC255G-1</t>
        </is>
      </c>
      <c r="M31" s="58" t="inlineStr">
        <is>
          <t>N/A</t>
        </is>
      </c>
    </row>
    <row r="32" ht="25" customHeight="1" s="55">
      <c r="A32" s="57" t="n">
        <v>31</v>
      </c>
      <c r="B32" s="57" t="inlineStr">
        <is>
          <t>NC25205G-1`</t>
        </is>
      </c>
      <c r="C32" s="57" t="inlineStr">
        <is>
          <t>South Farm</t>
        </is>
      </c>
      <c r="D32" s="59" t="n">
        <v>46226</v>
      </c>
      <c r="E32" s="57" t="inlineStr">
        <is>
          <t>First</t>
        </is>
      </c>
      <c r="F32" s="58" t="inlineStr">
        <is>
          <t>N/A</t>
        </is>
      </c>
      <c r="G32" s="57" t="n">
        <v>567</v>
      </c>
      <c r="H32" s="57" t="n">
        <v>3</v>
      </c>
      <c r="I32" s="57" t="n">
        <v>988</v>
      </c>
      <c r="J32" s="57" t="n">
        <v>4</v>
      </c>
      <c r="K32" s="57" t="n"/>
      <c r="L32" s="57" t="inlineStr">
        <is>
          <t>NC25205G-1`</t>
        </is>
      </c>
      <c r="M32" s="58" t="inlineStr">
        <is>
          <t>N/A</t>
        </is>
      </c>
    </row>
    <row r="33" ht="25" customHeight="1" s="55">
      <c r="A33" s="57" t="n">
        <v>32</v>
      </c>
      <c r="B33" s="57" t="inlineStr">
        <is>
          <t>NC25202G</t>
        </is>
      </c>
      <c r="C33" s="57" t="inlineStr">
        <is>
          <t>South Farm</t>
        </is>
      </c>
      <c r="D33" s="59" t="n">
        <v>46226</v>
      </c>
      <c r="E33" s="57" t="inlineStr">
        <is>
          <t>First</t>
        </is>
      </c>
      <c r="F33" s="57" t="inlineStr">
        <is>
          <t>Hybrid evaluation</t>
        </is>
      </c>
      <c r="G33" s="57" t="n">
        <v>3105</v>
      </c>
      <c r="H33" s="57" t="n">
        <v>13</v>
      </c>
      <c r="I33" s="57" t="n">
        <v>1492</v>
      </c>
      <c r="J33" s="57" t="n">
        <v>6</v>
      </c>
      <c r="K33" s="57" t="n"/>
      <c r="L33" s="57" t="inlineStr">
        <is>
          <t>NC25202G-1</t>
        </is>
      </c>
      <c r="M33" s="58" t="inlineStr">
        <is>
          <t>N/A</t>
        </is>
      </c>
    </row>
    <row r="34" ht="25" customHeight="1" s="55">
      <c r="A34" s="57" t="n">
        <v>33</v>
      </c>
      <c r="B34" s="57" t="inlineStr">
        <is>
          <t>NC25210G</t>
        </is>
      </c>
      <c r="C34" s="57" t="inlineStr">
        <is>
          <t>South Farm</t>
        </is>
      </c>
      <c r="D34" s="59" t="n">
        <v>46226</v>
      </c>
      <c r="E34" s="57" t="inlineStr">
        <is>
          <t>First</t>
        </is>
      </c>
      <c r="F34" s="57" t="inlineStr">
        <is>
          <t>Hybrid evaluation</t>
        </is>
      </c>
      <c r="G34" s="57" t="n">
        <v>490</v>
      </c>
      <c r="H34" s="57" t="n">
        <v>1</v>
      </c>
      <c r="I34" s="57" t="n">
        <v>0</v>
      </c>
      <c r="J34" s="57" t="n">
        <v>0</v>
      </c>
      <c r="K34" s="57" t="n"/>
      <c r="L34" s="57" t="inlineStr">
        <is>
          <t>NC25210G-1</t>
        </is>
      </c>
      <c r="M34" s="58" t="inlineStr">
        <is>
          <t>N/A</t>
        </is>
      </c>
    </row>
    <row r="35" ht="25" customHeight="1" s="55">
      <c r="A35" s="57" t="n">
        <v>34</v>
      </c>
      <c r="B35" s="57" t="inlineStr">
        <is>
          <t>NC25212G</t>
        </is>
      </c>
      <c r="C35" s="57" t="inlineStr">
        <is>
          <t>South Farm</t>
        </is>
      </c>
      <c r="D35" s="59" t="n">
        <v>46226</v>
      </c>
      <c r="E35" s="57" t="inlineStr">
        <is>
          <t>First</t>
        </is>
      </c>
      <c r="F35" s="57" t="inlineStr">
        <is>
          <t>Hybrid evaluation</t>
        </is>
      </c>
      <c r="G35" s="57" t="n">
        <v>1392</v>
      </c>
      <c r="H35" s="57" t="n">
        <v>3</v>
      </c>
      <c r="I35" s="57" t="n">
        <v>0</v>
      </c>
      <c r="J35" s="57" t="n">
        <v>0</v>
      </c>
      <c r="K35" s="57" t="n"/>
      <c r="L35" s="57" t="inlineStr">
        <is>
          <t>NC25212G-2</t>
        </is>
      </c>
      <c r="M35" s="58" t="inlineStr">
        <is>
          <t>N/A</t>
        </is>
      </c>
    </row>
    <row r="36" ht="25" customHeight="1" s="55">
      <c r="A36" s="57" t="n">
        <v>35</v>
      </c>
      <c r="B36" s="57" t="inlineStr">
        <is>
          <t>NC25217G</t>
        </is>
      </c>
      <c r="C36" s="57" t="inlineStr">
        <is>
          <t>South Farm</t>
        </is>
      </c>
      <c r="D36" s="59" t="n">
        <v>46226</v>
      </c>
      <c r="E36" s="57" t="inlineStr">
        <is>
          <t>First</t>
        </is>
      </c>
      <c r="F36" s="57" t="inlineStr">
        <is>
          <t>Hybrid evaluation</t>
        </is>
      </c>
      <c r="G36" s="57" t="n">
        <v>1821</v>
      </c>
      <c r="H36" s="57" t="n">
        <v>7</v>
      </c>
      <c r="I36" s="57" t="n">
        <v>1984</v>
      </c>
      <c r="J36" s="57" t="n">
        <v>11</v>
      </c>
      <c r="K36" s="57" t="n"/>
      <c r="L36" s="57" t="inlineStr">
        <is>
          <t>NC25217G-2</t>
        </is>
      </c>
      <c r="M36" s="58" t="inlineStr">
        <is>
          <t>N/A</t>
        </is>
      </c>
    </row>
    <row r="37" ht="25" customHeight="1" s="55">
      <c r="A37" s="57" t="n">
        <v>36</v>
      </c>
      <c r="B37" s="57" t="inlineStr">
        <is>
          <t>NC25241G</t>
        </is>
      </c>
      <c r="C37" s="57" t="inlineStr">
        <is>
          <t>South Farm</t>
        </is>
      </c>
      <c r="D37" s="59" t="n">
        <v>46226</v>
      </c>
      <c r="E37" s="57" t="inlineStr">
        <is>
          <t>First</t>
        </is>
      </c>
      <c r="F37" s="57" t="inlineStr">
        <is>
          <t>Hybrid evaluation</t>
        </is>
      </c>
      <c r="G37" s="57" t="n">
        <v>583</v>
      </c>
      <c r="H37" s="57" t="n">
        <v>3</v>
      </c>
      <c r="I37" s="57" t="n">
        <v>865</v>
      </c>
      <c r="J37" s="57" t="n">
        <v>5</v>
      </c>
      <c r="K37" s="57" t="n"/>
      <c r="L37" s="57" t="inlineStr">
        <is>
          <t>NC25241G-2</t>
        </is>
      </c>
      <c r="M37" s="58" t="inlineStr">
        <is>
          <t>N/A</t>
        </is>
      </c>
    </row>
    <row r="38" ht="25" customHeight="1" s="55">
      <c r="A38" s="57" t="n">
        <v>37</v>
      </c>
      <c r="B38" s="57" t="inlineStr">
        <is>
          <t>NC24271G</t>
        </is>
      </c>
      <c r="C38" s="57" t="inlineStr">
        <is>
          <t>South Farm</t>
        </is>
      </c>
      <c r="D38" s="59" t="n">
        <v>46226</v>
      </c>
      <c r="E38" s="57" t="inlineStr">
        <is>
          <t>First</t>
        </is>
      </c>
      <c r="F38" s="57" t="inlineStr">
        <is>
          <t>Hybrid evaluation</t>
        </is>
      </c>
      <c r="G38" s="57" t="n">
        <v>147</v>
      </c>
      <c r="H38" s="57" t="n">
        <v>1</v>
      </c>
      <c r="I38" s="57" t="n">
        <v>267</v>
      </c>
      <c r="J38" s="57" t="n">
        <v>2</v>
      </c>
      <c r="K38" s="57" t="n"/>
      <c r="L38" s="57" t="inlineStr">
        <is>
          <t>NC24271G-2</t>
        </is>
      </c>
      <c r="M38" s="58" t="inlineStr">
        <is>
          <t>N/A</t>
        </is>
      </c>
    </row>
    <row r="39" ht="25" customHeight="1" s="55">
      <c r="A39" s="57" t="n">
        <v>38</v>
      </c>
      <c r="B39" s="57" t="inlineStr">
        <is>
          <t>NC252G</t>
        </is>
      </c>
      <c r="C39" s="57" t="inlineStr">
        <is>
          <t>South Farm</t>
        </is>
      </c>
      <c r="D39" s="59" t="n">
        <v>46226</v>
      </c>
      <c r="E39" s="57" t="inlineStr">
        <is>
          <t>First</t>
        </is>
      </c>
      <c r="F39" s="57" t="inlineStr">
        <is>
          <t>Hybrid evaluation</t>
        </is>
      </c>
      <c r="G39" s="57" t="n">
        <v>647</v>
      </c>
      <c r="H39" s="57" t="n">
        <v>2</v>
      </c>
      <c r="I39" s="57" t="n">
        <v>797</v>
      </c>
      <c r="J39" s="57" t="n">
        <v>8</v>
      </c>
      <c r="K39" s="57" t="n"/>
      <c r="L39" s="57" t="inlineStr">
        <is>
          <t>NC252G-2</t>
        </is>
      </c>
      <c r="M39" s="58" t="inlineStr">
        <is>
          <t>N/A</t>
        </is>
      </c>
    </row>
    <row r="40" ht="25" customHeight="1" s="55">
      <c r="A40" s="57" t="n">
        <v>39</v>
      </c>
      <c r="B40" s="57" t="inlineStr">
        <is>
          <t>NC255G</t>
        </is>
      </c>
      <c r="C40" s="57" t="inlineStr">
        <is>
          <t>South Farm</t>
        </is>
      </c>
      <c r="D40" s="59" t="n">
        <v>46226</v>
      </c>
      <c r="E40" s="57" t="inlineStr">
        <is>
          <t>First</t>
        </is>
      </c>
      <c r="F40" s="57" t="inlineStr">
        <is>
          <t>Hybrid evaluation</t>
        </is>
      </c>
      <c r="G40" s="57" t="n">
        <v>2186</v>
      </c>
      <c r="H40" s="57" t="n">
        <v>9</v>
      </c>
      <c r="I40" s="57" t="n">
        <v>844</v>
      </c>
      <c r="J40" s="57" t="n">
        <v>5</v>
      </c>
      <c r="K40" s="57" t="n"/>
      <c r="L40" s="57" t="inlineStr">
        <is>
          <t>NC255G-2</t>
        </is>
      </c>
      <c r="M40" s="58" t="inlineStr">
        <is>
          <t>N/A</t>
        </is>
      </c>
    </row>
    <row r="41" ht="25" customHeight="1" s="55">
      <c r="A41" s="57" t="n">
        <v>40</v>
      </c>
      <c r="B41" s="57" t="inlineStr">
        <is>
          <t>NC25311G</t>
        </is>
      </c>
      <c r="C41" s="57" t="inlineStr">
        <is>
          <t>South Farm</t>
        </is>
      </c>
      <c r="D41" s="59" t="n">
        <v>46226</v>
      </c>
      <c r="E41" s="57" t="inlineStr">
        <is>
          <t>First</t>
        </is>
      </c>
      <c r="F41" s="57" t="inlineStr">
        <is>
          <t>Hybrid evaluation</t>
        </is>
      </c>
      <c r="G41" s="57" t="n">
        <v>450</v>
      </c>
      <c r="H41" s="57" t="n">
        <v>3</v>
      </c>
      <c r="I41" s="57" t="n">
        <v>975</v>
      </c>
      <c r="J41" s="57" t="n">
        <v>5</v>
      </c>
      <c r="K41" s="57" t="n"/>
      <c r="L41" s="57" t="inlineStr">
        <is>
          <t>NC25311G-2</t>
        </is>
      </c>
      <c r="M41" s="58" t="inlineStr">
        <is>
          <t>N/A</t>
        </is>
      </c>
    </row>
    <row r="42" ht="25" customHeight="1" s="55">
      <c r="A42" s="57" t="n">
        <v>41</v>
      </c>
      <c r="B42" s="57" t="inlineStr">
        <is>
          <t>NC25306G</t>
        </is>
      </c>
      <c r="C42" s="57" t="inlineStr">
        <is>
          <t>South Farm</t>
        </is>
      </c>
      <c r="D42" s="59" t="n">
        <v>46226</v>
      </c>
      <c r="E42" s="57" t="inlineStr">
        <is>
          <t>First</t>
        </is>
      </c>
      <c r="F42" s="57" t="inlineStr">
        <is>
          <t>Hybrid evaluation</t>
        </is>
      </c>
      <c r="G42" s="57" t="n">
        <v>1259</v>
      </c>
      <c r="H42" s="57" t="n">
        <v>6</v>
      </c>
      <c r="I42" s="57" t="n">
        <v>583</v>
      </c>
      <c r="J42" s="57" t="n">
        <v>2</v>
      </c>
      <c r="K42" s="57" t="n"/>
      <c r="L42" s="57" t="inlineStr">
        <is>
          <t>NC25306G-2</t>
        </is>
      </c>
      <c r="M42" s="58" t="inlineStr">
        <is>
          <t>N/A</t>
        </is>
      </c>
    </row>
    <row r="43" ht="25" customHeight="1" s="55">
      <c r="A43" s="57" t="n">
        <v>42</v>
      </c>
      <c r="B43" s="57" t="inlineStr">
        <is>
          <t>NC25304G</t>
        </is>
      </c>
      <c r="C43" s="57" t="inlineStr">
        <is>
          <t>South Farm</t>
        </is>
      </c>
      <c r="D43" s="59" t="n">
        <v>46226</v>
      </c>
      <c r="E43" s="57" t="inlineStr">
        <is>
          <t>First</t>
        </is>
      </c>
      <c r="F43" s="57" t="inlineStr">
        <is>
          <t>Hybrid evaluation</t>
        </is>
      </c>
      <c r="G43" s="57" t="n">
        <v>1491</v>
      </c>
      <c r="H43" s="57" t="n">
        <v>5</v>
      </c>
      <c r="I43" s="57" t="n">
        <v>578</v>
      </c>
      <c r="J43" s="57" t="n">
        <v>2</v>
      </c>
      <c r="K43" s="57" t="n"/>
      <c r="L43" s="57" t="inlineStr">
        <is>
          <t>NC25304G-2</t>
        </is>
      </c>
      <c r="M43" s="58" t="inlineStr">
        <is>
          <t>N/A</t>
        </is>
      </c>
    </row>
    <row r="44" ht="25" customHeight="1" s="55">
      <c r="A44" s="57" t="n">
        <v>43</v>
      </c>
      <c r="B44" s="57" t="inlineStr">
        <is>
          <t>NC263G</t>
        </is>
      </c>
      <c r="C44" s="57" t="inlineStr">
        <is>
          <t>South Farm</t>
        </is>
      </c>
      <c r="D44" s="59" t="n">
        <v>46226</v>
      </c>
      <c r="E44" s="57" t="inlineStr">
        <is>
          <t>First</t>
        </is>
      </c>
      <c r="F44" s="57" t="inlineStr">
        <is>
          <t>Hybrid evaluation</t>
        </is>
      </c>
      <c r="G44" s="57" t="n">
        <v>235</v>
      </c>
      <c r="H44" s="57" t="n">
        <v>1</v>
      </c>
      <c r="I44" s="57" t="n">
        <v>0</v>
      </c>
      <c r="J44" s="57" t="n">
        <v>0</v>
      </c>
      <c r="K44" s="57" t="inlineStr">
        <is>
          <t xml:space="preserve"> </t>
        </is>
      </c>
      <c r="L44" s="57" t="inlineStr">
        <is>
          <t>NC263G-2</t>
        </is>
      </c>
      <c r="M44" s="58" t="inlineStr">
        <is>
          <t>N/A</t>
        </is>
      </c>
    </row>
    <row r="45" ht="25" customHeight="1" s="55">
      <c r="A45" s="57" t="n">
        <v>44</v>
      </c>
      <c r="B45" s="57" t="inlineStr">
        <is>
          <t>NC23706G</t>
        </is>
      </c>
      <c r="C45" s="57" t="inlineStr">
        <is>
          <t>South Farm</t>
        </is>
      </c>
      <c r="D45" s="59" t="n">
        <v>46226</v>
      </c>
      <c r="E45" s="57" t="inlineStr">
        <is>
          <t>First</t>
        </is>
      </c>
      <c r="F45" s="57" t="inlineStr">
        <is>
          <t>Hybrid evaluation</t>
        </is>
      </c>
      <c r="G45" s="57" t="n">
        <v>481</v>
      </c>
      <c r="H45" s="57" t="n">
        <v>2</v>
      </c>
      <c r="I45" s="57" t="n">
        <v>718</v>
      </c>
      <c r="J45" s="57" t="n">
        <v>2</v>
      </c>
      <c r="K45" s="57" t="n"/>
      <c r="L45" s="57" t="inlineStr">
        <is>
          <t>NC23706G-2</t>
        </is>
      </c>
      <c r="M45" s="58" t="inlineStr">
        <is>
          <t>N/A</t>
        </is>
      </c>
    </row>
    <row r="46" ht="25" customHeight="1" s="55">
      <c r="A46" s="57" t="n">
        <v>45</v>
      </c>
      <c r="B46" s="57" t="inlineStr">
        <is>
          <t>NC23926G</t>
        </is>
      </c>
      <c r="C46" s="57" t="inlineStr">
        <is>
          <t>South Farm</t>
        </is>
      </c>
      <c r="D46" s="59" t="n">
        <v>46226</v>
      </c>
      <c r="E46" s="57" t="inlineStr">
        <is>
          <t>First</t>
        </is>
      </c>
      <c r="F46" s="57" t="inlineStr">
        <is>
          <t>Hybrid evaluation</t>
        </is>
      </c>
      <c r="G46" s="57" t="n">
        <v>0</v>
      </c>
      <c r="H46" s="57" t="n">
        <v>0</v>
      </c>
      <c r="I46" s="57" t="n">
        <v>2343</v>
      </c>
      <c r="J46" s="57" t="n">
        <v>6</v>
      </c>
      <c r="K46" s="57" t="n"/>
      <c r="L46" s="57" t="inlineStr">
        <is>
          <t>NC23926G-1</t>
        </is>
      </c>
      <c r="M46" s="58" t="inlineStr">
        <is>
          <t>N/A</t>
        </is>
      </c>
    </row>
    <row r="47" ht="25" customHeight="1" s="55">
      <c r="A47" s="57" t="n">
        <v>46</v>
      </c>
      <c r="B47" s="57" t="inlineStr">
        <is>
          <t>NC252G</t>
        </is>
      </c>
      <c r="C47" s="57" t="inlineStr">
        <is>
          <t>South Farm</t>
        </is>
      </c>
      <c r="D47" s="59" t="n">
        <v>46226</v>
      </c>
      <c r="E47" s="57" t="inlineStr">
        <is>
          <t>First</t>
        </is>
      </c>
      <c r="F47" s="57" t="inlineStr">
        <is>
          <t>Hybrid evaluation</t>
        </is>
      </c>
      <c r="G47" s="57" t="n">
        <v>1669</v>
      </c>
      <c r="H47" s="57" t="n">
        <v>7</v>
      </c>
      <c r="I47" s="57" t="n">
        <v>1493</v>
      </c>
      <c r="J47" s="57" t="n">
        <v>7</v>
      </c>
      <c r="K47" s="57" t="n"/>
      <c r="L47" s="57" t="inlineStr">
        <is>
          <t>NC252G-1</t>
        </is>
      </c>
      <c r="M47" s="58" t="inlineStr">
        <is>
          <t>N/A</t>
        </is>
      </c>
    </row>
    <row r="48" ht="25" customHeight="1" s="55">
      <c r="A48" s="57" t="n">
        <v>47</v>
      </c>
      <c r="B48" s="57" t="inlineStr">
        <is>
          <t>NC23706G</t>
        </is>
      </c>
      <c r="C48" s="57" t="inlineStr">
        <is>
          <t>South Farm</t>
        </is>
      </c>
      <c r="D48" s="59" t="n">
        <v>46226</v>
      </c>
      <c r="E48" s="57" t="inlineStr">
        <is>
          <t>First</t>
        </is>
      </c>
      <c r="F48" s="57" t="inlineStr">
        <is>
          <t>Hybrid evaluation</t>
        </is>
      </c>
      <c r="G48" s="57" t="n">
        <v>741</v>
      </c>
      <c r="H48" s="57" t="n">
        <v>3</v>
      </c>
      <c r="I48" s="57" t="n">
        <v>2099</v>
      </c>
      <c r="J48" s="57" t="n">
        <v>6</v>
      </c>
      <c r="K48" s="57" t="n"/>
      <c r="L48" s="57" t="inlineStr">
        <is>
          <t>NC23706G-1</t>
        </is>
      </c>
      <c r="M48" s="58" t="inlineStr">
        <is>
          <t>N/A</t>
        </is>
      </c>
    </row>
    <row r="49" ht="25" customHeight="1" s="55">
      <c r="A49" s="57" t="n">
        <v>48</v>
      </c>
      <c r="B49" s="57" t="inlineStr">
        <is>
          <t>NC261G</t>
        </is>
      </c>
      <c r="C49" s="57" t="inlineStr">
        <is>
          <t>South Farm</t>
        </is>
      </c>
      <c r="D49" s="59" t="n">
        <v>46226</v>
      </c>
      <c r="E49" s="57" t="inlineStr">
        <is>
          <t>First</t>
        </is>
      </c>
      <c r="F49" s="57" t="inlineStr">
        <is>
          <t>Hybrid evaluation</t>
        </is>
      </c>
      <c r="G49" s="57" t="n">
        <v>828</v>
      </c>
      <c r="H49" s="57" t="n">
        <v>3</v>
      </c>
      <c r="I49" s="57" t="n">
        <v>335</v>
      </c>
      <c r="J49" s="57" t="n">
        <v>1</v>
      </c>
      <c r="K49" s="57" t="n"/>
      <c r="L49" s="57" t="inlineStr">
        <is>
          <t>NC261G-2</t>
        </is>
      </c>
      <c r="M49" s="58" t="inlineStr">
        <is>
          <t>N/A</t>
        </is>
      </c>
    </row>
    <row r="50" ht="25" customHeight="1" s="55">
      <c r="A50" s="57" t="n">
        <v>49</v>
      </c>
      <c r="B50" s="57" t="inlineStr">
        <is>
          <t>UKYT-25-003</t>
        </is>
      </c>
      <c r="C50" s="57" t="inlineStr">
        <is>
          <t>South Farm</t>
        </is>
      </c>
      <c r="D50" s="59" t="n">
        <v>46226</v>
      </c>
      <c r="E50" s="57" t="inlineStr">
        <is>
          <t>First</t>
        </is>
      </c>
      <c r="F50" s="57" t="inlineStr">
        <is>
          <t>Advanced breeding</t>
        </is>
      </c>
      <c r="G50" s="57" t="n">
        <v>2681</v>
      </c>
      <c r="H50" s="57" t="n"/>
      <c r="I50" s="57" t="n">
        <v>111</v>
      </c>
      <c r="J50" s="57" t="n">
        <v>7</v>
      </c>
      <c r="K50" s="57" t="n">
        <v>267</v>
      </c>
      <c r="L50" s="57" t="inlineStr">
        <is>
          <t>25-003R1</t>
        </is>
      </c>
      <c r="M50" s="57" t="inlineStr">
        <is>
          <t>R1</t>
        </is>
      </c>
    </row>
    <row r="51" ht="25" customHeight="1" s="55">
      <c r="A51" s="57" t="n">
        <v>50</v>
      </c>
      <c r="B51" s="57" t="inlineStr">
        <is>
          <t>UKYT-25-001</t>
        </is>
      </c>
      <c r="C51" s="57" t="inlineStr">
        <is>
          <t>South Farm</t>
        </is>
      </c>
      <c r="D51" s="59" t="n">
        <v>46226</v>
      </c>
      <c r="E51" s="57" t="inlineStr">
        <is>
          <t>First</t>
        </is>
      </c>
      <c r="F51" s="57" t="inlineStr">
        <is>
          <t>Advanced breeding</t>
        </is>
      </c>
      <c r="G51" s="57" t="n">
        <v>1193</v>
      </c>
      <c r="H51" s="57" t="n">
        <v>116</v>
      </c>
      <c r="I51" s="57" t="n">
        <v>315</v>
      </c>
      <c r="J51" s="57" t="n">
        <v>22</v>
      </c>
      <c r="K51" s="57" t="n"/>
      <c r="L51" s="57" t="inlineStr">
        <is>
          <t>25-001 R1</t>
        </is>
      </c>
      <c r="M51" s="57" t="inlineStr">
        <is>
          <t>R1</t>
        </is>
      </c>
    </row>
    <row r="52" ht="25" customHeight="1" s="55">
      <c r="A52" s="57" t="n">
        <v>51</v>
      </c>
      <c r="B52" s="57" t="inlineStr">
        <is>
          <t>UKYT-25-002</t>
        </is>
      </c>
      <c r="C52" s="57" t="inlineStr">
        <is>
          <t>South Farm</t>
        </is>
      </c>
      <c r="D52" s="59" t="n">
        <v>46226</v>
      </c>
      <c r="E52" s="57" t="inlineStr">
        <is>
          <t>First</t>
        </is>
      </c>
      <c r="F52" s="57" t="inlineStr">
        <is>
          <t>Advanced breeding</t>
        </is>
      </c>
      <c r="G52" s="57" t="n">
        <v>1959</v>
      </c>
      <c r="H52" s="57" t="n">
        <v>94</v>
      </c>
      <c r="I52" s="57" t="n">
        <v>179</v>
      </c>
      <c r="J52" s="57" t="n">
        <v>9</v>
      </c>
      <c r="K52" s="57" t="n"/>
      <c r="L52" s="57" t="inlineStr">
        <is>
          <t>25-002R1</t>
        </is>
      </c>
      <c r="M52" s="57" t="inlineStr">
        <is>
          <t>R1</t>
        </is>
      </c>
    </row>
    <row r="53" ht="25" customHeight="1" s="55">
      <c r="A53" s="57" t="n">
        <v>52</v>
      </c>
      <c r="B53" s="57" t="inlineStr">
        <is>
          <t>UKYT-25-006</t>
        </is>
      </c>
      <c r="C53" s="57" t="inlineStr">
        <is>
          <t>South Farm</t>
        </is>
      </c>
      <c r="D53" s="59" t="n">
        <v>46226</v>
      </c>
      <c r="E53" s="57" t="inlineStr">
        <is>
          <t>First</t>
        </is>
      </c>
      <c r="F53" s="57" t="inlineStr">
        <is>
          <t>Advanced breeding</t>
        </is>
      </c>
      <c r="G53" s="57" t="n">
        <v>1882</v>
      </c>
      <c r="H53" s="57" t="n">
        <v>100</v>
      </c>
      <c r="I53" s="57" t="n">
        <v>52</v>
      </c>
      <c r="J53" s="57" t="n">
        <v>2</v>
      </c>
      <c r="K53" s="57" t="n"/>
      <c r="L53" s="57" t="inlineStr">
        <is>
          <t>25-006R1</t>
        </is>
      </c>
      <c r="M53" s="57" t="inlineStr">
        <is>
          <t>R1</t>
        </is>
      </c>
    </row>
    <row r="54" ht="25" customHeight="1" s="55">
      <c r="A54" s="57" t="n">
        <v>53</v>
      </c>
      <c r="B54" s="57" t="inlineStr">
        <is>
          <t>UKYT-25-004</t>
        </is>
      </c>
      <c r="C54" s="57" t="inlineStr">
        <is>
          <t>South Farm</t>
        </is>
      </c>
      <c r="D54" s="59" t="n">
        <v>46226</v>
      </c>
      <c r="E54" s="57" t="inlineStr">
        <is>
          <t>First</t>
        </is>
      </c>
      <c r="F54" s="57" t="inlineStr">
        <is>
          <t>Advanced breeding</t>
        </is>
      </c>
      <c r="G54" s="57" t="n">
        <v>3525</v>
      </c>
      <c r="H54" s="57" t="n"/>
      <c r="I54" s="57" t="n">
        <v>85</v>
      </c>
      <c r="J54" s="57" t="n">
        <v>7</v>
      </c>
      <c r="K54" s="57" t="n">
        <v>319</v>
      </c>
      <c r="L54" s="57" t="inlineStr">
        <is>
          <t>25-004R1</t>
        </is>
      </c>
      <c r="M54" s="57" t="inlineStr">
        <is>
          <t>R1</t>
        </is>
      </c>
    </row>
    <row r="55" ht="25" customHeight="1" s="55">
      <c r="A55" s="57" t="n">
        <v>54</v>
      </c>
      <c r="B55" s="57" t="inlineStr">
        <is>
          <t>Mt. Gem</t>
        </is>
      </c>
      <c r="C55" s="57" t="inlineStr">
        <is>
          <t>South Farm</t>
        </is>
      </c>
      <c r="D55" s="59" t="n">
        <v>46226</v>
      </c>
      <c r="E55" s="57" t="inlineStr">
        <is>
          <t>First</t>
        </is>
      </c>
      <c r="F55" s="57" t="inlineStr">
        <is>
          <t>Hybrid evaluation</t>
        </is>
      </c>
      <c r="G55" s="57" t="n">
        <v>676</v>
      </c>
      <c r="H55" s="57" t="n">
        <v>2</v>
      </c>
      <c r="I55" s="57" t="n">
        <v>593</v>
      </c>
      <c r="J55" s="57" t="n">
        <v>1</v>
      </c>
      <c r="K55" s="57" t="n"/>
      <c r="L55" s="57" t="inlineStr">
        <is>
          <t>Mountain Gem-2</t>
        </is>
      </c>
      <c r="M55" s="58" t="inlineStr">
        <is>
          <t>N/A</t>
        </is>
      </c>
    </row>
    <row r="56" ht="25" customHeight="1" s="55">
      <c r="A56" s="57" t="n">
        <v>55</v>
      </c>
      <c r="B56" s="57" t="inlineStr">
        <is>
          <t>NC25209G</t>
        </is>
      </c>
      <c r="C56" s="57" t="inlineStr">
        <is>
          <t>South Farm</t>
        </is>
      </c>
      <c r="D56" s="59" t="n">
        <v>46226</v>
      </c>
      <c r="E56" s="57" t="inlineStr">
        <is>
          <t>First</t>
        </is>
      </c>
      <c r="F56" s="57" t="inlineStr">
        <is>
          <t>Hybrid evaluation</t>
        </is>
      </c>
      <c r="G56" s="57" t="n">
        <v>362</v>
      </c>
      <c r="H56" s="57" t="n">
        <v>1</v>
      </c>
      <c r="I56" s="57" t="n">
        <v>439</v>
      </c>
      <c r="J56" s="57" t="n">
        <v>1</v>
      </c>
      <c r="K56" s="57" t="n"/>
      <c r="L56" s="57" t="inlineStr">
        <is>
          <t>NC25209G-1</t>
        </is>
      </c>
      <c r="M56" s="58" t="inlineStr">
        <is>
          <t>N/A</t>
        </is>
      </c>
    </row>
    <row r="57" ht="25" customHeight="1" s="55">
      <c r="A57" s="57" t="n">
        <v>56</v>
      </c>
      <c r="B57" s="57" t="inlineStr">
        <is>
          <t>Mt. Heritage</t>
        </is>
      </c>
      <c r="C57" s="57" t="inlineStr">
        <is>
          <t>South Farm</t>
        </is>
      </c>
      <c r="D57" s="59" t="n">
        <v>46226</v>
      </c>
      <c r="E57" s="57" t="inlineStr">
        <is>
          <t>First</t>
        </is>
      </c>
      <c r="F57" s="57" t="inlineStr">
        <is>
          <t>Hybrid evaluation</t>
        </is>
      </c>
      <c r="G57" s="57" t="n">
        <v>732</v>
      </c>
      <c r="H57" s="57" t="n">
        <v>2</v>
      </c>
      <c r="I57" s="57" t="n">
        <v>0</v>
      </c>
      <c r="J57" s="57" t="n">
        <v>0</v>
      </c>
      <c r="K57" s="57" t="n"/>
      <c r="L57" s="57" t="inlineStr">
        <is>
          <t>Mountain heritage -2</t>
        </is>
      </c>
      <c r="M57" s="58" t="inlineStr">
        <is>
          <t>N/A</t>
        </is>
      </c>
    </row>
    <row r="58" ht="25" customHeight="1" s="55">
      <c r="A58" s="57" t="n">
        <v>57</v>
      </c>
      <c r="B58" s="57" t="inlineStr">
        <is>
          <t>Mt. Girl</t>
        </is>
      </c>
      <c r="C58" s="57" t="inlineStr">
        <is>
          <t>South Farm</t>
        </is>
      </c>
      <c r="D58" s="59" t="n">
        <v>46226</v>
      </c>
      <c r="E58" s="57" t="inlineStr">
        <is>
          <t>First</t>
        </is>
      </c>
      <c r="F58" s="57" t="inlineStr">
        <is>
          <t>Hybrid evaluation</t>
        </is>
      </c>
      <c r="G58" s="57" t="n">
        <v>390</v>
      </c>
      <c r="H58" s="57" t="n">
        <v>1</v>
      </c>
      <c r="I58" s="57" t="n">
        <v>0</v>
      </c>
      <c r="J58" s="57" t="n">
        <v>0</v>
      </c>
      <c r="K58" s="57" t="n"/>
      <c r="L58" s="57" t="inlineStr">
        <is>
          <t>Mountain girl -2</t>
        </is>
      </c>
      <c r="M58" s="58" t="inlineStr">
        <is>
          <t>N/A</t>
        </is>
      </c>
    </row>
    <row r="59" ht="25" customHeight="1" s="55">
      <c r="A59" s="57" t="n">
        <v>58</v>
      </c>
      <c r="B59" s="57" t="inlineStr">
        <is>
          <t>Mountain Fresh Plus</t>
        </is>
      </c>
      <c r="C59" s="57" t="inlineStr">
        <is>
          <t>South Farm</t>
        </is>
      </c>
      <c r="D59" s="59" t="n">
        <v>46226</v>
      </c>
      <c r="E59" s="57" t="inlineStr">
        <is>
          <t>First</t>
        </is>
      </c>
      <c r="F59" s="57" t="inlineStr">
        <is>
          <t>Advanced breeding</t>
        </is>
      </c>
      <c r="G59" s="57" t="n">
        <v>310</v>
      </c>
      <c r="H59" s="57" t="n">
        <v>1</v>
      </c>
      <c r="I59" s="57" t="n">
        <v>658</v>
      </c>
      <c r="J59" s="57" t="n">
        <v>2</v>
      </c>
      <c r="K59" s="57" t="n"/>
      <c r="L59" s="57" t="inlineStr">
        <is>
          <t xml:space="preserve">MOUNTAIN fRESH PLUS F2 </t>
        </is>
      </c>
      <c r="M59" s="58" t="inlineStr">
        <is>
          <t>N/A</t>
        </is>
      </c>
    </row>
    <row r="60" ht="25" customHeight="1" s="55">
      <c r="A60" s="57" t="n">
        <v>59</v>
      </c>
      <c r="B60" s="57" t="inlineStr">
        <is>
          <t>Mountain Fresh Plus</t>
        </is>
      </c>
      <c r="C60" s="57" t="inlineStr">
        <is>
          <t>South Farm</t>
        </is>
      </c>
      <c r="D60" s="59" t="n">
        <v>46226</v>
      </c>
      <c r="E60" s="57" t="inlineStr">
        <is>
          <t>First</t>
        </is>
      </c>
      <c r="F60" s="57" t="inlineStr">
        <is>
          <t>Advanced breeding</t>
        </is>
      </c>
      <c r="G60" s="57" t="n">
        <v>404</v>
      </c>
      <c r="H60" s="57" t="n">
        <v>1</v>
      </c>
      <c r="I60" s="57" t="n">
        <v>237</v>
      </c>
      <c r="J60" s="57" t="n">
        <v>1</v>
      </c>
      <c r="K60" s="57" t="n"/>
      <c r="L60" s="57" t="inlineStr">
        <is>
          <t>MOUNTAIN FRESH PLUSF3</t>
        </is>
      </c>
      <c r="M60" s="58" t="inlineStr">
        <is>
          <t>N/A</t>
        </is>
      </c>
    </row>
    <row r="61" ht="25" customHeight="1" s="55">
      <c r="A61" s="57" t="n">
        <v>60</v>
      </c>
      <c r="B61" s="57" t="inlineStr">
        <is>
          <t>NC25315G</t>
        </is>
      </c>
      <c r="C61" s="57" t="inlineStr">
        <is>
          <t>South Farm</t>
        </is>
      </c>
      <c r="D61" s="59" t="n">
        <v>46226</v>
      </c>
      <c r="E61" s="57" t="inlineStr">
        <is>
          <t>First</t>
        </is>
      </c>
      <c r="F61" s="57" t="inlineStr">
        <is>
          <t>Hybrid evaluation</t>
        </is>
      </c>
      <c r="G61" s="57" t="n">
        <v>347</v>
      </c>
      <c r="H61" s="57" t="n">
        <v>1</v>
      </c>
      <c r="I61" s="57" t="n">
        <v>686</v>
      </c>
      <c r="J61" s="57" t="n">
        <v>3</v>
      </c>
      <c r="K61" s="57" t="n"/>
      <c r="L61" s="57" t="inlineStr">
        <is>
          <t>NC25315G-2</t>
        </is>
      </c>
      <c r="M61" s="58" t="inlineStr">
        <is>
          <t>N/A</t>
        </is>
      </c>
    </row>
    <row r="62" ht="25" customHeight="1" s="55">
      <c r="A62" s="57" t="n">
        <v>61</v>
      </c>
      <c r="B62" s="57" t="inlineStr">
        <is>
          <t>UKYT-26-038</t>
        </is>
      </c>
      <c r="C62" s="57" t="inlineStr">
        <is>
          <t>South Farm</t>
        </is>
      </c>
      <c r="D62" s="59" t="n">
        <v>46226</v>
      </c>
      <c r="E62" s="57" t="inlineStr">
        <is>
          <t>First</t>
        </is>
      </c>
      <c r="F62" s="57" t="inlineStr">
        <is>
          <t>Advanced breeding</t>
        </is>
      </c>
      <c r="G62" s="57" t="n">
        <v>881</v>
      </c>
      <c r="H62" s="57" t="n">
        <v>4</v>
      </c>
      <c r="I62" s="57" t="n">
        <v>81</v>
      </c>
      <c r="J62" s="57" t="n">
        <v>1</v>
      </c>
      <c r="K62" s="57" t="n"/>
      <c r="L62" s="57" t="inlineStr">
        <is>
          <t xml:space="preserve">26-038 R2 </t>
        </is>
      </c>
      <c r="M62" s="57" t="inlineStr">
        <is>
          <t>R2</t>
        </is>
      </c>
    </row>
    <row r="63" ht="25" customHeight="1" s="55">
      <c r="A63" s="57" t="n">
        <v>62</v>
      </c>
      <c r="B63" s="57" t="inlineStr">
        <is>
          <t>UKYT-26-039</t>
        </is>
      </c>
      <c r="C63" s="57" t="inlineStr">
        <is>
          <t>South Farm</t>
        </is>
      </c>
      <c r="D63" s="59" t="n">
        <v>46226</v>
      </c>
      <c r="E63" s="57" t="inlineStr">
        <is>
          <t>First</t>
        </is>
      </c>
      <c r="F63" s="57" t="inlineStr">
        <is>
          <t>Advanced breeding</t>
        </is>
      </c>
      <c r="G63" s="57" t="n">
        <v>670</v>
      </c>
      <c r="H63" s="57" t="n">
        <v>5</v>
      </c>
      <c r="I63" s="57" t="n">
        <v>0</v>
      </c>
      <c r="J63" s="57" t="n">
        <v>0</v>
      </c>
      <c r="K63" s="57" t="n"/>
      <c r="L63" s="57" t="inlineStr">
        <is>
          <t xml:space="preserve">26-039 R2 </t>
        </is>
      </c>
      <c r="M63" s="57" t="inlineStr">
        <is>
          <t>R2</t>
        </is>
      </c>
    </row>
    <row r="64" ht="25" customHeight="1" s="55">
      <c r="A64" s="57" t="n">
        <v>63</v>
      </c>
      <c r="B64" s="57" t="inlineStr">
        <is>
          <t>NC25313G</t>
        </is>
      </c>
      <c r="C64" s="57" t="inlineStr">
        <is>
          <t>South Farm</t>
        </is>
      </c>
      <c r="D64" s="59" t="n">
        <v>46226</v>
      </c>
      <c r="E64" s="57" t="inlineStr">
        <is>
          <t>First</t>
        </is>
      </c>
      <c r="F64" s="57" t="inlineStr">
        <is>
          <t>Hybrid evaluation</t>
        </is>
      </c>
      <c r="G64" s="57" t="n">
        <v>312</v>
      </c>
      <c r="H64" s="57" t="n">
        <v>3</v>
      </c>
      <c r="I64" s="57" t="n">
        <v>218</v>
      </c>
      <c r="J64" s="57" t="n">
        <v>1</v>
      </c>
      <c r="K64" s="57" t="n"/>
      <c r="L64" s="57" t="inlineStr">
        <is>
          <t>NC25313G-2</t>
        </is>
      </c>
      <c r="M64" s="58" t="inlineStr">
        <is>
          <t>N/A</t>
        </is>
      </c>
    </row>
    <row r="65" ht="25" customHeight="1" s="55">
      <c r="A65" s="57" t="n">
        <v>64</v>
      </c>
      <c r="B65" s="57" t="inlineStr">
        <is>
          <t>NC25210G</t>
        </is>
      </c>
      <c r="C65" s="57" t="inlineStr">
        <is>
          <t>South Farm</t>
        </is>
      </c>
      <c r="D65" s="59" t="n">
        <v>46226</v>
      </c>
      <c r="E65" s="57" t="inlineStr">
        <is>
          <t>First</t>
        </is>
      </c>
      <c r="F65" s="57" t="inlineStr">
        <is>
          <t>Hybrid evaluation</t>
        </is>
      </c>
      <c r="G65" s="57" t="n">
        <v>588</v>
      </c>
      <c r="H65" s="57" t="n">
        <v>2</v>
      </c>
      <c r="I65" s="57" t="n">
        <v>1899</v>
      </c>
      <c r="J65" s="57" t="n">
        <v>5</v>
      </c>
      <c r="K65" s="57" t="n"/>
      <c r="L65" s="57" t="inlineStr">
        <is>
          <t>NC25210G-1</t>
        </is>
      </c>
      <c r="M65" s="58" t="inlineStr">
        <is>
          <t>N/A</t>
        </is>
      </c>
    </row>
    <row r="66" ht="25" customHeight="1" s="55">
      <c r="A66" s="57" t="n">
        <v>65</v>
      </c>
      <c r="B66" s="57" t="inlineStr">
        <is>
          <t>UKYT-26-038</t>
        </is>
      </c>
      <c r="C66" s="57" t="inlineStr">
        <is>
          <t>South Farm</t>
        </is>
      </c>
      <c r="D66" s="59" t="n">
        <v>46226</v>
      </c>
      <c r="E66" s="57" t="inlineStr">
        <is>
          <t>First</t>
        </is>
      </c>
      <c r="F66" s="57" t="inlineStr">
        <is>
          <t>Advanced breeding</t>
        </is>
      </c>
      <c r="G66" s="57" t="n">
        <v>334</v>
      </c>
      <c r="H66" s="57" t="n">
        <v>1</v>
      </c>
      <c r="I66" s="57" t="n">
        <v>0</v>
      </c>
      <c r="J66" s="57" t="n">
        <v>0</v>
      </c>
      <c r="K66" s="57" t="n"/>
      <c r="L66" s="57" t="inlineStr">
        <is>
          <t>26-038</t>
        </is>
      </c>
      <c r="M66" s="58" t="inlineStr">
        <is>
          <t>N/A</t>
        </is>
      </c>
    </row>
    <row r="67" ht="25" customHeight="1" s="55">
      <c r="A67" s="57" t="n">
        <v>66</v>
      </c>
      <c r="B67" s="57" t="inlineStr">
        <is>
          <t>UKYT-26-009</t>
        </is>
      </c>
      <c r="C67" s="57" t="inlineStr">
        <is>
          <t>South Farm</t>
        </is>
      </c>
      <c r="D67" s="59" t="n">
        <v>46226</v>
      </c>
      <c r="E67" s="57" t="inlineStr">
        <is>
          <t>First</t>
        </is>
      </c>
      <c r="F67" s="57" t="inlineStr">
        <is>
          <t>Advanced breeding</t>
        </is>
      </c>
      <c r="G67" s="57" t="n">
        <v>488</v>
      </c>
      <c r="H67" s="57" t="n">
        <v>5</v>
      </c>
      <c r="I67" s="57" t="n">
        <v>156</v>
      </c>
      <c r="J67" s="57" t="n">
        <v>2</v>
      </c>
      <c r="K67" s="57" t="n"/>
      <c r="L67" s="57" t="inlineStr">
        <is>
          <t>26-009 R1</t>
        </is>
      </c>
      <c r="M67" s="57" t="inlineStr">
        <is>
          <t>R1</t>
        </is>
      </c>
    </row>
    <row r="68" ht="25" customHeight="1" s="55">
      <c r="A68" s="57" t="n">
        <v>67</v>
      </c>
      <c r="B68" s="57" t="inlineStr">
        <is>
          <t>NC25317G</t>
        </is>
      </c>
      <c r="C68" s="57" t="inlineStr">
        <is>
          <t>South Farm</t>
        </is>
      </c>
      <c r="D68" s="59" t="n">
        <v>46226</v>
      </c>
      <c r="E68" s="57" t="inlineStr">
        <is>
          <t>First</t>
        </is>
      </c>
      <c r="F68" s="57" t="inlineStr">
        <is>
          <t>Hybrid evaluation</t>
        </is>
      </c>
      <c r="G68" s="57" t="n">
        <v>1262</v>
      </c>
      <c r="H68" s="57" t="n">
        <v>5</v>
      </c>
      <c r="I68" s="57" t="n">
        <v>344</v>
      </c>
      <c r="J68" s="57" t="n">
        <v>2</v>
      </c>
      <c r="K68" s="57" t="n"/>
      <c r="L68" s="57" t="inlineStr">
        <is>
          <t>NC25317G-2</t>
        </is>
      </c>
      <c r="M68" s="58" t="inlineStr">
        <is>
          <t>N/A</t>
        </is>
      </c>
    </row>
    <row r="69" ht="25" customHeight="1" s="55">
      <c r="A69" s="57" t="n">
        <v>68</v>
      </c>
      <c r="B69" s="57" t="inlineStr">
        <is>
          <t>UKYT-26-037</t>
        </is>
      </c>
      <c r="C69" s="57" t="inlineStr">
        <is>
          <t>South Farm</t>
        </is>
      </c>
      <c r="D69" s="59" t="n">
        <v>46226</v>
      </c>
      <c r="E69" s="57" t="inlineStr">
        <is>
          <t>First</t>
        </is>
      </c>
      <c r="F69" s="57" t="inlineStr">
        <is>
          <t>Advanced breeding</t>
        </is>
      </c>
      <c r="G69" s="57" t="n">
        <v>519</v>
      </c>
      <c r="H69" s="57" t="n">
        <v>4</v>
      </c>
      <c r="I69" s="57" t="n">
        <v>168</v>
      </c>
      <c r="J69" s="57" t="n">
        <v>1</v>
      </c>
      <c r="K69" s="57" t="n"/>
      <c r="L69" s="57" t="inlineStr">
        <is>
          <t>26-037</t>
        </is>
      </c>
      <c r="M69" s="58" t="inlineStr">
        <is>
          <t>N/A</t>
        </is>
      </c>
    </row>
    <row r="70" ht="25" customHeight="1" s="55">
      <c r="A70" s="57" t="n">
        <v>69</v>
      </c>
      <c r="B70" s="57" t="inlineStr">
        <is>
          <t>UKYT-26-035</t>
        </is>
      </c>
      <c r="C70" s="57" t="inlineStr">
        <is>
          <t>South Farm</t>
        </is>
      </c>
      <c r="D70" s="59" t="n">
        <v>46226</v>
      </c>
      <c r="E70" s="57" t="inlineStr">
        <is>
          <t>First</t>
        </is>
      </c>
      <c r="F70" s="57" t="inlineStr">
        <is>
          <t>Advanced breeding</t>
        </is>
      </c>
      <c r="G70" s="57" t="n">
        <v>1198</v>
      </c>
      <c r="H70" s="57" t="n">
        <v>12</v>
      </c>
      <c r="I70" s="57" t="n">
        <v>769</v>
      </c>
      <c r="J70" s="57" t="n">
        <v>7</v>
      </c>
      <c r="K70" s="57" t="n"/>
      <c r="L70" s="57" t="inlineStr">
        <is>
          <t>26-035 R3</t>
        </is>
      </c>
      <c r="M70" s="57" t="inlineStr">
        <is>
          <t>R3</t>
        </is>
      </c>
    </row>
    <row r="71" ht="25" customHeight="1" s="55">
      <c r="A71" s="57" t="n">
        <v>70</v>
      </c>
      <c r="B71" s="57" t="inlineStr">
        <is>
          <t>UKYT-26-008</t>
        </is>
      </c>
      <c r="C71" s="57" t="inlineStr">
        <is>
          <t>South Farm</t>
        </is>
      </c>
      <c r="D71" s="59" t="n">
        <v>46226</v>
      </c>
      <c r="E71" s="57" t="inlineStr">
        <is>
          <t>First</t>
        </is>
      </c>
      <c r="F71" s="57" t="inlineStr">
        <is>
          <t>Advanced breeding</t>
        </is>
      </c>
      <c r="G71" s="57" t="n">
        <v>1789</v>
      </c>
      <c r="H71" s="57" t="n">
        <v>13</v>
      </c>
      <c r="I71" s="57" t="n">
        <v>501</v>
      </c>
      <c r="J71" s="57" t="n">
        <v>3</v>
      </c>
      <c r="K71" s="57" t="n"/>
      <c r="L71" s="57" t="inlineStr">
        <is>
          <t>26-008 R1</t>
        </is>
      </c>
      <c r="M71" s="57" t="inlineStr">
        <is>
          <t>R1</t>
        </is>
      </c>
    </row>
    <row r="72" ht="25" customHeight="1" s="55">
      <c r="A72" s="57" t="n">
        <v>71</v>
      </c>
      <c r="B72" s="57" t="inlineStr">
        <is>
          <t>UKYT-26-036</t>
        </is>
      </c>
      <c r="C72" s="57" t="inlineStr">
        <is>
          <t>South Farm</t>
        </is>
      </c>
      <c r="D72" s="59" t="n">
        <v>46226</v>
      </c>
      <c r="E72" s="57" t="inlineStr">
        <is>
          <t>First</t>
        </is>
      </c>
      <c r="F72" s="57" t="inlineStr">
        <is>
          <t>Advanced breeding</t>
        </is>
      </c>
      <c r="G72" s="57" t="n">
        <v>2378</v>
      </c>
      <c r="H72" s="57" t="n">
        <v>16</v>
      </c>
      <c r="I72" s="57" t="n">
        <v>107</v>
      </c>
      <c r="J72" s="57" t="n">
        <v>1</v>
      </c>
      <c r="K72" s="57" t="n"/>
      <c r="L72" s="57" t="inlineStr">
        <is>
          <t>26-036 R2</t>
        </is>
      </c>
      <c r="M72" s="57" t="inlineStr">
        <is>
          <t>R2</t>
        </is>
      </c>
    </row>
    <row r="73" ht="25" customHeight="1" s="55">
      <c r="A73" s="57" t="n">
        <v>72</v>
      </c>
      <c r="B73" s="57" t="inlineStr">
        <is>
          <t>UKYT-26-037</t>
        </is>
      </c>
      <c r="C73" s="57" t="inlineStr">
        <is>
          <t>South Farm</t>
        </is>
      </c>
      <c r="D73" s="59" t="n">
        <v>46226</v>
      </c>
      <c r="E73" s="57" t="inlineStr">
        <is>
          <t>First</t>
        </is>
      </c>
      <c r="F73" s="57" t="inlineStr">
        <is>
          <t>Advanced breeding</t>
        </is>
      </c>
      <c r="G73" s="57" t="n">
        <v>1618</v>
      </c>
      <c r="H73" s="57" t="n">
        <v>13</v>
      </c>
      <c r="I73" s="57" t="n">
        <v>0</v>
      </c>
      <c r="J73" s="57" t="n">
        <v>0</v>
      </c>
      <c r="K73" s="57" t="n"/>
      <c r="L73" s="57" t="inlineStr">
        <is>
          <t>26-037 R2</t>
        </is>
      </c>
      <c r="M73" s="57" t="inlineStr">
        <is>
          <t>R2</t>
        </is>
      </c>
    </row>
    <row r="74" ht="25" customHeight="1" s="55">
      <c r="A74" s="57" t="n">
        <v>73</v>
      </c>
      <c r="B74" s="57" t="inlineStr">
        <is>
          <t>UKYT-26-034</t>
        </is>
      </c>
      <c r="C74" s="57" t="inlineStr">
        <is>
          <t>South Farm</t>
        </is>
      </c>
      <c r="D74" s="59" t="n">
        <v>46226</v>
      </c>
      <c r="E74" s="57" t="inlineStr">
        <is>
          <t>First</t>
        </is>
      </c>
      <c r="F74" s="57" t="inlineStr">
        <is>
          <t>Advanced breeding</t>
        </is>
      </c>
      <c r="G74" s="57" t="n">
        <v>1959</v>
      </c>
      <c r="H74" s="57" t="n">
        <v>15</v>
      </c>
      <c r="I74" s="57" t="n">
        <v>288</v>
      </c>
      <c r="J74" s="57" t="n">
        <v>2</v>
      </c>
      <c r="K74" s="57" t="n"/>
      <c r="L74" s="57" t="inlineStr">
        <is>
          <t>26-034 R3</t>
        </is>
      </c>
      <c r="M74" s="57" t="inlineStr">
        <is>
          <t>R3</t>
        </is>
      </c>
    </row>
    <row r="75" ht="25" customHeight="1" s="55">
      <c r="A75" s="57" t="n">
        <v>74</v>
      </c>
      <c r="B75" s="57" t="inlineStr">
        <is>
          <t>Cherokee Purple</t>
        </is>
      </c>
      <c r="C75" s="57" t="inlineStr">
        <is>
          <t>South Farm</t>
        </is>
      </c>
      <c r="D75" s="59" t="n">
        <v>46226</v>
      </c>
      <c r="E75" s="57" t="inlineStr">
        <is>
          <t>First</t>
        </is>
      </c>
      <c r="F75" s="57" t="inlineStr">
        <is>
          <t>Advanced breeding</t>
        </is>
      </c>
      <c r="G75" s="57" t="n">
        <v>0</v>
      </c>
      <c r="H75" s="57" t="n">
        <v>0</v>
      </c>
      <c r="I75" s="57" t="n">
        <v>3110</v>
      </c>
      <c r="J75" s="57" t="n">
        <v>12</v>
      </c>
      <c r="K75" s="57" t="n"/>
      <c r="L75" s="57" t="inlineStr">
        <is>
          <t>Cherokee Purple R2</t>
        </is>
      </c>
      <c r="M75" s="57" t="inlineStr">
        <is>
          <t>R2</t>
        </is>
      </c>
    </row>
    <row r="76" ht="25" customHeight="1" s="55">
      <c r="A76" s="57" t="n">
        <v>75</v>
      </c>
      <c r="B76" s="57" t="inlineStr">
        <is>
          <t>UKYT-26-036</t>
        </is>
      </c>
      <c r="C76" s="57" t="inlineStr">
        <is>
          <t>South Farm</t>
        </is>
      </c>
      <c r="D76" s="59" t="n">
        <v>46226</v>
      </c>
      <c r="E76" s="57" t="inlineStr">
        <is>
          <t>First</t>
        </is>
      </c>
      <c r="F76" s="57" t="inlineStr">
        <is>
          <t>Advanced breeding</t>
        </is>
      </c>
      <c r="G76" s="57" t="n">
        <v>1114</v>
      </c>
      <c r="H76" s="57" t="n">
        <v>6</v>
      </c>
      <c r="I76" s="57" t="n">
        <v>677</v>
      </c>
      <c r="J76" s="57" t="n">
        <v>2</v>
      </c>
      <c r="K76" s="57" t="n"/>
      <c r="L76" s="57" t="inlineStr">
        <is>
          <t>26-036 R3</t>
        </is>
      </c>
      <c r="M76" s="57" t="inlineStr">
        <is>
          <t>R3</t>
        </is>
      </c>
    </row>
    <row r="77" ht="25" customHeight="1" s="55">
      <c r="A77" s="57" t="n">
        <v>76</v>
      </c>
      <c r="B77" s="57" t="inlineStr">
        <is>
          <t>Cherokee Purple</t>
        </is>
      </c>
      <c r="C77" s="57" t="inlineStr">
        <is>
          <t>South Farm</t>
        </is>
      </c>
      <c r="D77" s="59" t="n">
        <v>46226</v>
      </c>
      <c r="E77" s="57" t="inlineStr">
        <is>
          <t>First</t>
        </is>
      </c>
      <c r="F77" s="57" t="inlineStr">
        <is>
          <t>Advanced breeding</t>
        </is>
      </c>
      <c r="G77" s="57" t="n">
        <v>969</v>
      </c>
      <c r="H77" s="57" t="n">
        <v>3</v>
      </c>
      <c r="I77" s="57" t="n">
        <v>649</v>
      </c>
      <c r="J77" s="57" t="n">
        <v>3</v>
      </c>
      <c r="K77" s="57" t="n"/>
      <c r="L77" s="57" t="inlineStr">
        <is>
          <t>Cherokee Purple R3</t>
        </is>
      </c>
      <c r="M77" s="57" t="inlineStr">
        <is>
          <t>R3</t>
        </is>
      </c>
    </row>
    <row r="78" ht="25" customHeight="1" s="55">
      <c r="A78" s="57" t="n">
        <v>77</v>
      </c>
      <c r="B78" s="57" t="inlineStr">
        <is>
          <t>Mt. Magic</t>
        </is>
      </c>
      <c r="C78" s="57" t="inlineStr">
        <is>
          <t>South Farm</t>
        </is>
      </c>
      <c r="D78" s="59" t="n">
        <v>46226</v>
      </c>
      <c r="E78" s="57" t="inlineStr">
        <is>
          <t>First</t>
        </is>
      </c>
      <c r="F78" s="57" t="inlineStr">
        <is>
          <t>Hybrid evaluation</t>
        </is>
      </c>
      <c r="G78" s="57" t="n">
        <v>1842</v>
      </c>
      <c r="H78" s="57" t="n">
        <v>48</v>
      </c>
      <c r="I78" s="57" t="n">
        <v>0</v>
      </c>
      <c r="J78" s="57" t="n">
        <v>0</v>
      </c>
      <c r="K78" s="57" t="n"/>
      <c r="L78" s="57" t="inlineStr">
        <is>
          <t>Mountain Magic -2</t>
        </is>
      </c>
      <c r="M78" s="58" t="inlineStr">
        <is>
          <t>N/A</t>
        </is>
      </c>
    </row>
    <row r="79" ht="25" customHeight="1" s="55">
      <c r="A79" s="57" t="n">
        <v>78</v>
      </c>
      <c r="B79" s="57" t="inlineStr">
        <is>
          <t>Peace Vine</t>
        </is>
      </c>
      <c r="C79" s="57" t="inlineStr">
        <is>
          <t>South Farm</t>
        </is>
      </c>
      <c r="D79" s="59" t="n">
        <v>46226</v>
      </c>
      <c r="E79" s="57" t="inlineStr">
        <is>
          <t>First</t>
        </is>
      </c>
      <c r="F79" s="57" t="inlineStr">
        <is>
          <t>Advanced breeding</t>
        </is>
      </c>
      <c r="G79" s="57" t="n">
        <v>1352</v>
      </c>
      <c r="H79" s="57" t="n">
        <v>111</v>
      </c>
      <c r="I79" s="57" t="n">
        <v>66</v>
      </c>
      <c r="J79" s="57" t="n">
        <v>7</v>
      </c>
      <c r="K79" s="57" t="n"/>
      <c r="L79" s="57" t="inlineStr">
        <is>
          <t>Peacevine Cherry R2</t>
        </is>
      </c>
      <c r="M79" s="57" t="inlineStr">
        <is>
          <t>R2</t>
        </is>
      </c>
    </row>
    <row r="80" ht="25" customHeight="1" s="55">
      <c r="A80" s="57" t="n">
        <v>79</v>
      </c>
      <c r="B80" s="57" t="inlineStr">
        <is>
          <t>UKYT-26-025</t>
        </is>
      </c>
      <c r="C80" s="57" t="inlineStr">
        <is>
          <t>South Farm</t>
        </is>
      </c>
      <c r="D80" s="59" t="n">
        <v>46226</v>
      </c>
      <c r="E80" s="57" t="inlineStr">
        <is>
          <t>First</t>
        </is>
      </c>
      <c r="F80" s="57" t="inlineStr">
        <is>
          <t>Advanced breeding</t>
        </is>
      </c>
      <c r="G80" s="57" t="n">
        <v>503</v>
      </c>
      <c r="H80" s="57" t="n">
        <v>1</v>
      </c>
      <c r="I80" s="57" t="n">
        <v>0</v>
      </c>
      <c r="J80" s="57" t="n">
        <v>0</v>
      </c>
      <c r="K80" s="57" t="n"/>
      <c r="L80" s="57" t="inlineStr">
        <is>
          <t>26-25 R3</t>
        </is>
      </c>
      <c r="M80" s="57" t="inlineStr">
        <is>
          <t>R3</t>
        </is>
      </c>
    </row>
    <row r="81" ht="25" customHeight="1" s="55">
      <c r="A81" s="57" t="n">
        <v>80</v>
      </c>
      <c r="B81" s="57" t="inlineStr">
        <is>
          <t>UKYT-26-026</t>
        </is>
      </c>
      <c r="C81" s="57" t="inlineStr">
        <is>
          <t>South Farm</t>
        </is>
      </c>
      <c r="D81" s="59" t="n">
        <v>46226</v>
      </c>
      <c r="E81" s="57" t="inlineStr">
        <is>
          <t>First</t>
        </is>
      </c>
      <c r="F81" s="57" t="inlineStr">
        <is>
          <t>Advanced breeding</t>
        </is>
      </c>
      <c r="G81" s="57" t="n">
        <v>2112</v>
      </c>
      <c r="H81" s="57" t="n">
        <v>12</v>
      </c>
      <c r="I81" s="57" t="n">
        <v>633</v>
      </c>
      <c r="J81" s="57" t="n">
        <v>5</v>
      </c>
      <c r="K81" s="57" t="n"/>
      <c r="L81" s="57" t="inlineStr">
        <is>
          <t>26-26R3</t>
        </is>
      </c>
      <c r="M81" s="57" t="inlineStr">
        <is>
          <t>R3</t>
        </is>
      </c>
    </row>
    <row r="82" ht="25" customHeight="1" s="55">
      <c r="A82" s="57" t="n">
        <v>81</v>
      </c>
      <c r="B82" s="57" t="inlineStr">
        <is>
          <t>UKYT-26-027</t>
        </is>
      </c>
      <c r="C82" s="57" t="inlineStr">
        <is>
          <t>South Farm</t>
        </is>
      </c>
      <c r="D82" s="59" t="n">
        <v>46226</v>
      </c>
      <c r="E82" s="57" t="inlineStr">
        <is>
          <t>First</t>
        </is>
      </c>
      <c r="F82" s="57" t="inlineStr">
        <is>
          <t>Advanced breeding</t>
        </is>
      </c>
      <c r="G82" s="57" t="n">
        <v>0</v>
      </c>
      <c r="H82" s="57" t="n">
        <v>0</v>
      </c>
      <c r="I82" s="57" t="n">
        <v>0</v>
      </c>
      <c r="J82" s="57" t="n">
        <v>0</v>
      </c>
      <c r="K82" s="57" t="n"/>
      <c r="L82" s="57" t="inlineStr">
        <is>
          <t>26-27 R3</t>
        </is>
      </c>
      <c r="M82" s="57" t="inlineStr">
        <is>
          <t>R3</t>
        </is>
      </c>
    </row>
    <row r="83" ht="25" customHeight="1" s="55">
      <c r="A83" s="57" t="n">
        <v>82</v>
      </c>
      <c r="B83" s="57" t="inlineStr">
        <is>
          <t>UKYT-26-028</t>
        </is>
      </c>
      <c r="C83" s="57" t="inlineStr">
        <is>
          <t>South Farm</t>
        </is>
      </c>
      <c r="D83" s="59" t="n">
        <v>46226</v>
      </c>
      <c r="E83" s="57" t="inlineStr">
        <is>
          <t>First</t>
        </is>
      </c>
      <c r="F83" s="57" t="inlineStr">
        <is>
          <t>Advanced breeding</t>
        </is>
      </c>
      <c r="G83" s="57" t="n">
        <v>601</v>
      </c>
      <c r="H83" s="57" t="n">
        <v>3</v>
      </c>
      <c r="I83" s="57" t="n">
        <v>514</v>
      </c>
      <c r="J83" s="57" t="n">
        <v>5</v>
      </c>
      <c r="K83" s="57" t="n"/>
      <c r="L83" s="57" t="inlineStr">
        <is>
          <t>26-28 R3</t>
        </is>
      </c>
      <c r="M83" s="57" t="inlineStr">
        <is>
          <t>R3</t>
        </is>
      </c>
    </row>
    <row r="84" ht="25" customHeight="1" s="55">
      <c r="A84" s="57" t="n">
        <v>83</v>
      </c>
      <c r="B84" s="57" t="inlineStr">
        <is>
          <t>UKYT-26-029</t>
        </is>
      </c>
      <c r="C84" s="57" t="inlineStr">
        <is>
          <t>South Farm</t>
        </is>
      </c>
      <c r="D84" s="59" t="n">
        <v>46226</v>
      </c>
      <c r="E84" s="57" t="inlineStr">
        <is>
          <t>First</t>
        </is>
      </c>
      <c r="F84" s="57" t="inlineStr">
        <is>
          <t>Advanced breeding</t>
        </is>
      </c>
      <c r="G84" s="57" t="n">
        <v>1119</v>
      </c>
      <c r="H84" s="57" t="n">
        <v>11</v>
      </c>
      <c r="I84" s="57" t="n">
        <v>0</v>
      </c>
      <c r="J84" s="57" t="n">
        <v>0</v>
      </c>
      <c r="K84" s="57" t="n"/>
      <c r="L84" s="57" t="inlineStr">
        <is>
          <t>26-29 R3</t>
        </is>
      </c>
      <c r="M84" s="57" t="inlineStr">
        <is>
          <t>R3</t>
        </is>
      </c>
    </row>
    <row r="85" ht="25" customHeight="1" s="55">
      <c r="A85" s="57" t="n">
        <v>84</v>
      </c>
      <c r="B85" s="57" t="inlineStr">
        <is>
          <t>UKYT-26-030</t>
        </is>
      </c>
      <c r="C85" s="57" t="inlineStr">
        <is>
          <t>South Farm</t>
        </is>
      </c>
      <c r="D85" s="59" t="n">
        <v>46226</v>
      </c>
      <c r="E85" s="57" t="inlineStr">
        <is>
          <t>First</t>
        </is>
      </c>
      <c r="F85" s="57" t="inlineStr">
        <is>
          <t>Advanced breeding</t>
        </is>
      </c>
      <c r="G85" s="57" t="n">
        <v>436</v>
      </c>
      <c r="H85" s="57" t="n">
        <v>7</v>
      </c>
      <c r="I85" s="57" t="n">
        <v>0</v>
      </c>
      <c r="J85" s="57" t="n">
        <v>0</v>
      </c>
      <c r="K85" s="57" t="n"/>
      <c r="L85" s="57" t="inlineStr">
        <is>
          <t xml:space="preserve">26-30 R3 </t>
        </is>
      </c>
      <c r="M85" s="57" t="inlineStr">
        <is>
          <t>R3</t>
        </is>
      </c>
    </row>
    <row r="86" ht="25" customHeight="1" s="55">
      <c r="A86" s="57" t="n">
        <v>85</v>
      </c>
      <c r="B86" s="57" t="inlineStr">
        <is>
          <t>UKYT-26-012</t>
        </is>
      </c>
      <c r="C86" s="57" t="inlineStr">
        <is>
          <t>South Farm</t>
        </is>
      </c>
      <c r="D86" s="59" t="n">
        <v>46226</v>
      </c>
      <c r="E86" s="57" t="inlineStr">
        <is>
          <t>First</t>
        </is>
      </c>
      <c r="F86" s="57" t="inlineStr">
        <is>
          <t>Advanced breeding</t>
        </is>
      </c>
      <c r="G86" s="57" t="n">
        <v>3611</v>
      </c>
      <c r="H86" s="57" t="n">
        <v>10</v>
      </c>
      <c r="I86" s="57" t="n">
        <v>1286</v>
      </c>
      <c r="J86" s="57" t="n">
        <v>3</v>
      </c>
      <c r="K86" s="57" t="n"/>
      <c r="L86" s="57" t="inlineStr">
        <is>
          <t xml:space="preserve">26-12 R1 </t>
        </is>
      </c>
      <c r="M86" s="57" t="inlineStr">
        <is>
          <t>R1</t>
        </is>
      </c>
    </row>
    <row r="87" ht="25" customHeight="1" s="55">
      <c r="A87" s="57" t="n">
        <v>86</v>
      </c>
      <c r="B87" s="57" t="inlineStr">
        <is>
          <t>UKYT-26-029</t>
        </is>
      </c>
      <c r="C87" s="57" t="inlineStr">
        <is>
          <t>South Farm</t>
        </is>
      </c>
      <c r="D87" s="59" t="n">
        <v>46226</v>
      </c>
      <c r="E87" s="57" t="inlineStr">
        <is>
          <t>First</t>
        </is>
      </c>
      <c r="F87" s="57" t="inlineStr">
        <is>
          <t>Advanced breeding</t>
        </is>
      </c>
      <c r="G87" s="57" t="n">
        <v>896</v>
      </c>
      <c r="H87" s="57" t="n">
        <v>6</v>
      </c>
      <c r="I87" s="57" t="n">
        <v>77</v>
      </c>
      <c r="J87" s="57" t="n">
        <v>1</v>
      </c>
      <c r="K87" s="57" t="n"/>
      <c r="L87" s="57" t="inlineStr">
        <is>
          <t>26-29 R2</t>
        </is>
      </c>
      <c r="M87" s="57" t="inlineStr">
        <is>
          <t>R2</t>
        </is>
      </c>
    </row>
    <row r="88" ht="25" customHeight="1" s="55">
      <c r="A88" s="57" t="n">
        <v>87</v>
      </c>
      <c r="B88" s="57" t="inlineStr">
        <is>
          <t>UKYT-26-031</t>
        </is>
      </c>
      <c r="C88" s="57" t="inlineStr">
        <is>
          <t>South Farm</t>
        </is>
      </c>
      <c r="D88" s="59" t="n">
        <v>46226</v>
      </c>
      <c r="E88" s="57" t="inlineStr">
        <is>
          <t>First</t>
        </is>
      </c>
      <c r="F88" s="57" t="inlineStr">
        <is>
          <t>Advanced breeding</t>
        </is>
      </c>
      <c r="G88" s="57" t="n">
        <v>345</v>
      </c>
      <c r="H88" s="57" t="n">
        <v>3</v>
      </c>
      <c r="I88" s="57" t="n">
        <v>533</v>
      </c>
      <c r="J88" s="57" t="n">
        <v>4</v>
      </c>
      <c r="K88" s="57" t="n"/>
      <c r="L88" s="57" t="inlineStr">
        <is>
          <t>26-31 R2</t>
        </is>
      </c>
      <c r="M88" s="57" t="inlineStr">
        <is>
          <t>R2</t>
        </is>
      </c>
    </row>
    <row r="89" ht="25" customHeight="1" s="55">
      <c r="A89" s="57" t="n">
        <v>88</v>
      </c>
      <c r="B89" s="57" t="inlineStr">
        <is>
          <t>UKYT-26-033</t>
        </is>
      </c>
      <c r="C89" s="57" t="inlineStr">
        <is>
          <t>South Farm</t>
        </is>
      </c>
      <c r="D89" s="59" t="n">
        <v>46226</v>
      </c>
      <c r="E89" s="57" t="inlineStr">
        <is>
          <t>First</t>
        </is>
      </c>
      <c r="F89" s="57" t="inlineStr">
        <is>
          <t>Advanced breeding</t>
        </is>
      </c>
      <c r="G89" s="57" t="n">
        <v>1537</v>
      </c>
      <c r="H89" s="57" t="n">
        <v>9</v>
      </c>
      <c r="I89" s="57" t="n">
        <v>0</v>
      </c>
      <c r="J89" s="57" t="n">
        <v>0</v>
      </c>
      <c r="K89" s="57" t="n"/>
      <c r="L89" s="57" t="inlineStr">
        <is>
          <t xml:space="preserve">26-33 R2 </t>
        </is>
      </c>
      <c r="M89" s="57" t="inlineStr">
        <is>
          <t>R2</t>
        </is>
      </c>
    </row>
    <row r="90" ht="25" customHeight="1" s="55">
      <c r="A90" s="57" t="n">
        <v>89</v>
      </c>
      <c r="B90" s="57" t="inlineStr">
        <is>
          <t>UKYT-26-042</t>
        </is>
      </c>
      <c r="C90" s="57" t="inlineStr">
        <is>
          <t>South Farm</t>
        </is>
      </c>
      <c r="D90" s="59" t="n">
        <v>46226</v>
      </c>
      <c r="E90" s="57" t="inlineStr">
        <is>
          <t>First</t>
        </is>
      </c>
      <c r="F90" s="58" t="inlineStr">
        <is>
          <t>N/A</t>
        </is>
      </c>
      <c r="G90" s="57" t="n">
        <v>882</v>
      </c>
      <c r="H90" s="57" t="n">
        <v>6</v>
      </c>
      <c r="I90" s="57" t="n">
        <v>182</v>
      </c>
      <c r="J90" s="57" t="n">
        <v>1</v>
      </c>
      <c r="K90" s="57" t="n"/>
      <c r="L90" s="57" t="inlineStr">
        <is>
          <t>26-42 R2</t>
        </is>
      </c>
      <c r="M90" s="57" t="inlineStr">
        <is>
          <t>R2</t>
        </is>
      </c>
    </row>
    <row r="91" ht="25" customHeight="1" s="55">
      <c r="A91" s="57" t="n">
        <v>90</v>
      </c>
      <c r="B91" s="57" t="inlineStr">
        <is>
          <t>UKYT-26-034</t>
        </is>
      </c>
      <c r="C91" s="57" t="inlineStr">
        <is>
          <t>South Farm</t>
        </is>
      </c>
      <c r="D91" s="59" t="n">
        <v>46226</v>
      </c>
      <c r="E91" s="57" t="inlineStr">
        <is>
          <t>First</t>
        </is>
      </c>
      <c r="F91" s="57" t="inlineStr">
        <is>
          <t>Advanced breeding</t>
        </is>
      </c>
      <c r="G91" s="57" t="n">
        <v>1260</v>
      </c>
      <c r="H91" s="57" t="n">
        <v>10</v>
      </c>
      <c r="I91" s="57" t="n">
        <v>168</v>
      </c>
      <c r="J91" s="57" t="n">
        <v>1</v>
      </c>
      <c r="K91" s="57" t="n"/>
      <c r="L91" s="57" t="inlineStr">
        <is>
          <t>26-34 R2</t>
        </is>
      </c>
      <c r="M91" s="57" t="inlineStr">
        <is>
          <t>R2</t>
        </is>
      </c>
    </row>
    <row r="92" ht="25" customHeight="1" s="55">
      <c r="A92" s="57" t="n">
        <v>91</v>
      </c>
      <c r="B92" s="57" t="inlineStr">
        <is>
          <t>UKYT-26-032</t>
        </is>
      </c>
      <c r="C92" s="57" t="inlineStr">
        <is>
          <t>South Farm</t>
        </is>
      </c>
      <c r="D92" s="59" t="n">
        <v>46226</v>
      </c>
      <c r="E92" s="57" t="inlineStr">
        <is>
          <t>First</t>
        </is>
      </c>
      <c r="F92" s="57" t="inlineStr">
        <is>
          <t>Advanced breeding</t>
        </is>
      </c>
      <c r="G92" s="57" t="n">
        <v>0</v>
      </c>
      <c r="H92" s="57" t="n">
        <v>0</v>
      </c>
      <c r="I92" s="57" t="n">
        <v>0</v>
      </c>
      <c r="J92" s="57" t="n">
        <v>0</v>
      </c>
      <c r="K92" s="57" t="n"/>
      <c r="L92" s="57" t="inlineStr">
        <is>
          <t>26-32 R2</t>
        </is>
      </c>
      <c r="M92" s="57" t="inlineStr">
        <is>
          <t>R2</t>
        </is>
      </c>
    </row>
    <row r="93" ht="25" customHeight="1" s="55">
      <c r="A93" s="57" t="n">
        <v>92</v>
      </c>
      <c r="B93" s="57" t="inlineStr">
        <is>
          <t>UKYT-26-030</t>
        </is>
      </c>
      <c r="C93" s="57" t="inlineStr">
        <is>
          <t>South Farm</t>
        </is>
      </c>
      <c r="D93" s="59" t="n">
        <v>46226</v>
      </c>
      <c r="E93" s="57" t="inlineStr">
        <is>
          <t>First</t>
        </is>
      </c>
      <c r="F93" s="57" t="inlineStr">
        <is>
          <t>Advanced breeding</t>
        </is>
      </c>
      <c r="G93" s="57" t="n">
        <v>1985</v>
      </c>
      <c r="H93" s="57" t="n">
        <v>15</v>
      </c>
      <c r="I93" s="57" t="n">
        <v>712</v>
      </c>
      <c r="J93" s="57" t="n">
        <v>5</v>
      </c>
      <c r="K93" s="57" t="n"/>
      <c r="L93" s="57" t="inlineStr">
        <is>
          <t xml:space="preserve">26-30 R2 </t>
        </is>
      </c>
      <c r="M93" s="57" t="inlineStr">
        <is>
          <t>R2</t>
        </is>
      </c>
    </row>
    <row r="94" ht="25" customHeight="1" s="55">
      <c r="A94" s="57" t="n">
        <v>93</v>
      </c>
      <c r="B94" s="57" t="inlineStr">
        <is>
          <t>UKYT-26-031</t>
        </is>
      </c>
      <c r="C94" s="57" t="inlineStr">
        <is>
          <t>South Farm</t>
        </is>
      </c>
      <c r="D94" s="59" t="n">
        <v>46226</v>
      </c>
      <c r="E94" s="57" t="inlineStr">
        <is>
          <t>First</t>
        </is>
      </c>
      <c r="F94" s="57" t="inlineStr">
        <is>
          <t>Advanced breeding</t>
        </is>
      </c>
      <c r="G94" s="57" t="n">
        <v>1141</v>
      </c>
      <c r="H94" s="57" t="n">
        <v>8</v>
      </c>
      <c r="I94" s="57" t="n">
        <v>645</v>
      </c>
      <c r="J94" s="57" t="n">
        <v>3</v>
      </c>
      <c r="K94" s="57" t="n"/>
      <c r="L94" s="57" t="inlineStr">
        <is>
          <t>26-31 R3</t>
        </is>
      </c>
      <c r="M94" s="57" t="inlineStr">
        <is>
          <t>R3</t>
        </is>
      </c>
    </row>
    <row r="95" ht="25" customHeight="1" s="55">
      <c r="A95" s="57" t="n">
        <v>94</v>
      </c>
      <c r="B95" s="57" t="inlineStr">
        <is>
          <t>UKYT-26-032</t>
        </is>
      </c>
      <c r="C95" s="57" t="inlineStr">
        <is>
          <t>South Farm</t>
        </is>
      </c>
      <c r="D95" s="59" t="n">
        <v>46226</v>
      </c>
      <c r="E95" s="57" t="inlineStr">
        <is>
          <t>First</t>
        </is>
      </c>
      <c r="F95" s="57" t="inlineStr">
        <is>
          <t>Advanced breeding</t>
        </is>
      </c>
      <c r="G95" s="57" t="n">
        <v>392</v>
      </c>
      <c r="H95" s="57" t="n">
        <v>2</v>
      </c>
      <c r="I95" s="57" t="n">
        <v>300</v>
      </c>
      <c r="J95" s="57" t="n">
        <v>1</v>
      </c>
      <c r="K95" s="57" t="n"/>
      <c r="L95" s="57" t="inlineStr">
        <is>
          <t xml:space="preserve">26-032 R3 </t>
        </is>
      </c>
      <c r="M95" s="57" t="inlineStr">
        <is>
          <t>R3</t>
        </is>
      </c>
    </row>
    <row r="96" ht="25" customHeight="1" s="55">
      <c r="A96" s="57" t="n">
        <v>95</v>
      </c>
      <c r="B96" s="57" t="inlineStr">
        <is>
          <t>UKYT-26-033</t>
        </is>
      </c>
      <c r="C96" s="57" t="inlineStr">
        <is>
          <t>South Farm</t>
        </is>
      </c>
      <c r="D96" s="59" t="n">
        <v>46226</v>
      </c>
      <c r="E96" s="57" t="inlineStr">
        <is>
          <t>First</t>
        </is>
      </c>
      <c r="F96" s="57" t="inlineStr">
        <is>
          <t>Advanced breeding</t>
        </is>
      </c>
      <c r="G96" s="57" t="n">
        <v>1972</v>
      </c>
      <c r="H96" s="57" t="n">
        <v>14</v>
      </c>
      <c r="I96" s="57" t="n">
        <v>0</v>
      </c>
      <c r="J96" s="57" t="n">
        <v>0</v>
      </c>
      <c r="K96" s="57" t="n"/>
      <c r="L96" s="57" t="inlineStr">
        <is>
          <t xml:space="preserve">26-33 R3 </t>
        </is>
      </c>
      <c r="M96" s="57" t="inlineStr">
        <is>
          <t>R3</t>
        </is>
      </c>
    </row>
    <row r="97" ht="25" customHeight="1" s="55">
      <c r="A97" s="57" t="n">
        <v>96</v>
      </c>
      <c r="B97" s="57" t="inlineStr">
        <is>
          <t>UKYT-25-016</t>
        </is>
      </c>
      <c r="C97" s="57" t="inlineStr">
        <is>
          <t>South Farm</t>
        </is>
      </c>
      <c r="D97" s="59" t="n">
        <v>46226</v>
      </c>
      <c r="E97" s="57" t="inlineStr">
        <is>
          <t>First</t>
        </is>
      </c>
      <c r="F97" s="57" t="inlineStr">
        <is>
          <t>Advanced breeding</t>
        </is>
      </c>
      <c r="G97" s="57" t="n">
        <v>289</v>
      </c>
      <c r="H97" s="57" t="n">
        <v>31</v>
      </c>
      <c r="I97" s="57" t="n">
        <v>43</v>
      </c>
      <c r="J97" s="57" t="n">
        <v>4</v>
      </c>
      <c r="K97" s="57" t="n"/>
      <c r="L97" s="57" t="inlineStr">
        <is>
          <t xml:space="preserve">25-16 R1 </t>
        </is>
      </c>
      <c r="M97" s="57" t="inlineStr">
        <is>
          <t>R1</t>
        </is>
      </c>
    </row>
    <row r="98" ht="25" customHeight="1" s="55">
      <c r="A98" s="57" t="n">
        <v>97</v>
      </c>
      <c r="B98" s="57" t="inlineStr">
        <is>
          <t>UKYT-26-028</t>
        </is>
      </c>
      <c r="C98" s="57" t="inlineStr">
        <is>
          <t>South Farm</t>
        </is>
      </c>
      <c r="D98" s="59" t="n">
        <v>46226</v>
      </c>
      <c r="E98" s="57" t="inlineStr">
        <is>
          <t>First</t>
        </is>
      </c>
      <c r="F98" s="57" t="inlineStr">
        <is>
          <t>Advanced breeding</t>
        </is>
      </c>
      <c r="G98" s="57" t="n">
        <v>1322</v>
      </c>
      <c r="H98" s="57" t="n">
        <v>4</v>
      </c>
      <c r="I98" s="57" t="n">
        <v>0</v>
      </c>
      <c r="J98" s="57" t="n">
        <v>0</v>
      </c>
      <c r="K98" s="57" t="n"/>
      <c r="L98" s="57" t="inlineStr">
        <is>
          <t xml:space="preserve">26-28 R2 </t>
        </is>
      </c>
      <c r="M98" s="57" t="inlineStr">
        <is>
          <t>R2</t>
        </is>
      </c>
    </row>
    <row r="99" ht="25" customHeight="1" s="55">
      <c r="A99" s="57" t="n">
        <v>98</v>
      </c>
      <c r="B99" s="57" t="inlineStr">
        <is>
          <t>UKYT-26-027</t>
        </is>
      </c>
      <c r="C99" s="57" t="inlineStr">
        <is>
          <t>South Farm</t>
        </is>
      </c>
      <c r="D99" s="59" t="n">
        <v>46226</v>
      </c>
      <c r="E99" s="57" t="inlineStr">
        <is>
          <t>First</t>
        </is>
      </c>
      <c r="F99" s="57" t="inlineStr">
        <is>
          <t>Advanced breeding</t>
        </is>
      </c>
      <c r="G99" s="57" t="n">
        <v>323</v>
      </c>
      <c r="H99" s="57" t="n">
        <v>1</v>
      </c>
      <c r="I99" s="57" t="n">
        <v>0</v>
      </c>
      <c r="J99" s="57" t="n">
        <v>0</v>
      </c>
      <c r="K99" s="57" t="n"/>
      <c r="L99" s="57" t="inlineStr">
        <is>
          <t xml:space="preserve">26-27 R2 </t>
        </is>
      </c>
      <c r="M99" s="57" t="inlineStr">
        <is>
          <t>R2</t>
        </is>
      </c>
    </row>
    <row r="100" ht="25" customHeight="1" s="55">
      <c r="A100" s="57" t="n">
        <v>99</v>
      </c>
      <c r="B100" s="57" t="inlineStr">
        <is>
          <t>UKYT-26-010</t>
        </is>
      </c>
      <c r="C100" s="57" t="inlineStr">
        <is>
          <t>South Farm</t>
        </is>
      </c>
      <c r="D100" s="59" t="n">
        <v>46226</v>
      </c>
      <c r="E100" s="57" t="inlineStr">
        <is>
          <t>First</t>
        </is>
      </c>
      <c r="F100" s="57" t="inlineStr">
        <is>
          <t>Advanced breeding</t>
        </is>
      </c>
      <c r="G100" s="57" t="n">
        <v>420</v>
      </c>
      <c r="H100" s="57" t="n">
        <v>3</v>
      </c>
      <c r="I100" s="57" t="n">
        <v>0</v>
      </c>
      <c r="J100" s="57" t="n">
        <v>0</v>
      </c>
      <c r="K100" s="57" t="n"/>
      <c r="L100" s="57" t="inlineStr">
        <is>
          <t xml:space="preserve">26-10 R1 </t>
        </is>
      </c>
      <c r="M100" s="57" t="inlineStr">
        <is>
          <t>R1</t>
        </is>
      </c>
    </row>
    <row r="101" ht="25" customHeight="1" s="55">
      <c r="A101" s="57" t="n">
        <v>100</v>
      </c>
      <c r="B101" s="57" t="inlineStr">
        <is>
          <t>UKYT-26-011</t>
        </is>
      </c>
      <c r="C101" s="57" t="inlineStr">
        <is>
          <t>South Farm</t>
        </is>
      </c>
      <c r="D101" s="59" t="n">
        <v>46226</v>
      </c>
      <c r="E101" s="57" t="inlineStr">
        <is>
          <t>First</t>
        </is>
      </c>
      <c r="F101" s="57" t="inlineStr">
        <is>
          <t>Advanced breeding</t>
        </is>
      </c>
      <c r="G101" s="57" t="n">
        <v>945</v>
      </c>
      <c r="H101" s="57" t="n">
        <v>2</v>
      </c>
      <c r="I101" s="57" t="n">
        <v>425</v>
      </c>
      <c r="J101" s="57" t="n">
        <v>3</v>
      </c>
      <c r="K101" s="57" t="n"/>
      <c r="L101" s="57" t="inlineStr">
        <is>
          <t xml:space="preserve">26-11 R1 </t>
        </is>
      </c>
      <c r="M101" s="57" t="inlineStr">
        <is>
          <t>R1</t>
        </is>
      </c>
    </row>
    <row r="102" ht="25" customHeight="1" s="55">
      <c r="A102" s="57" t="n">
        <v>101</v>
      </c>
      <c r="B102" s="57" t="inlineStr">
        <is>
          <t>UKYT-25-015</t>
        </is>
      </c>
      <c r="C102" s="57" t="inlineStr">
        <is>
          <t>South Farm</t>
        </is>
      </c>
      <c r="D102" s="59" t="n">
        <v>46226</v>
      </c>
      <c r="E102" s="57" t="inlineStr">
        <is>
          <t>First</t>
        </is>
      </c>
      <c r="F102" s="57" t="inlineStr">
        <is>
          <t>Advanced breeding</t>
        </is>
      </c>
      <c r="G102" s="57" t="n">
        <v>2605</v>
      </c>
      <c r="H102" s="57" t="n">
        <v>110</v>
      </c>
      <c r="I102" s="57" t="n">
        <v>452</v>
      </c>
      <c r="J102" s="57" t="n">
        <v>26</v>
      </c>
      <c r="K102" s="57" t="n"/>
      <c r="L102" s="57" t="inlineStr">
        <is>
          <t>25-15 R1</t>
        </is>
      </c>
      <c r="M102" s="57" t="inlineStr">
        <is>
          <t>R1</t>
        </is>
      </c>
    </row>
    <row r="103" ht="25" customHeight="1" s="55">
      <c r="A103" s="57" t="n">
        <v>102</v>
      </c>
      <c r="B103" s="57" t="inlineStr">
        <is>
          <t>UKYT-25-014</t>
        </is>
      </c>
      <c r="C103" s="57" t="inlineStr">
        <is>
          <t>South Farm</t>
        </is>
      </c>
      <c r="D103" s="59" t="n">
        <v>46226</v>
      </c>
      <c r="E103" s="57" t="inlineStr">
        <is>
          <t>First</t>
        </is>
      </c>
      <c r="F103" s="57" t="inlineStr">
        <is>
          <t>Advanced breeding</t>
        </is>
      </c>
      <c r="G103" s="57" t="n">
        <v>3587</v>
      </c>
      <c r="H103" s="57" t="n"/>
      <c r="I103" s="57" t="n">
        <v>262</v>
      </c>
      <c r="J103" s="57" t="n">
        <v>15</v>
      </c>
      <c r="K103" s="57" t="n">
        <v>497</v>
      </c>
      <c r="L103" s="57" t="inlineStr">
        <is>
          <t xml:space="preserve">25-14 R1 </t>
        </is>
      </c>
      <c r="M103" s="57" t="inlineStr">
        <is>
          <t>R1</t>
        </is>
      </c>
    </row>
    <row r="104" ht="25" customHeight="1" s="55">
      <c r="A104" s="57" t="n">
        <v>103</v>
      </c>
      <c r="B104" s="57" t="inlineStr">
        <is>
          <t>UKYT-26-013</t>
        </is>
      </c>
      <c r="C104" s="57" t="inlineStr">
        <is>
          <t>South Farm</t>
        </is>
      </c>
      <c r="D104" s="59" t="n">
        <v>46226</v>
      </c>
      <c r="E104" s="57" t="inlineStr">
        <is>
          <t>First</t>
        </is>
      </c>
      <c r="F104" s="57" t="inlineStr">
        <is>
          <t>Advanced breeding</t>
        </is>
      </c>
      <c r="G104" s="57" t="n">
        <v>250</v>
      </c>
      <c r="H104" s="57" t="n">
        <v>1</v>
      </c>
      <c r="I104" s="57" t="n">
        <v>1240</v>
      </c>
      <c r="J104" s="57" t="n">
        <v>4</v>
      </c>
      <c r="K104" s="57" t="n"/>
      <c r="L104" s="57" t="inlineStr">
        <is>
          <t>26-13 R3</t>
        </is>
      </c>
      <c r="M104" s="57" t="inlineStr">
        <is>
          <t>R3</t>
        </is>
      </c>
    </row>
    <row r="105" ht="25" customHeight="1" s="55">
      <c r="A105" s="57" t="n">
        <v>104</v>
      </c>
      <c r="B105" s="57" t="inlineStr">
        <is>
          <t>UKYT-26-019</t>
        </is>
      </c>
      <c r="C105" s="57" t="inlineStr">
        <is>
          <t>South Farm</t>
        </is>
      </c>
      <c r="D105" s="59" t="n">
        <v>46226</v>
      </c>
      <c r="E105" s="57" t="inlineStr">
        <is>
          <t>First</t>
        </is>
      </c>
      <c r="F105" s="57" t="inlineStr">
        <is>
          <t>Advanced breeding</t>
        </is>
      </c>
      <c r="G105" s="57" t="n">
        <v>0</v>
      </c>
      <c r="H105" s="57" t="n">
        <v>0</v>
      </c>
      <c r="I105" s="57" t="n">
        <v>682</v>
      </c>
      <c r="J105" s="57" t="n">
        <v>2</v>
      </c>
      <c r="K105" s="57" t="n"/>
      <c r="L105" s="57" t="inlineStr">
        <is>
          <t xml:space="preserve">26-19 R2 </t>
        </is>
      </c>
      <c r="M105" s="57" t="inlineStr">
        <is>
          <t>R2</t>
        </is>
      </c>
    </row>
    <row r="106" ht="25" customHeight="1" s="55">
      <c r="A106" s="57" t="n">
        <v>105</v>
      </c>
      <c r="B106" s="57" t="inlineStr">
        <is>
          <t>UKYT-26-026</t>
        </is>
      </c>
      <c r="C106" s="57" t="inlineStr">
        <is>
          <t>South Farm</t>
        </is>
      </c>
      <c r="D106" s="59" t="n">
        <v>46226</v>
      </c>
      <c r="E106" s="57" t="inlineStr">
        <is>
          <t>First</t>
        </is>
      </c>
      <c r="F106" s="57" t="inlineStr">
        <is>
          <t>Advanced breeding</t>
        </is>
      </c>
      <c r="G106" s="57" t="n">
        <v>1389</v>
      </c>
      <c r="H106" s="57" t="n">
        <v>4</v>
      </c>
      <c r="I106" s="57" t="n">
        <v>9976</v>
      </c>
      <c r="J106" s="57" t="n">
        <v>2</v>
      </c>
      <c r="K106" s="57" t="n"/>
      <c r="L106" s="57" t="inlineStr">
        <is>
          <t>26-26-R2</t>
        </is>
      </c>
      <c r="M106" s="57" t="inlineStr">
        <is>
          <t>R2</t>
        </is>
      </c>
    </row>
    <row r="107" ht="25" customHeight="1" s="55">
      <c r="A107" s="57" t="n">
        <v>106</v>
      </c>
      <c r="B107" s="57" t="inlineStr">
        <is>
          <t>UKYT-26-021</t>
        </is>
      </c>
      <c r="C107" s="57" t="inlineStr">
        <is>
          <t>South Farm</t>
        </is>
      </c>
      <c r="D107" s="59" t="n">
        <v>46226</v>
      </c>
      <c r="E107" s="57" t="inlineStr">
        <is>
          <t>First</t>
        </is>
      </c>
      <c r="F107" s="57" t="inlineStr">
        <is>
          <t>Advanced breeding</t>
        </is>
      </c>
      <c r="G107" s="57" t="n">
        <v>854</v>
      </c>
      <c r="H107" s="57" t="n">
        <v>3</v>
      </c>
      <c r="I107" s="57" t="n">
        <v>925</v>
      </c>
      <c r="J107" s="57" t="n">
        <v>4</v>
      </c>
      <c r="K107" s="57" t="n"/>
      <c r="L107" s="57" t="inlineStr">
        <is>
          <t>26-21 R3</t>
        </is>
      </c>
      <c r="M107" s="57" t="inlineStr">
        <is>
          <t>R3</t>
        </is>
      </c>
    </row>
    <row r="108" ht="25" customHeight="1" s="55">
      <c r="A108" s="57" t="n">
        <v>107</v>
      </c>
      <c r="B108" s="57" t="inlineStr">
        <is>
          <t>UKYT-26-022</t>
        </is>
      </c>
      <c r="C108" s="57" t="inlineStr">
        <is>
          <t>South Farm</t>
        </is>
      </c>
      <c r="D108" s="59" t="n">
        <v>46226</v>
      </c>
      <c r="E108" s="57" t="inlineStr">
        <is>
          <t>First</t>
        </is>
      </c>
      <c r="F108" s="57" t="inlineStr">
        <is>
          <t>Advanced breeding</t>
        </is>
      </c>
      <c r="G108" s="57" t="n">
        <v>240</v>
      </c>
      <c r="H108" s="57" t="n">
        <v>1</v>
      </c>
      <c r="I108" s="57" t="n">
        <v>0</v>
      </c>
      <c r="J108" s="57" t="n">
        <v>0</v>
      </c>
      <c r="K108" s="57" t="n"/>
      <c r="L108" s="57" t="inlineStr">
        <is>
          <t>26-22  R3</t>
        </is>
      </c>
      <c r="M108" s="57" t="inlineStr">
        <is>
          <t>R3</t>
        </is>
      </c>
    </row>
    <row r="109" ht="25" customHeight="1" s="55">
      <c r="A109" s="57" t="n">
        <v>108</v>
      </c>
      <c r="B109" s="57" t="inlineStr">
        <is>
          <t>UKYT-26-014</t>
        </is>
      </c>
      <c r="C109" s="57" t="inlineStr">
        <is>
          <t>South Farm</t>
        </is>
      </c>
      <c r="D109" s="59" t="n">
        <v>46226</v>
      </c>
      <c r="E109" s="57" t="inlineStr">
        <is>
          <t>First</t>
        </is>
      </c>
      <c r="F109" s="57" t="inlineStr">
        <is>
          <t>Advanced breeding</t>
        </is>
      </c>
      <c r="G109" s="57" t="n">
        <v>903</v>
      </c>
      <c r="H109" s="57" t="n">
        <v>4</v>
      </c>
      <c r="I109" s="57" t="n">
        <v>2210</v>
      </c>
      <c r="J109" s="57" t="n">
        <v>9</v>
      </c>
      <c r="K109" s="57" t="n"/>
      <c r="L109" s="57" t="inlineStr">
        <is>
          <t>26-14 R1</t>
        </is>
      </c>
      <c r="M109" s="57" t="inlineStr">
        <is>
          <t>R1</t>
        </is>
      </c>
    </row>
    <row r="110" ht="25" customHeight="1" s="55">
      <c r="A110" s="57" t="n">
        <v>109</v>
      </c>
      <c r="B110" s="57" t="inlineStr">
        <is>
          <t>UKYT-26-024</t>
        </is>
      </c>
      <c r="C110" s="57" t="inlineStr">
        <is>
          <t>South Farm</t>
        </is>
      </c>
      <c r="D110" s="59" t="n">
        <v>46226</v>
      </c>
      <c r="E110" s="57" t="inlineStr">
        <is>
          <t>First</t>
        </is>
      </c>
      <c r="F110" s="57" t="inlineStr">
        <is>
          <t>Advanced breeding</t>
        </is>
      </c>
      <c r="G110" s="57" t="n">
        <v>397</v>
      </c>
      <c r="H110" s="57" t="n">
        <v>1</v>
      </c>
      <c r="I110" s="57" t="n">
        <v>388</v>
      </c>
      <c r="J110" s="57" t="n">
        <v>1</v>
      </c>
      <c r="K110" s="57" t="n"/>
      <c r="L110" s="57" t="inlineStr">
        <is>
          <t>26-24 R2</t>
        </is>
      </c>
      <c r="M110" s="57" t="inlineStr">
        <is>
          <t>R2</t>
        </is>
      </c>
    </row>
    <row r="111" ht="25" customHeight="1" s="55">
      <c r="A111" s="57" t="n">
        <v>110</v>
      </c>
      <c r="B111" s="57" t="inlineStr">
        <is>
          <t>UKYT-26-013</t>
        </is>
      </c>
      <c r="C111" s="57" t="inlineStr">
        <is>
          <t>South Farm</t>
        </is>
      </c>
      <c r="D111" s="59" t="n">
        <v>46226</v>
      </c>
      <c r="E111" s="57" t="inlineStr">
        <is>
          <t>First</t>
        </is>
      </c>
      <c r="F111" s="57" t="inlineStr">
        <is>
          <t>Advanced breeding</t>
        </is>
      </c>
      <c r="G111" s="57" t="n">
        <v>950</v>
      </c>
      <c r="H111" s="57" t="n">
        <v>3</v>
      </c>
      <c r="I111" s="57" t="n">
        <v>2416</v>
      </c>
      <c r="J111" s="57" t="n">
        <v>8</v>
      </c>
      <c r="K111" s="57" t="n"/>
      <c r="L111" s="57" t="inlineStr">
        <is>
          <t xml:space="preserve">26-13 R1 </t>
        </is>
      </c>
      <c r="M111" s="57" t="inlineStr">
        <is>
          <t>R1</t>
        </is>
      </c>
    </row>
    <row r="112" ht="25" customHeight="1" s="55">
      <c r="A112" s="57" t="n">
        <v>111</v>
      </c>
      <c r="B112" s="57" t="inlineStr">
        <is>
          <t>UKYT-26-023</t>
        </is>
      </c>
      <c r="C112" s="57" t="inlineStr">
        <is>
          <t>South Farm</t>
        </is>
      </c>
      <c r="D112" s="59" t="n">
        <v>46226</v>
      </c>
      <c r="E112" s="57" t="inlineStr">
        <is>
          <t>First</t>
        </is>
      </c>
      <c r="F112" s="57" t="inlineStr">
        <is>
          <t>Advanced breeding</t>
        </is>
      </c>
      <c r="G112" s="57" t="n">
        <v>303</v>
      </c>
      <c r="H112" s="57" t="n">
        <v>2</v>
      </c>
      <c r="I112" s="57" t="n">
        <v>790</v>
      </c>
      <c r="J112" s="57" t="n">
        <v>2</v>
      </c>
      <c r="K112" s="57" t="n"/>
      <c r="L112" s="57" t="inlineStr">
        <is>
          <t>26-23 R3</t>
        </is>
      </c>
      <c r="M112" s="57" t="inlineStr">
        <is>
          <t>R3</t>
        </is>
      </c>
    </row>
    <row r="113" ht="25" customHeight="1" s="55">
      <c r="A113" s="57" t="n">
        <v>112</v>
      </c>
      <c r="B113" s="57" t="inlineStr">
        <is>
          <t>UKYT-26-024</t>
        </is>
      </c>
      <c r="C113" s="57" t="inlineStr">
        <is>
          <t>South Farm</t>
        </is>
      </c>
      <c r="D113" s="59" t="n">
        <v>46226</v>
      </c>
      <c r="E113" s="57" t="inlineStr">
        <is>
          <t>First</t>
        </is>
      </c>
      <c r="F113" s="57" t="inlineStr">
        <is>
          <t>Advanced breeding</t>
        </is>
      </c>
      <c r="G113" s="57" t="n">
        <v>900</v>
      </c>
      <c r="H113" s="57" t="n">
        <v>3</v>
      </c>
      <c r="I113" s="57" t="n">
        <v>0</v>
      </c>
      <c r="J113" s="57" t="n">
        <v>0</v>
      </c>
      <c r="K113" s="57" t="n"/>
      <c r="L113" s="57" t="inlineStr">
        <is>
          <t xml:space="preserve">26-24 R3 </t>
        </is>
      </c>
      <c r="M113" s="57" t="inlineStr">
        <is>
          <t>R3</t>
        </is>
      </c>
    </row>
    <row r="114" ht="25" customHeight="1" s="55">
      <c r="A114" s="57" t="n">
        <v>113</v>
      </c>
      <c r="B114" s="57" t="inlineStr">
        <is>
          <t>UKYT-26-023</t>
        </is>
      </c>
      <c r="C114" s="57" t="inlineStr">
        <is>
          <t>South Farm</t>
        </is>
      </c>
      <c r="D114" s="59" t="n">
        <v>46226</v>
      </c>
      <c r="E114" s="57" t="inlineStr">
        <is>
          <t>First</t>
        </is>
      </c>
      <c r="F114" s="57" t="inlineStr">
        <is>
          <t>Advanced breeding</t>
        </is>
      </c>
      <c r="G114" s="57" t="n">
        <v>1977</v>
      </c>
      <c r="H114" s="57" t="n">
        <v>5</v>
      </c>
      <c r="I114" s="57" t="n">
        <v>1136</v>
      </c>
      <c r="J114" s="57" t="n">
        <v>3</v>
      </c>
      <c r="K114" s="57" t="n"/>
      <c r="L114" s="57" t="inlineStr">
        <is>
          <t>26-23 R2</t>
        </is>
      </c>
      <c r="M114" s="57" t="inlineStr">
        <is>
          <t>R2</t>
        </is>
      </c>
    </row>
    <row r="115" ht="25" customHeight="1" s="55">
      <c r="A115" s="57" t="n">
        <v>114</v>
      </c>
      <c r="B115" s="57" t="inlineStr">
        <is>
          <t>UKYT-26-020</t>
        </is>
      </c>
      <c r="C115" s="57" t="inlineStr">
        <is>
          <t>South Farm</t>
        </is>
      </c>
      <c r="D115" s="59" t="n">
        <v>46226</v>
      </c>
      <c r="E115" s="57" t="inlineStr">
        <is>
          <t>First</t>
        </is>
      </c>
      <c r="F115" s="57" t="inlineStr">
        <is>
          <t>Advanced breeding</t>
        </is>
      </c>
      <c r="G115" s="57" t="n">
        <v>603</v>
      </c>
      <c r="H115" s="57" t="n">
        <v>2</v>
      </c>
      <c r="I115" s="57" t="n">
        <v>0</v>
      </c>
      <c r="J115" s="57" t="n">
        <v>0</v>
      </c>
      <c r="K115" s="57" t="n"/>
      <c r="L115" s="57" t="inlineStr">
        <is>
          <t xml:space="preserve">26-20 R2 </t>
        </is>
      </c>
      <c r="M115" s="57" t="inlineStr">
        <is>
          <t>R2</t>
        </is>
      </c>
    </row>
    <row r="116" ht="25" customHeight="1" s="55">
      <c r="A116" s="57" t="n">
        <v>115</v>
      </c>
      <c r="B116" s="57" t="inlineStr">
        <is>
          <t>UKYT-26-021</t>
        </is>
      </c>
      <c r="C116" s="57" t="inlineStr">
        <is>
          <t>South Farm</t>
        </is>
      </c>
      <c r="D116" s="59" t="n">
        <v>46226</v>
      </c>
      <c r="E116" s="57" t="inlineStr">
        <is>
          <t>First</t>
        </is>
      </c>
      <c r="F116" s="57" t="inlineStr">
        <is>
          <t>Advanced breeding</t>
        </is>
      </c>
      <c r="G116" s="57" t="n">
        <v>344</v>
      </c>
      <c r="H116" s="57" t="n">
        <v>1</v>
      </c>
      <c r="I116" s="57" t="n">
        <v>0</v>
      </c>
      <c r="J116" s="57" t="n">
        <v>0</v>
      </c>
      <c r="K116" s="57" t="n"/>
      <c r="L116" s="57" t="inlineStr">
        <is>
          <t xml:space="preserve">26-21 R1 </t>
        </is>
      </c>
      <c r="M116" s="57" t="inlineStr">
        <is>
          <t>R1</t>
        </is>
      </c>
    </row>
    <row r="117" ht="25" customHeight="1" s="55">
      <c r="A117" s="57" t="n">
        <v>116</v>
      </c>
      <c r="B117" s="57" t="inlineStr">
        <is>
          <t>UKYT-26-025</t>
        </is>
      </c>
      <c r="C117" s="57" t="inlineStr">
        <is>
          <t>South Farm</t>
        </is>
      </c>
      <c r="D117" s="59" t="n">
        <v>46226</v>
      </c>
      <c r="E117" s="57" t="inlineStr">
        <is>
          <t>First</t>
        </is>
      </c>
      <c r="F117" s="57" t="inlineStr">
        <is>
          <t>Advanced breeding</t>
        </is>
      </c>
      <c r="G117" s="57" t="n">
        <v>369</v>
      </c>
      <c r="H117" s="57" t="n">
        <v>1</v>
      </c>
      <c r="I117" s="57" t="n">
        <v>0</v>
      </c>
      <c r="J117" s="57" t="n">
        <v>0</v>
      </c>
      <c r="K117" s="57" t="n"/>
      <c r="L117" s="57" t="inlineStr">
        <is>
          <t>26-25</t>
        </is>
      </c>
      <c r="M117" s="58" t="inlineStr">
        <is>
          <t>N/A</t>
        </is>
      </c>
    </row>
    <row r="118" ht="25" customHeight="1" s="55">
      <c r="A118" s="57" t="n">
        <v>117</v>
      </c>
      <c r="B118" s="57" t="inlineStr">
        <is>
          <t>UKYT-26-019</t>
        </is>
      </c>
      <c r="C118" s="57" t="inlineStr">
        <is>
          <t>South Farm</t>
        </is>
      </c>
      <c r="D118" s="59" t="n">
        <v>46226</v>
      </c>
      <c r="E118" s="57" t="inlineStr">
        <is>
          <t>First</t>
        </is>
      </c>
      <c r="F118" s="57" t="inlineStr">
        <is>
          <t>Advanced breeding</t>
        </is>
      </c>
      <c r="G118" s="57" t="n">
        <v>305</v>
      </c>
      <c r="H118" s="57" t="n">
        <v>3</v>
      </c>
      <c r="I118" s="57" t="n">
        <v>623</v>
      </c>
      <c r="J118" s="57" t="n">
        <v>2</v>
      </c>
      <c r="K118" s="57" t="n"/>
      <c r="L118" s="57" t="inlineStr">
        <is>
          <t xml:space="preserve">26-19 R2 </t>
        </is>
      </c>
      <c r="M118" s="57" t="inlineStr">
        <is>
          <t>R2</t>
        </is>
      </c>
    </row>
    <row r="119" ht="25" customHeight="1" s="55">
      <c r="A119" s="57" t="n">
        <v>118</v>
      </c>
      <c r="B119" s="57" t="inlineStr">
        <is>
          <t>UKYT-26-020</t>
        </is>
      </c>
      <c r="C119" s="57" t="inlineStr">
        <is>
          <t>South Farm</t>
        </is>
      </c>
      <c r="D119" s="59" t="n">
        <v>46226</v>
      </c>
      <c r="E119" s="57" t="inlineStr">
        <is>
          <t>First</t>
        </is>
      </c>
      <c r="F119" s="57" t="inlineStr">
        <is>
          <t>Advanced breeding</t>
        </is>
      </c>
      <c r="G119" s="57" t="n">
        <v>342</v>
      </c>
      <c r="H119" s="57" t="n">
        <v>1</v>
      </c>
      <c r="I119" s="57" t="n">
        <v>0</v>
      </c>
      <c r="J119" s="57" t="n">
        <v>0</v>
      </c>
      <c r="K119" s="57" t="n"/>
      <c r="L119" s="57" t="inlineStr">
        <is>
          <t xml:space="preserve">26-20 R3 </t>
        </is>
      </c>
      <c r="M119" s="57" t="inlineStr">
        <is>
          <t>R3</t>
        </is>
      </c>
    </row>
    <row r="120" ht="25" customHeight="1" s="55">
      <c r="A120" s="57" t="n">
        <v>119</v>
      </c>
      <c r="B120" s="57" t="inlineStr">
        <is>
          <t>UKYT-25-012</t>
        </is>
      </c>
      <c r="C120" s="57" t="inlineStr">
        <is>
          <t>South Farm</t>
        </is>
      </c>
      <c r="D120" s="59" t="n">
        <v>46226</v>
      </c>
      <c r="E120" s="57" t="inlineStr">
        <is>
          <t>First</t>
        </is>
      </c>
      <c r="F120" s="57" t="inlineStr">
        <is>
          <t>Advanced breeding</t>
        </is>
      </c>
      <c r="G120" s="57" t="n">
        <v>1239</v>
      </c>
      <c r="H120" s="57" t="n">
        <v>70</v>
      </c>
      <c r="I120" s="57" t="n">
        <v>98</v>
      </c>
      <c r="J120" s="57" t="n">
        <v>4</v>
      </c>
      <c r="K120" s="57" t="n"/>
      <c r="L120" s="57" t="inlineStr">
        <is>
          <t xml:space="preserve">25-12 R2 </t>
        </is>
      </c>
      <c r="M120" s="57" t="inlineStr">
        <is>
          <t>R2</t>
        </is>
      </c>
    </row>
    <row r="121" ht="25" customHeight="1" s="55">
      <c r="A121" s="57" t="n">
        <v>120</v>
      </c>
      <c r="B121" s="57" t="inlineStr">
        <is>
          <t>UKYT-25-011</t>
        </is>
      </c>
      <c r="C121" s="57" t="inlineStr">
        <is>
          <t>South Farm</t>
        </is>
      </c>
      <c r="D121" s="59" t="n">
        <v>46226</v>
      </c>
      <c r="E121" s="57" t="inlineStr">
        <is>
          <t>First</t>
        </is>
      </c>
      <c r="F121" s="57" t="inlineStr">
        <is>
          <t>Advanced breeding</t>
        </is>
      </c>
      <c r="G121" s="57" t="n">
        <v>2132</v>
      </c>
      <c r="H121" s="57" t="n">
        <v>115</v>
      </c>
      <c r="I121" s="57" t="n">
        <v>136</v>
      </c>
      <c r="J121" s="57" t="n">
        <v>9</v>
      </c>
      <c r="K121" s="57" t="n"/>
      <c r="L121" s="57" t="inlineStr">
        <is>
          <t xml:space="preserve">25-11 R2 </t>
        </is>
      </c>
      <c r="M121" s="57" t="inlineStr">
        <is>
          <t>R2</t>
        </is>
      </c>
    </row>
    <row r="122" ht="25" customHeight="1" s="55">
      <c r="A122" s="57" t="n">
        <v>121</v>
      </c>
      <c r="B122" s="57" t="inlineStr">
        <is>
          <t>UKYT-25-010</t>
        </is>
      </c>
      <c r="C122" s="57" t="inlineStr">
        <is>
          <t>South Farm</t>
        </is>
      </c>
      <c r="D122" s="59" t="n">
        <v>46226</v>
      </c>
      <c r="E122" s="57" t="inlineStr">
        <is>
          <t>First</t>
        </is>
      </c>
      <c r="F122" s="57" t="inlineStr">
        <is>
          <t>Advanced breeding</t>
        </is>
      </c>
      <c r="G122" s="57" t="n">
        <v>1791</v>
      </c>
      <c r="H122" s="57" t="n">
        <v>100</v>
      </c>
      <c r="I122" s="57" t="n">
        <v>196</v>
      </c>
      <c r="J122" s="57" t="n">
        <v>9</v>
      </c>
      <c r="K122" s="57" t="n"/>
      <c r="L122" s="57" t="inlineStr">
        <is>
          <t xml:space="preserve">25-10 R2 </t>
        </is>
      </c>
      <c r="M122" s="57" t="inlineStr">
        <is>
          <t>R2</t>
        </is>
      </c>
    </row>
    <row r="123" ht="25" customHeight="1" s="55">
      <c r="A123" s="57" t="n">
        <v>122</v>
      </c>
      <c r="B123" s="57" t="inlineStr">
        <is>
          <t>UKYT-25-018</t>
        </is>
      </c>
      <c r="C123" s="57" t="inlineStr">
        <is>
          <t>South Farm</t>
        </is>
      </c>
      <c r="D123" s="59" t="n">
        <v>46226</v>
      </c>
      <c r="E123" s="57" t="inlineStr">
        <is>
          <t>First</t>
        </is>
      </c>
      <c r="F123" s="57" t="inlineStr">
        <is>
          <t>Advanced breeding</t>
        </is>
      </c>
      <c r="G123" s="57" t="n">
        <v>2774</v>
      </c>
      <c r="H123" s="57" t="n"/>
      <c r="I123" s="57" t="n">
        <v>969</v>
      </c>
      <c r="J123" s="57" t="n">
        <v>52</v>
      </c>
      <c r="K123" s="57" t="n">
        <v>350</v>
      </c>
      <c r="L123" s="57" t="inlineStr">
        <is>
          <t>25-18</t>
        </is>
      </c>
      <c r="M123" s="58" t="inlineStr">
        <is>
          <t>N/A</t>
        </is>
      </c>
    </row>
    <row r="124" ht="25" customHeight="1" s="55">
      <c r="A124" s="57" t="n">
        <v>123</v>
      </c>
      <c r="B124" s="57" t="inlineStr">
        <is>
          <t>UKYT-26-018</t>
        </is>
      </c>
      <c r="C124" s="57" t="inlineStr">
        <is>
          <t>South Farm</t>
        </is>
      </c>
      <c r="D124" s="59" t="n">
        <v>46226</v>
      </c>
      <c r="E124" s="57" t="inlineStr">
        <is>
          <t>First</t>
        </is>
      </c>
      <c r="F124" s="57" t="inlineStr">
        <is>
          <t>Advanced breeding</t>
        </is>
      </c>
      <c r="G124" s="57" t="n">
        <v>153</v>
      </c>
      <c r="H124" s="57" t="n">
        <v>1</v>
      </c>
      <c r="I124" s="57" t="n">
        <v>940</v>
      </c>
      <c r="J124" s="57" t="n">
        <v>4</v>
      </c>
      <c r="K124" s="57" t="n"/>
      <c r="L124" s="57" t="inlineStr">
        <is>
          <t>26-18 R2</t>
        </is>
      </c>
      <c r="M124" s="57" t="inlineStr">
        <is>
          <t>R2</t>
        </is>
      </c>
    </row>
    <row r="125" ht="25" customHeight="1" s="55">
      <c r="A125" s="57" t="n">
        <v>124</v>
      </c>
      <c r="B125" s="57" t="inlineStr">
        <is>
          <t>UKYT-26-028</t>
        </is>
      </c>
      <c r="C125" s="57" t="inlineStr">
        <is>
          <t>South Farm</t>
        </is>
      </c>
      <c r="D125" s="59" t="n">
        <v>46226</v>
      </c>
      <c r="E125" s="57" t="inlineStr">
        <is>
          <t>First</t>
        </is>
      </c>
      <c r="F125" s="57" t="inlineStr">
        <is>
          <t>Advanced breeding</t>
        </is>
      </c>
      <c r="G125" s="57" t="n">
        <v>934</v>
      </c>
      <c r="H125" s="57" t="n">
        <v>3</v>
      </c>
      <c r="I125" s="57" t="n">
        <v>876</v>
      </c>
      <c r="J125" s="57" t="n">
        <v>4</v>
      </c>
      <c r="K125" s="57" t="n"/>
      <c r="L125" s="57" t="inlineStr">
        <is>
          <t>26-28 R1</t>
        </is>
      </c>
      <c r="M125" s="57" t="inlineStr">
        <is>
          <t>R1</t>
        </is>
      </c>
    </row>
    <row r="126" ht="25" customHeight="1" s="55">
      <c r="A126" s="57" t="n">
        <v>125</v>
      </c>
      <c r="B126" s="57" t="inlineStr">
        <is>
          <t>UKYT-26-027</t>
        </is>
      </c>
      <c r="C126" s="57" t="inlineStr">
        <is>
          <t>South Farm</t>
        </is>
      </c>
      <c r="D126" s="59" t="n">
        <v>46226</v>
      </c>
      <c r="E126" s="57" t="inlineStr">
        <is>
          <t>First</t>
        </is>
      </c>
      <c r="F126" s="57" t="inlineStr">
        <is>
          <t>Advanced breeding</t>
        </is>
      </c>
      <c r="G126" s="57" t="n">
        <v>221</v>
      </c>
      <c r="H126" s="57" t="n">
        <v>1</v>
      </c>
      <c r="I126" s="57" t="n">
        <v>247</v>
      </c>
      <c r="J126" s="57" t="n">
        <v>1</v>
      </c>
      <c r="K126" s="57" t="n"/>
      <c r="L126" s="57" t="inlineStr">
        <is>
          <t>26-27</t>
        </is>
      </c>
      <c r="M126" s="58" t="inlineStr">
        <is>
          <t>N/A</t>
        </is>
      </c>
    </row>
    <row r="127" ht="25" customHeight="1" s="55">
      <c r="A127" s="57" t="n">
        <v>126</v>
      </c>
      <c r="B127" s="57" t="inlineStr">
        <is>
          <t>UKYT-26-023</t>
        </is>
      </c>
      <c r="C127" s="57" t="inlineStr">
        <is>
          <t>South Farm</t>
        </is>
      </c>
      <c r="D127" s="59" t="n">
        <v>46226</v>
      </c>
      <c r="E127" s="57" t="inlineStr">
        <is>
          <t>First</t>
        </is>
      </c>
      <c r="F127" s="57" t="inlineStr">
        <is>
          <t>Advanced breeding</t>
        </is>
      </c>
      <c r="G127" s="57" t="n">
        <v>1105</v>
      </c>
      <c r="H127" s="57" t="n">
        <v>4</v>
      </c>
      <c r="I127" s="57" t="n">
        <v>1121</v>
      </c>
      <c r="J127" s="57" t="n">
        <v>3</v>
      </c>
      <c r="K127" s="57" t="n"/>
      <c r="L127" s="57" t="inlineStr">
        <is>
          <t>26-23 R1</t>
        </is>
      </c>
      <c r="M127" s="57" t="inlineStr">
        <is>
          <t>R1</t>
        </is>
      </c>
    </row>
    <row r="128" ht="25" customHeight="1" s="55">
      <c r="A128" s="57" t="n">
        <v>127</v>
      </c>
      <c r="B128" s="57" t="inlineStr">
        <is>
          <t>UKYT-26-015</t>
        </is>
      </c>
      <c r="C128" s="57" t="inlineStr">
        <is>
          <t>South Farm</t>
        </is>
      </c>
      <c r="D128" s="59" t="n">
        <v>46226</v>
      </c>
      <c r="E128" s="57" t="inlineStr">
        <is>
          <t>First</t>
        </is>
      </c>
      <c r="F128" s="57" t="inlineStr">
        <is>
          <t>Advanced breeding</t>
        </is>
      </c>
      <c r="G128" s="57" t="n">
        <v>386</v>
      </c>
      <c r="H128" s="57" t="n">
        <v>1</v>
      </c>
      <c r="I128" s="57" t="n">
        <v>0</v>
      </c>
      <c r="J128" s="57" t="n">
        <v>0</v>
      </c>
      <c r="K128" s="57" t="n"/>
      <c r="L128" s="57" t="inlineStr">
        <is>
          <t xml:space="preserve">26-15 R2 </t>
        </is>
      </c>
      <c r="M128" s="57" t="inlineStr">
        <is>
          <t>R2</t>
        </is>
      </c>
    </row>
    <row r="129" ht="25" customHeight="1" s="55">
      <c r="A129" s="57" t="n">
        <v>128</v>
      </c>
      <c r="B129" s="57" t="inlineStr">
        <is>
          <t>UKYT-26-034</t>
        </is>
      </c>
      <c r="C129" s="57" t="inlineStr">
        <is>
          <t>South Farm</t>
        </is>
      </c>
      <c r="D129" s="59" t="n">
        <v>46226</v>
      </c>
      <c r="E129" s="57" t="inlineStr">
        <is>
          <t>First</t>
        </is>
      </c>
      <c r="F129" s="57" t="inlineStr">
        <is>
          <t>Advanced breeding</t>
        </is>
      </c>
      <c r="G129" s="57" t="n">
        <v>1317</v>
      </c>
      <c r="H129" s="57" t="n">
        <v>11</v>
      </c>
      <c r="I129" s="57" t="n">
        <v>191</v>
      </c>
      <c r="J129" s="57" t="n">
        <v>1</v>
      </c>
      <c r="K129" s="57" t="n"/>
      <c r="L129" s="57" t="inlineStr">
        <is>
          <t xml:space="preserve">26-34 R1 </t>
        </is>
      </c>
      <c r="M129" s="57" t="inlineStr">
        <is>
          <t>R1</t>
        </is>
      </c>
    </row>
    <row r="130" ht="25" customHeight="1" s="55">
      <c r="A130" s="57" t="n">
        <v>129</v>
      </c>
      <c r="B130" s="57" t="inlineStr">
        <is>
          <t>267</t>
        </is>
      </c>
      <c r="C130" s="57" t="inlineStr">
        <is>
          <t>South Farm</t>
        </is>
      </c>
      <c r="D130" s="59" t="n">
        <v>46226</v>
      </c>
      <c r="E130" s="57" t="inlineStr">
        <is>
          <t>First</t>
        </is>
      </c>
      <c r="F130" s="58" t="inlineStr">
        <is>
          <t>N/A</t>
        </is>
      </c>
      <c r="G130" s="57" t="n">
        <v>1179</v>
      </c>
      <c r="H130" s="57" t="n">
        <v>12</v>
      </c>
      <c r="I130" s="57" t="n">
        <v>347</v>
      </c>
      <c r="J130" s="57" t="n">
        <v>4</v>
      </c>
      <c r="K130" s="57" t="n"/>
      <c r="L130" s="57" t="inlineStr">
        <is>
          <t>267-5 R3</t>
        </is>
      </c>
      <c r="M130" s="57" t="inlineStr">
        <is>
          <t>R3</t>
        </is>
      </c>
    </row>
    <row r="131" ht="25" customHeight="1" s="55">
      <c r="A131" s="57" t="n">
        <v>130</v>
      </c>
      <c r="B131" s="57" t="inlineStr">
        <is>
          <t>UKYT-26-003</t>
        </is>
      </c>
      <c r="C131" s="57" t="inlineStr">
        <is>
          <t>South Farm</t>
        </is>
      </c>
      <c r="D131" s="59" t="n">
        <v>46226</v>
      </c>
      <c r="E131" s="57" t="inlineStr">
        <is>
          <t>First</t>
        </is>
      </c>
      <c r="F131" s="57" t="inlineStr">
        <is>
          <t>Advanced breeding</t>
        </is>
      </c>
      <c r="G131" s="57" t="n">
        <v>1159</v>
      </c>
      <c r="H131" s="57" t="n">
        <v>16</v>
      </c>
      <c r="I131" s="57" t="n">
        <v>476</v>
      </c>
      <c r="J131" s="57" t="n">
        <v>7</v>
      </c>
      <c r="K131" s="57" t="n"/>
      <c r="L131" s="57" t="inlineStr">
        <is>
          <t>26-3 R3</t>
        </is>
      </c>
      <c r="M131" s="57" t="inlineStr">
        <is>
          <t>R3</t>
        </is>
      </c>
    </row>
    <row r="132" ht="25" customHeight="1" s="55">
      <c r="A132" s="57" t="n">
        <v>131</v>
      </c>
      <c r="B132" s="57" t="inlineStr">
        <is>
          <t>UKYT-26-021</t>
        </is>
      </c>
      <c r="C132" s="57" t="inlineStr">
        <is>
          <t>South Farm</t>
        </is>
      </c>
      <c r="D132" s="59" t="n">
        <v>46226</v>
      </c>
      <c r="E132" s="57" t="inlineStr">
        <is>
          <t>First</t>
        </is>
      </c>
      <c r="F132" s="57" t="inlineStr">
        <is>
          <t>Advanced breeding</t>
        </is>
      </c>
      <c r="G132" s="57" t="n">
        <v>1233</v>
      </c>
      <c r="H132" s="57" t="n">
        <v>6</v>
      </c>
      <c r="I132" s="57" t="n">
        <v>1747</v>
      </c>
      <c r="J132" s="57" t="n">
        <v>5</v>
      </c>
      <c r="K132" s="57" t="n"/>
      <c r="L132" s="57" t="inlineStr">
        <is>
          <t xml:space="preserve">26-21 R1 </t>
        </is>
      </c>
      <c r="M132" s="57" t="inlineStr">
        <is>
          <t>R1</t>
        </is>
      </c>
    </row>
    <row r="133" ht="25" customHeight="1" s="55">
      <c r="A133" s="57" t="n">
        <v>132</v>
      </c>
      <c r="B133" s="57" t="inlineStr">
        <is>
          <t>UKYT-26-020</t>
        </is>
      </c>
      <c r="C133" s="57" t="inlineStr">
        <is>
          <t>South Farm</t>
        </is>
      </c>
      <c r="D133" s="59" t="n">
        <v>46226</v>
      </c>
      <c r="E133" s="57" t="inlineStr">
        <is>
          <t>First</t>
        </is>
      </c>
      <c r="F133" s="57" t="inlineStr">
        <is>
          <t>Advanced breeding</t>
        </is>
      </c>
      <c r="G133" s="57" t="n">
        <v>1152</v>
      </c>
      <c r="H133" s="57" t="n">
        <v>3</v>
      </c>
      <c r="I133" s="57" t="n">
        <v>0</v>
      </c>
      <c r="J133" s="57" t="n">
        <v>0</v>
      </c>
      <c r="K133" s="57" t="n"/>
      <c r="L133" s="57" t="inlineStr">
        <is>
          <t>26-20 R1</t>
        </is>
      </c>
      <c r="M133" s="57" t="inlineStr">
        <is>
          <t>R1</t>
        </is>
      </c>
    </row>
    <row r="134" ht="25" customHeight="1" s="55">
      <c r="A134" s="57" t="n">
        <v>133</v>
      </c>
      <c r="B134" s="57" t="inlineStr">
        <is>
          <t>UKYT-26-001</t>
        </is>
      </c>
      <c r="C134" s="57" t="inlineStr">
        <is>
          <t>South Farm</t>
        </is>
      </c>
      <c r="D134" s="59" t="n">
        <v>46226</v>
      </c>
      <c r="E134" s="57" t="inlineStr">
        <is>
          <t>First</t>
        </is>
      </c>
      <c r="F134" s="57" t="inlineStr">
        <is>
          <t>Advanced breeding</t>
        </is>
      </c>
      <c r="G134" s="57" t="n">
        <v>584</v>
      </c>
      <c r="H134" s="57" t="n">
        <v>7</v>
      </c>
      <c r="I134" s="57" t="n">
        <v>183</v>
      </c>
      <c r="J134" s="57" t="n">
        <v>2</v>
      </c>
      <c r="K134" s="57" t="n"/>
      <c r="L134" s="57" t="inlineStr">
        <is>
          <t>26-1 R2</t>
        </is>
      </c>
      <c r="M134" s="57" t="inlineStr">
        <is>
          <t>R2</t>
        </is>
      </c>
    </row>
    <row r="135" ht="25" customHeight="1" s="55">
      <c r="A135" s="57" t="n">
        <v>134</v>
      </c>
      <c r="B135" s="57" t="inlineStr">
        <is>
          <t>UKYT-26-008</t>
        </is>
      </c>
      <c r="C135" s="57" t="inlineStr">
        <is>
          <t>South Farm</t>
        </is>
      </c>
      <c r="D135" s="59" t="n">
        <v>46226</v>
      </c>
      <c r="E135" s="57" t="inlineStr">
        <is>
          <t>First</t>
        </is>
      </c>
      <c r="F135" s="57" t="inlineStr">
        <is>
          <t>Advanced breeding</t>
        </is>
      </c>
      <c r="G135" s="57" t="n">
        <v>3050</v>
      </c>
      <c r="H135" s="57" t="n">
        <v>26</v>
      </c>
      <c r="I135" s="57" t="n">
        <v>785</v>
      </c>
      <c r="J135" s="57" t="n">
        <v>7</v>
      </c>
      <c r="K135" s="57" t="n"/>
      <c r="L135" s="57" t="inlineStr">
        <is>
          <t>26-8 R2</t>
        </is>
      </c>
      <c r="M135" s="57" t="inlineStr">
        <is>
          <t>R2</t>
        </is>
      </c>
    </row>
    <row r="136" ht="25" customHeight="1" s="55">
      <c r="A136" s="57" t="n">
        <v>135</v>
      </c>
      <c r="B136" s="57" t="inlineStr">
        <is>
          <t>UKYT-26-026</t>
        </is>
      </c>
      <c r="C136" s="57" t="inlineStr">
        <is>
          <t>South Farm</t>
        </is>
      </c>
      <c r="D136" s="59" t="n">
        <v>46226</v>
      </c>
      <c r="E136" s="57" t="inlineStr">
        <is>
          <t>First</t>
        </is>
      </c>
      <c r="F136" s="57" t="inlineStr">
        <is>
          <t>Advanced breeding</t>
        </is>
      </c>
      <c r="G136" s="57" t="n">
        <v>2420</v>
      </c>
      <c r="H136" s="57" t="n">
        <v>8</v>
      </c>
      <c r="I136" s="57" t="n">
        <v>644</v>
      </c>
      <c r="J136" s="57" t="n">
        <v>2</v>
      </c>
      <c r="K136" s="57" t="n"/>
      <c r="L136" s="57" t="inlineStr">
        <is>
          <t>26-26 R1</t>
        </is>
      </c>
      <c r="M136" s="57" t="inlineStr">
        <is>
          <t>R1</t>
        </is>
      </c>
    </row>
    <row r="137" ht="25" customHeight="1" s="55">
      <c r="A137" s="57" t="n">
        <v>136</v>
      </c>
      <c r="B137" s="57" t="inlineStr">
        <is>
          <t>UKYT-26-003</t>
        </is>
      </c>
      <c r="C137" s="57" t="inlineStr">
        <is>
          <t>South Farm</t>
        </is>
      </c>
      <c r="D137" s="59" t="n">
        <v>46226</v>
      </c>
      <c r="E137" s="57" t="inlineStr">
        <is>
          <t>First</t>
        </is>
      </c>
      <c r="F137" s="57" t="inlineStr">
        <is>
          <t>Advanced breeding</t>
        </is>
      </c>
      <c r="G137" s="57" t="n">
        <v>1894</v>
      </c>
      <c r="H137" s="57" t="n">
        <v>20</v>
      </c>
      <c r="I137" s="57" t="n">
        <v>93</v>
      </c>
      <c r="J137" s="57" t="n">
        <v>1</v>
      </c>
      <c r="K137" s="57" t="n"/>
      <c r="L137" s="57" t="inlineStr">
        <is>
          <t>26-3 R2</t>
        </is>
      </c>
      <c r="M137" s="57" t="inlineStr">
        <is>
          <t>R2</t>
        </is>
      </c>
    </row>
    <row r="138" ht="25" customHeight="1" s="55">
      <c r="A138" s="57" t="n">
        <v>137</v>
      </c>
      <c r="B138" s="57" t="inlineStr">
        <is>
          <t>UKYT-26-006</t>
        </is>
      </c>
      <c r="C138" s="57" t="inlineStr">
        <is>
          <t>South Farm</t>
        </is>
      </c>
      <c r="D138" s="59" t="n">
        <v>46226</v>
      </c>
      <c r="E138" s="57" t="inlineStr">
        <is>
          <t>First</t>
        </is>
      </c>
      <c r="F138" s="57" t="inlineStr">
        <is>
          <t>Advanced breeding</t>
        </is>
      </c>
      <c r="G138" s="57" t="n">
        <v>4266</v>
      </c>
      <c r="H138" s="57" t="n"/>
      <c r="I138" s="57" t="n">
        <v>243</v>
      </c>
      <c r="J138" s="57" t="n">
        <v>14</v>
      </c>
      <c r="K138" s="57" t="n">
        <v>399</v>
      </c>
      <c r="L138" s="57" t="inlineStr">
        <is>
          <t>26-6 R3</t>
        </is>
      </c>
      <c r="M138" s="57" t="inlineStr">
        <is>
          <t>R3</t>
        </is>
      </c>
    </row>
    <row r="139" ht="25" customHeight="1" s="55">
      <c r="A139" s="57" t="n">
        <v>138</v>
      </c>
      <c r="B139" s="57" t="inlineStr">
        <is>
          <t>UKYT-26-007</t>
        </is>
      </c>
      <c r="C139" s="57" t="inlineStr">
        <is>
          <t>South Farm</t>
        </is>
      </c>
      <c r="D139" s="59" t="n">
        <v>46226</v>
      </c>
      <c r="E139" s="57" t="inlineStr">
        <is>
          <t>First</t>
        </is>
      </c>
      <c r="F139" s="57" t="inlineStr">
        <is>
          <t>Advanced breeding</t>
        </is>
      </c>
      <c r="G139" s="57" t="n">
        <v>3081</v>
      </c>
      <c r="H139" s="57" t="n"/>
      <c r="I139" s="57" t="n">
        <v>225</v>
      </c>
      <c r="J139" s="57" t="n">
        <v>16</v>
      </c>
      <c r="K139" s="57" t="n">
        <v>365</v>
      </c>
      <c r="L139" s="57" t="inlineStr">
        <is>
          <t>26-7 R2</t>
        </is>
      </c>
      <c r="M139" s="57" t="inlineStr">
        <is>
          <t>R2</t>
        </is>
      </c>
    </row>
    <row r="140" ht="25" customHeight="1" s="55">
      <c r="A140" s="57" t="n">
        <v>139</v>
      </c>
      <c r="B140" s="57" t="inlineStr">
        <is>
          <t>UKYT-26-006</t>
        </is>
      </c>
      <c r="C140" s="57" t="inlineStr">
        <is>
          <t>South Farm</t>
        </is>
      </c>
      <c r="D140" s="59" t="n">
        <v>46226</v>
      </c>
      <c r="E140" s="57" t="inlineStr">
        <is>
          <t>First</t>
        </is>
      </c>
      <c r="F140" s="57" t="inlineStr">
        <is>
          <t>Advanced breeding</t>
        </is>
      </c>
      <c r="G140" s="57" t="n">
        <v>3349</v>
      </c>
      <c r="H140" s="57" t="n"/>
      <c r="I140" s="57" t="n">
        <v>472</v>
      </c>
      <c r="J140" s="57" t="n">
        <v>36</v>
      </c>
      <c r="K140" s="57" t="n">
        <v>349</v>
      </c>
      <c r="L140" s="57" t="inlineStr">
        <is>
          <t>26-6 R2</t>
        </is>
      </c>
      <c r="M140" s="57" t="inlineStr">
        <is>
          <t>R2</t>
        </is>
      </c>
    </row>
    <row r="141" ht="25" customHeight="1" s="55">
      <c r="A141" s="57" t="n">
        <v>140</v>
      </c>
      <c r="B141" s="57" t="inlineStr">
        <is>
          <t>UKYT-25-005</t>
        </is>
      </c>
      <c r="C141" s="57" t="inlineStr">
        <is>
          <t>South Farm</t>
        </is>
      </c>
      <c r="D141" s="59" t="n">
        <v>46226</v>
      </c>
      <c r="E141" s="57" t="inlineStr">
        <is>
          <t>First</t>
        </is>
      </c>
      <c r="F141" s="57" t="inlineStr">
        <is>
          <t>Advanced breeding</t>
        </is>
      </c>
      <c r="G141" s="57" t="n">
        <v>774</v>
      </c>
      <c r="H141" s="57" t="n">
        <v>40</v>
      </c>
      <c r="I141" s="57" t="n">
        <v>65</v>
      </c>
      <c r="J141" s="57" t="n">
        <v>3</v>
      </c>
      <c r="K141" s="57" t="n"/>
      <c r="L141" s="57" t="inlineStr">
        <is>
          <t xml:space="preserve">25-5 R2 </t>
        </is>
      </c>
      <c r="M141" s="57" t="inlineStr">
        <is>
          <t>R2</t>
        </is>
      </c>
    </row>
    <row r="142" ht="25" customHeight="1" s="55">
      <c r="A142" s="57" t="n">
        <v>141</v>
      </c>
      <c r="B142" s="57" t="inlineStr">
        <is>
          <t>UKYT-25-003</t>
        </is>
      </c>
      <c r="C142" s="57" t="inlineStr">
        <is>
          <t>South Farm</t>
        </is>
      </c>
      <c r="D142" s="59" t="n">
        <v>46226</v>
      </c>
      <c r="E142" s="57" t="inlineStr">
        <is>
          <t>First</t>
        </is>
      </c>
      <c r="F142" s="57" t="inlineStr">
        <is>
          <t>Advanced breeding</t>
        </is>
      </c>
      <c r="G142" s="57" t="n">
        <v>1973</v>
      </c>
      <c r="H142" s="57" t="n"/>
      <c r="I142" s="57" t="n">
        <v>120</v>
      </c>
      <c r="J142" s="57" t="n">
        <v>10</v>
      </c>
      <c r="K142" s="57" t="n">
        <v>241</v>
      </c>
      <c r="L142" s="57" t="inlineStr">
        <is>
          <t>25-3 R2</t>
        </is>
      </c>
      <c r="M142" s="57" t="inlineStr">
        <is>
          <t>R2</t>
        </is>
      </c>
    </row>
    <row r="143" ht="25" customHeight="1" s="55">
      <c r="A143" s="57" t="n">
        <v>142</v>
      </c>
      <c r="B143" s="57" t="inlineStr">
        <is>
          <t>UKYT-25-006</t>
        </is>
      </c>
      <c r="C143" s="57" t="inlineStr">
        <is>
          <t>South Farm</t>
        </is>
      </c>
      <c r="D143" s="59" t="n">
        <v>46226</v>
      </c>
      <c r="E143" s="57" t="inlineStr">
        <is>
          <t>First</t>
        </is>
      </c>
      <c r="F143" s="57" t="inlineStr">
        <is>
          <t>Advanced breeding</t>
        </is>
      </c>
      <c r="G143" s="57" t="n">
        <v>2550</v>
      </c>
      <c r="H143" s="57" t="n"/>
      <c r="I143" s="57" t="n">
        <v>94</v>
      </c>
      <c r="J143" s="57" t="n">
        <v>4</v>
      </c>
      <c r="K143" s="57" t="n">
        <v>318</v>
      </c>
      <c r="L143" s="57" t="inlineStr">
        <is>
          <t xml:space="preserve">25-6 R2 </t>
        </is>
      </c>
      <c r="M143" s="57" t="inlineStr">
        <is>
          <t>R2</t>
        </is>
      </c>
    </row>
    <row r="144" ht="25" customHeight="1" s="55">
      <c r="A144" s="57" t="n">
        <v>143</v>
      </c>
      <c r="B144" s="57" t="inlineStr">
        <is>
          <t>UKYT-25-004</t>
        </is>
      </c>
      <c r="C144" s="57" t="inlineStr">
        <is>
          <t>South Farm</t>
        </is>
      </c>
      <c r="D144" s="59" t="n">
        <v>46226</v>
      </c>
      <c r="E144" s="57" t="inlineStr">
        <is>
          <t>First</t>
        </is>
      </c>
      <c r="F144" s="57" t="inlineStr">
        <is>
          <t>Advanced breeding</t>
        </is>
      </c>
      <c r="G144" s="57" t="n">
        <v>2532</v>
      </c>
      <c r="H144" s="57" t="n"/>
      <c r="I144" s="57" t="n">
        <v>190</v>
      </c>
      <c r="J144" s="57" t="n">
        <v>9</v>
      </c>
      <c r="K144" s="57" t="n">
        <v>339</v>
      </c>
      <c r="L144" s="57" t="inlineStr">
        <is>
          <t xml:space="preserve">25-4 R2 </t>
        </is>
      </c>
      <c r="M144" s="57" t="inlineStr">
        <is>
          <t>R2</t>
        </is>
      </c>
    </row>
    <row r="145" ht="25" customHeight="1" s="55">
      <c r="A145" s="57" t="n">
        <v>144</v>
      </c>
      <c r="B145" s="57" t="inlineStr">
        <is>
          <t>UKYT-25-001</t>
        </is>
      </c>
      <c r="C145" s="57" t="inlineStr">
        <is>
          <t>South Farm</t>
        </is>
      </c>
      <c r="D145" s="59" t="n">
        <v>46226</v>
      </c>
      <c r="E145" s="57" t="inlineStr">
        <is>
          <t>First</t>
        </is>
      </c>
      <c r="F145" s="57" t="inlineStr">
        <is>
          <t>Advanced breeding</t>
        </is>
      </c>
      <c r="G145" s="57" t="n">
        <v>2592</v>
      </c>
      <c r="H145" s="57" t="n"/>
      <c r="I145" s="57" t="n">
        <v>201</v>
      </c>
      <c r="J145" s="57" t="n">
        <v>13</v>
      </c>
      <c r="K145" s="57" t="n">
        <v>243</v>
      </c>
      <c r="L145" s="57" t="inlineStr">
        <is>
          <t xml:space="preserve">25-1 R2 </t>
        </is>
      </c>
      <c r="M145" s="57" t="inlineStr">
        <is>
          <t>R2</t>
        </is>
      </c>
    </row>
    <row r="146" ht="25" customHeight="1" s="55">
      <c r="A146" s="57" t="n">
        <v>145</v>
      </c>
      <c r="B146" s="57" t="inlineStr">
        <is>
          <t>UKYT-25-002</t>
        </is>
      </c>
      <c r="C146" s="57" t="inlineStr">
        <is>
          <t>South Farm</t>
        </is>
      </c>
      <c r="D146" s="59" t="n">
        <v>46226</v>
      </c>
      <c r="E146" s="57" t="inlineStr">
        <is>
          <t>First</t>
        </is>
      </c>
      <c r="F146" s="57" t="inlineStr">
        <is>
          <t>Advanced breeding</t>
        </is>
      </c>
      <c r="G146" s="57" t="n">
        <v>3996</v>
      </c>
      <c r="H146" s="57" t="n"/>
      <c r="I146" s="57" t="n">
        <v>118</v>
      </c>
      <c r="J146" s="57" t="n">
        <v>6</v>
      </c>
      <c r="K146" s="57" t="n">
        <v>430</v>
      </c>
      <c r="L146" s="57" t="inlineStr">
        <is>
          <t xml:space="preserve">25-2 R2 </t>
        </is>
      </c>
      <c r="M146" s="57" t="inlineStr">
        <is>
          <t>R2</t>
        </is>
      </c>
    </row>
    <row r="147" ht="25" customHeight="1" s="55">
      <c r="A147" s="57" t="n">
        <v>146</v>
      </c>
      <c r="B147" s="57" t="inlineStr">
        <is>
          <t>UKYT-25-001</t>
        </is>
      </c>
      <c r="C147" s="57" t="inlineStr">
        <is>
          <t>South Farm</t>
        </is>
      </c>
      <c r="D147" s="59" t="n">
        <v>46226</v>
      </c>
      <c r="E147" s="57" t="inlineStr">
        <is>
          <t>First</t>
        </is>
      </c>
      <c r="F147" s="57" t="inlineStr">
        <is>
          <t>Advanced breeding</t>
        </is>
      </c>
      <c r="G147" s="57" t="n">
        <v>1095</v>
      </c>
      <c r="H147" s="57" t="n"/>
      <c r="I147" s="57" t="n">
        <v>201</v>
      </c>
      <c r="J147" s="57" t="n">
        <v>17</v>
      </c>
      <c r="K147" s="57" t="n">
        <v>185</v>
      </c>
      <c r="L147" s="57" t="inlineStr">
        <is>
          <t xml:space="preserve">25-1 R3 </t>
        </is>
      </c>
      <c r="M147" s="57" t="inlineStr">
        <is>
          <t>R3</t>
        </is>
      </c>
    </row>
    <row r="148" ht="25" customHeight="1" s="55">
      <c r="A148" s="57" t="n">
        <v>147</v>
      </c>
      <c r="B148" s="57" t="inlineStr">
        <is>
          <t>UKYT-25-002</t>
        </is>
      </c>
      <c r="C148" s="57" t="inlineStr">
        <is>
          <t>South Farm</t>
        </is>
      </c>
      <c r="D148" s="59" t="n">
        <v>46226</v>
      </c>
      <c r="E148" s="57" t="inlineStr">
        <is>
          <t>First</t>
        </is>
      </c>
      <c r="F148" s="57" t="inlineStr">
        <is>
          <t>Advanced breeding</t>
        </is>
      </c>
      <c r="G148" s="57" t="n">
        <v>3120</v>
      </c>
      <c r="H148" s="57" t="n"/>
      <c r="I148" s="57" t="n">
        <v>179</v>
      </c>
      <c r="J148" s="57" t="n">
        <v>8</v>
      </c>
      <c r="K148" s="57" t="n">
        <v>426</v>
      </c>
      <c r="L148" s="57" t="inlineStr">
        <is>
          <t>25-2 R3</t>
        </is>
      </c>
      <c r="M148" s="57" t="inlineStr">
        <is>
          <t>R3</t>
        </is>
      </c>
    </row>
    <row r="149" ht="25" customHeight="1" s="55">
      <c r="A149" s="57" t="n">
        <v>148</v>
      </c>
      <c r="B149" s="57" t="inlineStr">
        <is>
          <t>UKYT-25-015</t>
        </is>
      </c>
      <c r="C149" s="57" t="inlineStr">
        <is>
          <t>South Farm</t>
        </is>
      </c>
      <c r="D149" s="59" t="n">
        <v>46226</v>
      </c>
      <c r="E149" s="57" t="inlineStr">
        <is>
          <t>First</t>
        </is>
      </c>
      <c r="F149" s="57" t="inlineStr">
        <is>
          <t>Advanced breeding</t>
        </is>
      </c>
      <c r="G149" s="57" t="n">
        <v>1661</v>
      </c>
      <c r="H149" s="57" t="n"/>
      <c r="I149" s="57" t="n">
        <v>115</v>
      </c>
      <c r="J149" s="57" t="n">
        <v>6</v>
      </c>
      <c r="K149" s="57" t="n">
        <v>387</v>
      </c>
      <c r="L149" s="57" t="inlineStr">
        <is>
          <t xml:space="preserve">25-15 R3 </t>
        </is>
      </c>
      <c r="M149" s="57" t="inlineStr">
        <is>
          <t>R3</t>
        </is>
      </c>
    </row>
    <row r="150" ht="25" customHeight="1" s="55">
      <c r="A150" s="57" t="n">
        <v>149</v>
      </c>
      <c r="B150" s="57" t="inlineStr">
        <is>
          <t>UKYT-25-013</t>
        </is>
      </c>
      <c r="C150" s="57" t="inlineStr">
        <is>
          <t>South Farm</t>
        </is>
      </c>
      <c r="D150" s="59" t="n">
        <v>46226</v>
      </c>
      <c r="E150" s="57" t="inlineStr">
        <is>
          <t>First</t>
        </is>
      </c>
      <c r="F150" s="57" t="inlineStr">
        <is>
          <t>Advanced breeding</t>
        </is>
      </c>
      <c r="G150" s="57" t="n">
        <v>3041</v>
      </c>
      <c r="H150" s="57" t="n"/>
      <c r="I150" s="57" t="n">
        <v>180</v>
      </c>
      <c r="J150" s="57" t="n">
        <v>13</v>
      </c>
      <c r="K150" s="57" t="n">
        <v>331</v>
      </c>
      <c r="L150" s="57" t="inlineStr">
        <is>
          <t>25-13 R3</t>
        </is>
      </c>
      <c r="M150" s="57" t="inlineStr">
        <is>
          <t>R3</t>
        </is>
      </c>
    </row>
    <row r="151" ht="25" customHeight="1" s="55">
      <c r="A151" s="57" t="n">
        <v>150</v>
      </c>
      <c r="B151" s="57" t="inlineStr">
        <is>
          <t>UKYT-25-014</t>
        </is>
      </c>
      <c r="C151" s="57" t="inlineStr">
        <is>
          <t>South Farm</t>
        </is>
      </c>
      <c r="D151" s="59" t="n">
        <v>46226</v>
      </c>
      <c r="E151" s="57" t="inlineStr">
        <is>
          <t>First</t>
        </is>
      </c>
      <c r="F151" s="57" t="inlineStr">
        <is>
          <t>Advanced breeding</t>
        </is>
      </c>
      <c r="G151" s="57" t="n">
        <v>1409</v>
      </c>
      <c r="H151" s="57" t="n"/>
      <c r="I151" s="57" t="n">
        <v>181</v>
      </c>
      <c r="J151" s="57" t="n">
        <v>11</v>
      </c>
      <c r="K151" s="57" t="n">
        <v>354</v>
      </c>
      <c r="L151" s="57" t="inlineStr">
        <is>
          <t xml:space="preserve">25-14 R3 </t>
        </is>
      </c>
      <c r="M151" s="57" t="inlineStr">
        <is>
          <t>R3</t>
        </is>
      </c>
    </row>
    <row r="152" ht="25" customHeight="1" s="55">
      <c r="A152" s="57" t="n">
        <v>151</v>
      </c>
      <c r="B152" s="57" t="inlineStr">
        <is>
          <t>UKYT-25-007</t>
        </is>
      </c>
      <c r="C152" s="57" t="inlineStr">
        <is>
          <t>South Farm</t>
        </is>
      </c>
      <c r="D152" s="59" t="n">
        <v>46226</v>
      </c>
      <c r="E152" s="57" t="inlineStr">
        <is>
          <t>First</t>
        </is>
      </c>
      <c r="F152" s="57" t="inlineStr">
        <is>
          <t>Advanced breeding</t>
        </is>
      </c>
      <c r="G152" s="57" t="n">
        <v>2451</v>
      </c>
      <c r="H152" s="57" t="n"/>
      <c r="I152" s="57" t="n">
        <v>253</v>
      </c>
      <c r="J152" s="57" t="n">
        <v>11</v>
      </c>
      <c r="K152" s="57" t="n">
        <v>480</v>
      </c>
      <c r="L152" s="57" t="inlineStr">
        <is>
          <t xml:space="preserve">25-7 R2 </t>
        </is>
      </c>
      <c r="M152" s="57" t="inlineStr">
        <is>
          <t>R2</t>
        </is>
      </c>
    </row>
    <row r="153" ht="25" customHeight="1" s="55">
      <c r="A153" s="57" t="n">
        <v>152</v>
      </c>
      <c r="B153" s="57" t="inlineStr">
        <is>
          <t>UKYT-25-012</t>
        </is>
      </c>
      <c r="C153" s="57" t="inlineStr">
        <is>
          <t>South Farm</t>
        </is>
      </c>
      <c r="D153" s="59" t="n">
        <v>46226</v>
      </c>
      <c r="E153" s="57" t="inlineStr">
        <is>
          <t>First</t>
        </is>
      </c>
      <c r="F153" s="57" t="inlineStr">
        <is>
          <t>Advanced breeding</t>
        </is>
      </c>
      <c r="G153" s="57" t="n">
        <v>2455</v>
      </c>
      <c r="H153" s="57" t="n"/>
      <c r="I153" s="57" t="n">
        <v>96</v>
      </c>
      <c r="J153" s="57" t="n">
        <v>6</v>
      </c>
      <c r="K153" s="57" t="n">
        <v>315</v>
      </c>
      <c r="L153" s="57" t="inlineStr">
        <is>
          <t>25-12 R3</t>
        </is>
      </c>
      <c r="M153" s="57" t="inlineStr">
        <is>
          <t>R3</t>
        </is>
      </c>
    </row>
    <row r="154" ht="25" customHeight="1" s="55">
      <c r="A154" s="57" t="n">
        <v>153</v>
      </c>
      <c r="B154" s="57" t="inlineStr">
        <is>
          <t>UKYT-25-009</t>
        </is>
      </c>
      <c r="C154" s="57" t="inlineStr">
        <is>
          <t>South Farm</t>
        </is>
      </c>
      <c r="D154" s="59" t="n">
        <v>46226</v>
      </c>
      <c r="E154" s="57" t="inlineStr">
        <is>
          <t>First</t>
        </is>
      </c>
      <c r="F154" s="57" t="inlineStr">
        <is>
          <t>Advanced breeding</t>
        </is>
      </c>
      <c r="G154" s="57" t="n">
        <v>2560</v>
      </c>
      <c r="H154" s="57" t="n"/>
      <c r="I154" s="57" t="n">
        <v>83</v>
      </c>
      <c r="J154" s="57" t="n">
        <v>4</v>
      </c>
      <c r="K154" s="57" t="n">
        <v>390</v>
      </c>
      <c r="L154" s="57" t="inlineStr">
        <is>
          <t>25-9 R3</t>
        </is>
      </c>
      <c r="M154" s="57" t="inlineStr">
        <is>
          <t>R3</t>
        </is>
      </c>
    </row>
  </sheetData>
  <autoFilter ref="A1:M154"/>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P33"/>
  <sheetViews>
    <sheetView showGridLines="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bestFit="1" customWidth="1" style="4" min="1" max="1"/>
    <col width="14" bestFit="1" customWidth="1" style="4" min="2" max="2"/>
    <col width="12" customWidth="1" style="4" min="3" max="3"/>
    <col width="21" bestFit="1" customWidth="1" style="4" min="4" max="4"/>
    <col width="9" customWidth="1" style="4" min="5" max="5"/>
    <col width="19" customWidth="1" style="4" min="6" max="6"/>
    <col width="29" bestFit="1" customWidth="1" style="4" min="7" max="7"/>
    <col width="29" bestFit="1" customWidth="1" style="4" min="8" max="8"/>
    <col width="24" bestFit="1" customWidth="1" style="4" min="9" max="9"/>
    <col width="24" bestFit="1" customWidth="1" style="4" min="10" max="10"/>
    <col width="24" bestFit="1" customWidth="1" style="4" min="11" max="11"/>
    <col width="18" bestFit="1" customWidth="1" style="4" min="12" max="12"/>
    <col width="19" customWidth="1" style="4" min="13" max="16384"/>
    <col width="18" customWidth="1" style="55" min="14" max="14"/>
    <col width="19" customWidth="1" style="55" min="15" max="15"/>
    <col width="11" customWidth="1" style="55" min="16" max="16"/>
  </cols>
  <sheetData>
    <row r="1" ht="18" customHeight="1" s="55">
      <c r="A1" s="56" t="inlineStr">
        <is>
          <t>SN</t>
        </is>
      </c>
      <c r="B1" s="56" t="inlineStr">
        <is>
          <t>Genotypes</t>
        </is>
      </c>
      <c r="C1" s="56" t="inlineStr">
        <is>
          <t>Location</t>
        </is>
      </c>
      <c r="D1" s="56" t="inlineStr">
        <is>
          <t>Date of harvest</t>
        </is>
      </c>
      <c r="E1" s="56" t="inlineStr">
        <is>
          <t>Harvest</t>
        </is>
      </c>
      <c r="F1" s="56" t="inlineStr">
        <is>
          <t>Experiment</t>
        </is>
      </c>
      <c r="G1" s="56" t="inlineStr">
        <is>
          <t>Grade 1 Marketable (weight)</t>
        </is>
      </c>
      <c r="H1" s="56" t="inlineStr">
        <is>
          <t>Grade 1 Marketable (counts)</t>
        </is>
      </c>
      <c r="I1" s="56" t="inlineStr">
        <is>
          <t>Unmarketables (weight)</t>
        </is>
      </c>
      <c r="J1" s="56" t="inlineStr">
        <is>
          <t>Unmarketables (counts)</t>
        </is>
      </c>
      <c r="K1" s="56" t="inlineStr">
        <is>
          <t>Weight of 20 fruit (g)</t>
        </is>
      </c>
      <c r="L1" s="56" t="inlineStr">
        <is>
          <t>Total Weight (g)</t>
        </is>
      </c>
      <c r="M1" s="56" t="inlineStr">
        <is>
          <t>Total Weight (kg)</t>
        </is>
      </c>
      <c r="N1" s="56" t="inlineStr">
        <is>
          <t>Note</t>
        </is>
      </c>
      <c r="O1" s="56" t="inlineStr">
        <is>
          <t>Genotype_raw</t>
        </is>
      </c>
      <c r="P1" s="56" t="inlineStr">
        <is>
          <t>Replicate</t>
        </is>
      </c>
    </row>
    <row r="2" ht="25" customHeight="1" s="55">
      <c r="A2" s="57" t="n">
        <v>1</v>
      </c>
      <c r="B2" s="57" t="inlineStr">
        <is>
          <t>NC25241G</t>
        </is>
      </c>
      <c r="C2" s="57" t="inlineStr">
        <is>
          <t>South Farm</t>
        </is>
      </c>
      <c r="D2" s="59" t="n">
        <v>46241</v>
      </c>
      <c r="E2" s="57" t="inlineStr">
        <is>
          <t>Second</t>
        </is>
      </c>
      <c r="F2" s="57" t="inlineStr">
        <is>
          <t>Hybrid evaluation</t>
        </is>
      </c>
      <c r="G2" s="57" t="n">
        <v>1467</v>
      </c>
      <c r="H2" s="57" t="n">
        <v>6</v>
      </c>
      <c r="I2" s="57" t="n">
        <v>2121</v>
      </c>
      <c r="J2" s="57" t="n">
        <v>15</v>
      </c>
      <c r="K2" s="57" t="n"/>
      <c r="L2" s="57">
        <f>(G2+I2)</f>
        <v/>
      </c>
      <c r="M2" s="57">
        <f>K2/1000</f>
        <v/>
      </c>
      <c r="N2" s="58" t="inlineStr">
        <is>
          <t>N/A</t>
        </is>
      </c>
      <c r="O2" s="57" t="inlineStr">
        <is>
          <t>NC25241G</t>
        </is>
      </c>
      <c r="P2" s="58" t="inlineStr">
        <is>
          <t>N/A</t>
        </is>
      </c>
    </row>
    <row r="3" ht="25" customHeight="1" s="55">
      <c r="A3" s="57" t="n">
        <v>2</v>
      </c>
      <c r="B3" s="57" t="inlineStr">
        <is>
          <t>NC24271G</t>
        </is>
      </c>
      <c r="C3" s="57" t="inlineStr">
        <is>
          <t>South Farm</t>
        </is>
      </c>
      <c r="D3" s="59" t="n">
        <v>46241</v>
      </c>
      <c r="E3" s="57" t="inlineStr">
        <is>
          <t>Second</t>
        </is>
      </c>
      <c r="F3" s="57" t="inlineStr">
        <is>
          <t>Hybrid evaluation</t>
        </is>
      </c>
      <c r="G3" s="57" t="n">
        <v>3226</v>
      </c>
      <c r="H3" s="57" t="n">
        <v>15</v>
      </c>
      <c r="I3" s="57" t="n">
        <v>1763</v>
      </c>
      <c r="J3" s="57" t="n">
        <v>10</v>
      </c>
      <c r="K3" s="57" t="n"/>
      <c r="L3" s="57">
        <f>(G3+I3)</f>
        <v/>
      </c>
      <c r="M3" s="57">
        <f>K3/1000</f>
        <v/>
      </c>
      <c r="N3" s="58" t="inlineStr">
        <is>
          <t>N/A</t>
        </is>
      </c>
      <c r="O3" s="57" t="inlineStr">
        <is>
          <t>NC24271G</t>
        </is>
      </c>
      <c r="P3" s="58" t="inlineStr">
        <is>
          <t>N/A</t>
        </is>
      </c>
    </row>
    <row r="4" ht="25" customHeight="1" s="55">
      <c r="A4" s="57" t="n">
        <v>3</v>
      </c>
      <c r="B4" s="57" t="inlineStr">
        <is>
          <t>NC25306G</t>
        </is>
      </c>
      <c r="C4" s="57" t="inlineStr">
        <is>
          <t>South Farm</t>
        </is>
      </c>
      <c r="D4" s="59" t="n">
        <v>46241</v>
      </c>
      <c r="E4" s="57" t="inlineStr">
        <is>
          <t>Second</t>
        </is>
      </c>
      <c r="F4" s="57" t="inlineStr">
        <is>
          <t>Hybrid evaluation</t>
        </is>
      </c>
      <c r="G4" s="57" t="n">
        <v>10648</v>
      </c>
      <c r="H4" s="57" t="n">
        <v>46</v>
      </c>
      <c r="I4" s="57" t="n">
        <v>2618</v>
      </c>
      <c r="J4" s="57" t="n">
        <v>14</v>
      </c>
      <c r="K4" s="57" t="n"/>
      <c r="L4" s="57">
        <f>(G4+I4)</f>
        <v/>
      </c>
      <c r="M4" s="57">
        <f>K4/1000</f>
        <v/>
      </c>
      <c r="N4" s="58" t="inlineStr">
        <is>
          <t>N/A</t>
        </is>
      </c>
      <c r="O4" s="57" t="inlineStr">
        <is>
          <t>NC25306G</t>
        </is>
      </c>
      <c r="P4" s="58" t="inlineStr">
        <is>
          <t>N/A</t>
        </is>
      </c>
    </row>
    <row r="5" ht="25" customHeight="1" s="55">
      <c r="A5" s="57" t="n">
        <v>4</v>
      </c>
      <c r="B5" s="57" t="inlineStr">
        <is>
          <t>NC264G</t>
        </is>
      </c>
      <c r="C5" s="57" t="inlineStr">
        <is>
          <t>South Farm</t>
        </is>
      </c>
      <c r="D5" s="59" t="n">
        <v>46241</v>
      </c>
      <c r="E5" s="57" t="inlineStr">
        <is>
          <t>Second</t>
        </is>
      </c>
      <c r="F5" s="57" t="inlineStr">
        <is>
          <t>Hybrid evaluation</t>
        </is>
      </c>
      <c r="G5" s="57" t="n">
        <v>8206</v>
      </c>
      <c r="H5" s="57" t="n">
        <v>23</v>
      </c>
      <c r="I5" s="57" t="n">
        <v>1455</v>
      </c>
      <c r="J5" s="57" t="n">
        <v>4</v>
      </c>
      <c r="K5" s="57" t="n"/>
      <c r="L5" s="57">
        <f>(G5+I5)</f>
        <v/>
      </c>
      <c r="M5" s="57">
        <f>K5/1000</f>
        <v/>
      </c>
      <c r="N5" s="58" t="inlineStr">
        <is>
          <t>N/A</t>
        </is>
      </c>
      <c r="O5" s="57" t="inlineStr">
        <is>
          <t>NC264G</t>
        </is>
      </c>
      <c r="P5" s="58" t="inlineStr">
        <is>
          <t>N/A</t>
        </is>
      </c>
    </row>
    <row r="6" ht="25" customHeight="1" s="55">
      <c r="A6" s="57" t="n">
        <v>5</v>
      </c>
      <c r="B6" s="57" t="inlineStr">
        <is>
          <t>Mt. Magic</t>
        </is>
      </c>
      <c r="C6" s="57" t="inlineStr">
        <is>
          <t>South Farm</t>
        </is>
      </c>
      <c r="D6" s="59" t="n">
        <v>46241</v>
      </c>
      <c r="E6" s="57" t="inlineStr">
        <is>
          <t>Second</t>
        </is>
      </c>
      <c r="F6" s="57" t="inlineStr">
        <is>
          <t>Hybrid evaluation</t>
        </is>
      </c>
      <c r="G6" s="57" t="n">
        <v>8136</v>
      </c>
      <c r="H6" s="57" t="n"/>
      <c r="I6" s="57" t="n">
        <v>753</v>
      </c>
      <c r="J6" s="57" t="n"/>
      <c r="K6" s="57" t="n">
        <v>789</v>
      </c>
      <c r="L6" s="57">
        <f>(G6+I6)</f>
        <v/>
      </c>
      <c r="M6" s="57">
        <f>K6/1000</f>
        <v/>
      </c>
      <c r="N6" s="57" t="inlineStr">
        <is>
          <t>20 counts; magic</t>
        </is>
      </c>
      <c r="O6" s="57" t="inlineStr">
        <is>
          <t>Mountain magic</t>
        </is>
      </c>
      <c r="P6" s="58" t="inlineStr">
        <is>
          <t>N/A</t>
        </is>
      </c>
    </row>
    <row r="7" ht="25" customHeight="1" s="55">
      <c r="A7" s="57" t="n">
        <v>6</v>
      </c>
      <c r="B7" s="57" t="inlineStr">
        <is>
          <t>Mt. Girl</t>
        </is>
      </c>
      <c r="C7" s="57" t="inlineStr">
        <is>
          <t>South Farm</t>
        </is>
      </c>
      <c r="D7" s="59" t="n">
        <v>46241</v>
      </c>
      <c r="E7" s="57" t="inlineStr">
        <is>
          <t>Second</t>
        </is>
      </c>
      <c r="F7" s="57" t="inlineStr">
        <is>
          <t>Hybrid evaluation</t>
        </is>
      </c>
      <c r="G7" s="57" t="n">
        <v>4058</v>
      </c>
      <c r="H7" s="57" t="n">
        <v>15</v>
      </c>
      <c r="I7" s="57" t="n">
        <v>5629</v>
      </c>
      <c r="J7" s="57" t="n">
        <v>17</v>
      </c>
      <c r="K7" s="57" t="n"/>
      <c r="L7" s="57">
        <f>(G7+I7)</f>
        <v/>
      </c>
      <c r="M7" s="57">
        <f>K7/1000</f>
        <v/>
      </c>
      <c r="N7" s="57" t="inlineStr">
        <is>
          <t>Girl</t>
        </is>
      </c>
      <c r="O7" s="57" t="inlineStr">
        <is>
          <t>Mountain Girl</t>
        </is>
      </c>
      <c r="P7" s="58" t="inlineStr">
        <is>
          <t>N/A</t>
        </is>
      </c>
    </row>
    <row r="8" ht="25" customHeight="1" s="55">
      <c r="A8" s="57" t="n">
        <v>7</v>
      </c>
      <c r="B8" s="57" t="inlineStr">
        <is>
          <t>NC25315G</t>
        </is>
      </c>
      <c r="C8" s="57" t="inlineStr">
        <is>
          <t>South Farm</t>
        </is>
      </c>
      <c r="D8" s="59" t="n">
        <v>46241</v>
      </c>
      <c r="E8" s="57" t="inlineStr">
        <is>
          <t>Second</t>
        </is>
      </c>
      <c r="F8" s="57" t="inlineStr">
        <is>
          <t>Hybrid evaluation</t>
        </is>
      </c>
      <c r="G8" s="57" t="n">
        <v>2421</v>
      </c>
      <c r="H8" s="57" t="n">
        <v>7</v>
      </c>
      <c r="I8" s="57" t="n">
        <v>1718</v>
      </c>
      <c r="J8" s="57" t="n">
        <v>7</v>
      </c>
      <c r="K8" s="57" t="n"/>
      <c r="L8" s="57">
        <f>(G8+I8)</f>
        <v/>
      </c>
      <c r="M8" s="57">
        <f>K8/1000</f>
        <v/>
      </c>
      <c r="N8" s="58" t="inlineStr">
        <is>
          <t>N/A</t>
        </is>
      </c>
      <c r="O8" s="57" t="inlineStr">
        <is>
          <t>NC25315G</t>
        </is>
      </c>
      <c r="P8" s="58" t="inlineStr">
        <is>
          <t>N/A</t>
        </is>
      </c>
    </row>
    <row r="9" ht="25" customHeight="1" s="55">
      <c r="A9" s="57" t="n">
        <v>8</v>
      </c>
      <c r="B9" s="57" t="inlineStr">
        <is>
          <t>NC25317G</t>
        </is>
      </c>
      <c r="C9" s="57" t="inlineStr">
        <is>
          <t>South Farm</t>
        </is>
      </c>
      <c r="D9" s="59" t="n">
        <v>46241</v>
      </c>
      <c r="E9" s="57" t="inlineStr">
        <is>
          <t>Second</t>
        </is>
      </c>
      <c r="F9" s="57" t="inlineStr">
        <is>
          <t>Hybrid evaluation</t>
        </is>
      </c>
      <c r="G9" s="57" t="n">
        <v>7964</v>
      </c>
      <c r="H9" s="57" t="n">
        <v>36</v>
      </c>
      <c r="I9" s="57" t="n">
        <v>3419</v>
      </c>
      <c r="J9" s="57" t="n">
        <v>16</v>
      </c>
      <c r="K9" s="57" t="n"/>
      <c r="L9" s="57">
        <f>(G9+I9)</f>
        <v/>
      </c>
      <c r="M9" s="57">
        <f>K9/1000</f>
        <v/>
      </c>
      <c r="N9" s="58" t="inlineStr">
        <is>
          <t>N/A</t>
        </is>
      </c>
      <c r="O9" s="57" t="inlineStr">
        <is>
          <t>NC25317G</t>
        </is>
      </c>
      <c r="P9" s="58" t="inlineStr">
        <is>
          <t>N/A</t>
        </is>
      </c>
    </row>
    <row r="10" ht="25" customHeight="1" s="55">
      <c r="A10" s="57" t="n">
        <v>9</v>
      </c>
      <c r="B10" s="57" t="inlineStr">
        <is>
          <t>NC25212G</t>
        </is>
      </c>
      <c r="C10" s="57" t="inlineStr">
        <is>
          <t>South Farm</t>
        </is>
      </c>
      <c r="D10" s="59" t="n">
        <v>46241</v>
      </c>
      <c r="E10" s="57" t="inlineStr">
        <is>
          <t>Second</t>
        </is>
      </c>
      <c r="F10" s="57" t="inlineStr">
        <is>
          <t>Hybrid evaluation</t>
        </is>
      </c>
      <c r="G10" s="57" t="n">
        <v>6160</v>
      </c>
      <c r="H10" s="57" t="n">
        <v>16</v>
      </c>
      <c r="I10" s="57" t="n">
        <v>5056</v>
      </c>
      <c r="J10" s="57" t="n">
        <v>11</v>
      </c>
      <c r="K10" s="57" t="n"/>
      <c r="L10" s="57">
        <f>(G10+I10)</f>
        <v/>
      </c>
      <c r="M10" s="57">
        <f>K10/1000</f>
        <v/>
      </c>
      <c r="N10" s="58" t="inlineStr">
        <is>
          <t>N/A</t>
        </is>
      </c>
      <c r="O10" s="57" t="inlineStr">
        <is>
          <t>NC25212G</t>
        </is>
      </c>
      <c r="P10" s="58" t="inlineStr">
        <is>
          <t>N/A</t>
        </is>
      </c>
    </row>
    <row r="11" ht="25" customHeight="1" s="55">
      <c r="A11" s="57" t="n">
        <v>10</v>
      </c>
      <c r="B11" s="57" t="inlineStr">
        <is>
          <t>NC25240G</t>
        </is>
      </c>
      <c r="C11" s="57" t="inlineStr">
        <is>
          <t>South Farm</t>
        </is>
      </c>
      <c r="D11" s="59" t="n">
        <v>46241</v>
      </c>
      <c r="E11" s="57" t="inlineStr">
        <is>
          <t>Second</t>
        </is>
      </c>
      <c r="F11" s="57" t="inlineStr">
        <is>
          <t>Hybrid evaluation</t>
        </is>
      </c>
      <c r="G11" s="57" t="n">
        <v>6120</v>
      </c>
      <c r="H11" s="57" t="n">
        <v>26</v>
      </c>
      <c r="I11" s="57" t="n">
        <v>3885</v>
      </c>
      <c r="J11" s="57" t="n">
        <v>16</v>
      </c>
      <c r="K11" s="57" t="n"/>
      <c r="L11" s="57">
        <f>(G11+I11)</f>
        <v/>
      </c>
      <c r="M11" s="57">
        <f>K11/1000</f>
        <v/>
      </c>
      <c r="N11" s="58" t="inlineStr">
        <is>
          <t>N/A</t>
        </is>
      </c>
      <c r="O11" s="57" t="inlineStr">
        <is>
          <t>NC25240G</t>
        </is>
      </c>
      <c r="P11" s="58" t="inlineStr">
        <is>
          <t>N/A</t>
        </is>
      </c>
    </row>
    <row r="12" ht="25" customHeight="1" s="55">
      <c r="A12" s="57" t="n">
        <v>11</v>
      </c>
      <c r="B12" s="57" t="inlineStr">
        <is>
          <t>NC25313G</t>
        </is>
      </c>
      <c r="C12" s="57" t="inlineStr">
        <is>
          <t>South Farm</t>
        </is>
      </c>
      <c r="D12" s="59" t="n">
        <v>46241</v>
      </c>
      <c r="E12" s="57" t="inlineStr">
        <is>
          <t>Second</t>
        </is>
      </c>
      <c r="F12" s="57" t="inlineStr">
        <is>
          <t>Hybrid evaluation</t>
        </is>
      </c>
      <c r="G12" s="57" t="n">
        <v>1777</v>
      </c>
      <c r="H12" s="57" t="n">
        <v>6</v>
      </c>
      <c r="I12" s="57" t="n">
        <v>2435</v>
      </c>
      <c r="J12" s="57" t="n">
        <v>8</v>
      </c>
      <c r="K12" s="57" t="n"/>
      <c r="L12" s="57">
        <f>(G12+I12)</f>
        <v/>
      </c>
      <c r="M12" s="57">
        <f>K12/1000</f>
        <v/>
      </c>
      <c r="N12" s="58" t="inlineStr">
        <is>
          <t>N/A</t>
        </is>
      </c>
      <c r="O12" s="57" t="inlineStr">
        <is>
          <t>NC25313G</t>
        </is>
      </c>
      <c r="P12" s="58" t="inlineStr">
        <is>
          <t>N/A</t>
        </is>
      </c>
    </row>
    <row r="13" ht="25" customHeight="1" s="55">
      <c r="A13" s="57" t="n">
        <v>12</v>
      </c>
      <c r="B13" s="57" t="inlineStr">
        <is>
          <t>NC25230G</t>
        </is>
      </c>
      <c r="C13" s="57" t="inlineStr">
        <is>
          <t>South Farm</t>
        </is>
      </c>
      <c r="D13" s="59" t="n">
        <v>46241</v>
      </c>
      <c r="E13" s="57" t="inlineStr">
        <is>
          <t>Second</t>
        </is>
      </c>
      <c r="F13" s="57" t="inlineStr">
        <is>
          <t>Hybrid evaluation</t>
        </is>
      </c>
      <c r="G13" s="57" t="n">
        <v>8923</v>
      </c>
      <c r="H13" s="57" t="n">
        <v>27</v>
      </c>
      <c r="I13" s="57" t="n">
        <v>5567</v>
      </c>
      <c r="J13" s="57" t="n">
        <v>24</v>
      </c>
      <c r="K13" s="57" t="n"/>
      <c r="L13" s="57">
        <f>(G13+I13)</f>
        <v/>
      </c>
      <c r="M13" s="57">
        <f>K13/1000</f>
        <v/>
      </c>
      <c r="N13" s="58" t="inlineStr">
        <is>
          <t>N/A</t>
        </is>
      </c>
      <c r="O13" s="57" t="inlineStr">
        <is>
          <t>NC25230G</t>
        </is>
      </c>
      <c r="P13" s="58" t="inlineStr">
        <is>
          <t>N/A</t>
        </is>
      </c>
    </row>
    <row r="14" ht="25" customHeight="1" s="55">
      <c r="A14" s="57" t="n">
        <v>13</v>
      </c>
      <c r="B14" s="57" t="inlineStr">
        <is>
          <t>NC25210G</t>
        </is>
      </c>
      <c r="C14" s="57" t="inlineStr">
        <is>
          <t>South Farm</t>
        </is>
      </c>
      <c r="D14" s="59" t="n">
        <v>46241</v>
      </c>
      <c r="E14" s="57" t="inlineStr">
        <is>
          <t>Second</t>
        </is>
      </c>
      <c r="F14" s="57" t="inlineStr">
        <is>
          <t>Hybrid evaluation</t>
        </is>
      </c>
      <c r="G14" s="57" t="n">
        <v>4213</v>
      </c>
      <c r="H14" s="57" t="n">
        <v>11</v>
      </c>
      <c r="I14" s="57" t="n">
        <v>3828</v>
      </c>
      <c r="J14" s="57" t="n">
        <v>8</v>
      </c>
      <c r="K14" s="57" t="n"/>
      <c r="L14" s="57">
        <f>(G14+I14)</f>
        <v/>
      </c>
      <c r="M14" s="57">
        <f>K14/1000</f>
        <v/>
      </c>
      <c r="N14" s="58" t="inlineStr">
        <is>
          <t>N/A</t>
        </is>
      </c>
      <c r="O14" s="57" t="inlineStr">
        <is>
          <t>NC25210G</t>
        </is>
      </c>
      <c r="P14" s="58" t="inlineStr">
        <is>
          <t>N/A</t>
        </is>
      </c>
    </row>
    <row r="15" ht="25" customHeight="1" s="55">
      <c r="A15" s="57" t="n">
        <v>14</v>
      </c>
      <c r="B15" s="57" t="inlineStr">
        <is>
          <t>NC252G</t>
        </is>
      </c>
      <c r="C15" s="57" t="inlineStr">
        <is>
          <t>South Farm</t>
        </is>
      </c>
      <c r="D15" s="59" t="n">
        <v>46244</v>
      </c>
      <c r="E15" s="57" t="inlineStr">
        <is>
          <t>Second</t>
        </is>
      </c>
      <c r="F15" s="57" t="inlineStr">
        <is>
          <t>Hybrid evaluation</t>
        </is>
      </c>
      <c r="G15" s="57" t="n">
        <v>2104</v>
      </c>
      <c r="H15" s="57" t="n">
        <v>6</v>
      </c>
      <c r="I15" s="57" t="n">
        <v>720</v>
      </c>
      <c r="J15" s="57" t="n">
        <v>3</v>
      </c>
      <c r="K15" s="57" t="n"/>
      <c r="L15" s="57">
        <f>(G15+I15)</f>
        <v/>
      </c>
      <c r="M15" s="57">
        <f>K15/1000</f>
        <v/>
      </c>
      <c r="N15" s="58" t="inlineStr">
        <is>
          <t>N/A</t>
        </is>
      </c>
      <c r="O15" s="57" t="inlineStr">
        <is>
          <t>NC252G</t>
        </is>
      </c>
      <c r="P15" s="58" t="inlineStr">
        <is>
          <t>N/A</t>
        </is>
      </c>
    </row>
    <row r="16" ht="25" customHeight="1" s="55">
      <c r="A16" s="57" t="n">
        <v>15</v>
      </c>
      <c r="B16" s="57" t="inlineStr">
        <is>
          <t>NC25217G</t>
        </is>
      </c>
      <c r="C16" s="57" t="inlineStr">
        <is>
          <t>South Farm</t>
        </is>
      </c>
      <c r="D16" s="59" t="n">
        <v>46244</v>
      </c>
      <c r="E16" s="57" t="inlineStr">
        <is>
          <t>Second</t>
        </is>
      </c>
      <c r="F16" s="57" t="inlineStr">
        <is>
          <t>Hybrid evaluation</t>
        </is>
      </c>
      <c r="G16" s="57" t="n">
        <v>4374</v>
      </c>
      <c r="H16" s="57" t="n">
        <v>15</v>
      </c>
      <c r="I16" s="57" t="n">
        <v>3700</v>
      </c>
      <c r="J16" s="57" t="n">
        <v>14</v>
      </c>
      <c r="K16" s="57" t="n"/>
      <c r="L16" s="57">
        <f>(G16+I16)</f>
        <v/>
      </c>
      <c r="M16" s="57">
        <f>K16/1000</f>
        <v/>
      </c>
      <c r="N16" s="58" t="inlineStr">
        <is>
          <t>N/A</t>
        </is>
      </c>
      <c r="O16" s="57" t="inlineStr">
        <is>
          <t>N25217G</t>
        </is>
      </c>
      <c r="P16" s="58" t="inlineStr">
        <is>
          <t>N/A</t>
        </is>
      </c>
    </row>
    <row r="17" ht="25" customHeight="1" s="55">
      <c r="A17" s="57" t="n">
        <v>16</v>
      </c>
      <c r="B17" s="57" t="inlineStr">
        <is>
          <t>NC25230G</t>
        </is>
      </c>
      <c r="C17" s="57" t="inlineStr">
        <is>
          <t>South Farm</t>
        </is>
      </c>
      <c r="D17" s="59" t="n">
        <v>46244</v>
      </c>
      <c r="E17" s="57" t="inlineStr">
        <is>
          <t>Second</t>
        </is>
      </c>
      <c r="F17" s="57" t="inlineStr">
        <is>
          <t>Hybrid evaluation</t>
        </is>
      </c>
      <c r="G17" s="57" t="n">
        <v>4391</v>
      </c>
      <c r="H17" s="57" t="n">
        <v>13</v>
      </c>
      <c r="I17" s="57" t="n">
        <v>1250</v>
      </c>
      <c r="J17" s="57" t="n">
        <v>6</v>
      </c>
      <c r="K17" s="57" t="n"/>
      <c r="L17" s="57">
        <f>(G17+I17)</f>
        <v/>
      </c>
      <c r="M17" s="57">
        <f>K17/1000</f>
        <v/>
      </c>
      <c r="N17" s="58" t="inlineStr">
        <is>
          <t>N/A</t>
        </is>
      </c>
      <c r="O17" s="57" t="inlineStr">
        <is>
          <t>NC25230G</t>
        </is>
      </c>
      <c r="P17" s="58" t="inlineStr">
        <is>
          <t>N/A</t>
        </is>
      </c>
    </row>
    <row r="18" ht="25" customHeight="1" s="55">
      <c r="A18" s="57" t="n">
        <v>17</v>
      </c>
      <c r="B18" s="57" t="inlineStr">
        <is>
          <t>NC25306G</t>
        </is>
      </c>
      <c r="C18" s="57" t="inlineStr">
        <is>
          <t>South Farm</t>
        </is>
      </c>
      <c r="D18" s="59" t="n">
        <v>46244</v>
      </c>
      <c r="E18" s="57" t="inlineStr">
        <is>
          <t>Second</t>
        </is>
      </c>
      <c r="F18" s="57" t="inlineStr">
        <is>
          <t>Hybrid evaluation</t>
        </is>
      </c>
      <c r="G18" s="57" t="n">
        <v>6242</v>
      </c>
      <c r="H18" s="57" t="n">
        <v>23</v>
      </c>
      <c r="I18" s="57" t="n">
        <v>8102</v>
      </c>
      <c r="J18" s="57" t="n">
        <v>42</v>
      </c>
      <c r="K18" s="57" t="n"/>
      <c r="L18" s="57">
        <f>(G18+I18)</f>
        <v/>
      </c>
      <c r="M18" s="57">
        <f>K18/1000</f>
        <v/>
      </c>
      <c r="N18" s="58" t="inlineStr">
        <is>
          <t>N/A</t>
        </is>
      </c>
      <c r="O18" s="57" t="inlineStr">
        <is>
          <t>NC25306G</t>
        </is>
      </c>
      <c r="P18" s="58" t="inlineStr">
        <is>
          <t>N/A</t>
        </is>
      </c>
    </row>
    <row r="19" ht="25" customHeight="1" s="55">
      <c r="A19" s="57" t="n">
        <v>18</v>
      </c>
      <c r="B19" s="57" t="inlineStr">
        <is>
          <t>NC25304G</t>
        </is>
      </c>
      <c r="C19" s="57" t="inlineStr">
        <is>
          <t>South Farm</t>
        </is>
      </c>
      <c r="D19" s="59" t="n">
        <v>46244</v>
      </c>
      <c r="E19" s="57" t="inlineStr">
        <is>
          <t>Second</t>
        </is>
      </c>
      <c r="F19" s="57" t="inlineStr">
        <is>
          <t>Hybrid evaluation</t>
        </is>
      </c>
      <c r="G19" s="57" t="n">
        <v>4260</v>
      </c>
      <c r="H19" s="57" t="n">
        <v>18</v>
      </c>
      <c r="I19" s="57" t="n">
        <v>6058</v>
      </c>
      <c r="J19" s="57" t="n">
        <v>39</v>
      </c>
      <c r="K19" s="57" t="n"/>
      <c r="L19" s="57">
        <f>(G19+I19)</f>
        <v/>
      </c>
      <c r="M19" s="57">
        <f>K19/1000</f>
        <v/>
      </c>
      <c r="N19" s="58" t="inlineStr">
        <is>
          <t>N/A</t>
        </is>
      </c>
      <c r="O19" s="57" t="inlineStr">
        <is>
          <t>NC25304G</t>
        </is>
      </c>
      <c r="P19" s="58" t="inlineStr">
        <is>
          <t>N/A</t>
        </is>
      </c>
    </row>
    <row r="20" ht="25" customHeight="1" s="55">
      <c r="A20" s="57" t="n">
        <v>19</v>
      </c>
      <c r="B20" s="57" t="inlineStr">
        <is>
          <t>NC262G</t>
        </is>
      </c>
      <c r="C20" s="57" t="inlineStr">
        <is>
          <t>South Farm</t>
        </is>
      </c>
      <c r="D20" s="59" t="n">
        <v>46244</v>
      </c>
      <c r="E20" s="57" t="inlineStr">
        <is>
          <t>Second</t>
        </is>
      </c>
      <c r="F20" s="57" t="inlineStr">
        <is>
          <t>Hybrid evaluation</t>
        </is>
      </c>
      <c r="G20" s="57" t="n">
        <v>8388</v>
      </c>
      <c r="H20" s="57" t="n">
        <v>24</v>
      </c>
      <c r="I20" s="57" t="n">
        <v>7825</v>
      </c>
      <c r="J20" s="57" t="n">
        <v>22</v>
      </c>
      <c r="K20" s="57" t="n"/>
      <c r="L20" s="57">
        <f>(G20+I20)</f>
        <v/>
      </c>
      <c r="M20" s="57">
        <f>K20/1000</f>
        <v/>
      </c>
      <c r="N20" s="58" t="inlineStr">
        <is>
          <t>N/A</t>
        </is>
      </c>
      <c r="O20" s="57" t="inlineStr">
        <is>
          <t>NC262G</t>
        </is>
      </c>
      <c r="P20" s="58" t="inlineStr">
        <is>
          <t>N/A</t>
        </is>
      </c>
    </row>
    <row r="21" ht="25" customHeight="1" s="55">
      <c r="A21" s="57" t="n">
        <v>20</v>
      </c>
      <c r="B21" s="57" t="inlineStr">
        <is>
          <t>NC261G</t>
        </is>
      </c>
      <c r="C21" s="57" t="inlineStr">
        <is>
          <t>South Farm</t>
        </is>
      </c>
      <c r="D21" s="59" t="n">
        <v>46244</v>
      </c>
      <c r="E21" s="57" t="inlineStr">
        <is>
          <t>Second</t>
        </is>
      </c>
      <c r="F21" s="57" t="inlineStr">
        <is>
          <t>Hybrid evaluation</t>
        </is>
      </c>
      <c r="G21" s="57" t="n">
        <v>2987</v>
      </c>
      <c r="H21" s="57" t="n">
        <v>10</v>
      </c>
      <c r="I21" s="57" t="n">
        <v>4713</v>
      </c>
      <c r="J21" s="57" t="n">
        <v>17</v>
      </c>
      <c r="K21" s="57" t="n"/>
      <c r="L21" s="57">
        <f>(G21+I21)</f>
        <v/>
      </c>
      <c r="M21" s="57">
        <f>K21/1000</f>
        <v/>
      </c>
      <c r="N21" s="58" t="inlineStr">
        <is>
          <t>N/A</t>
        </is>
      </c>
      <c r="O21" s="57" t="inlineStr">
        <is>
          <t>NC261G</t>
        </is>
      </c>
      <c r="P21" s="58" t="inlineStr">
        <is>
          <t>N/A</t>
        </is>
      </c>
    </row>
    <row r="22" ht="25" customHeight="1" s="55">
      <c r="A22" s="57" t="n">
        <v>21</v>
      </c>
      <c r="B22" s="57" t="inlineStr">
        <is>
          <t>NC25317G</t>
        </is>
      </c>
      <c r="C22" s="57" t="inlineStr">
        <is>
          <t>South Farm</t>
        </is>
      </c>
      <c r="D22" s="59" t="n">
        <v>46244</v>
      </c>
      <c r="E22" s="57" t="inlineStr">
        <is>
          <t>Second</t>
        </is>
      </c>
      <c r="F22" s="57" t="inlineStr">
        <is>
          <t>Hybrid evaluation</t>
        </is>
      </c>
      <c r="G22" s="57" t="n">
        <v>2416</v>
      </c>
      <c r="H22" s="57" t="n">
        <v>11</v>
      </c>
      <c r="I22" s="57" t="n">
        <v>4785</v>
      </c>
      <c r="J22" s="57" t="n">
        <v>18</v>
      </c>
      <c r="K22" s="57" t="n"/>
      <c r="L22" s="57">
        <f>(G22+I22)</f>
        <v/>
      </c>
      <c r="M22" s="57">
        <f>K22/1000</f>
        <v/>
      </c>
      <c r="N22" s="58" t="inlineStr">
        <is>
          <t>N/A</t>
        </is>
      </c>
      <c r="O22" s="57" t="inlineStr">
        <is>
          <t>NC25317G</t>
        </is>
      </c>
      <c r="P22" s="58" t="inlineStr">
        <is>
          <t>N/A</t>
        </is>
      </c>
    </row>
    <row r="23" ht="25" customFormat="1" customHeight="1" s="45">
      <c r="A23" s="57" t="n">
        <v>22</v>
      </c>
      <c r="B23" s="57" t="inlineStr">
        <is>
          <t>Mt. Magic</t>
        </is>
      </c>
      <c r="C23" s="57" t="inlineStr">
        <is>
          <t>South Farm</t>
        </is>
      </c>
      <c r="D23" s="59" t="n">
        <v>46244</v>
      </c>
      <c r="E23" s="57" t="inlineStr">
        <is>
          <t>Second</t>
        </is>
      </c>
      <c r="F23" s="57" t="inlineStr">
        <is>
          <t>Hybrid evaluation</t>
        </is>
      </c>
      <c r="G23" s="57" t="n">
        <v>8942</v>
      </c>
      <c r="H23" s="57" t="n"/>
      <c r="I23" s="57" t="n">
        <v>2142</v>
      </c>
      <c r="J23" s="57" t="n"/>
      <c r="K23" s="57" t="n">
        <v>739</v>
      </c>
      <c r="L23" s="57">
        <f>(G23+I23)</f>
        <v/>
      </c>
      <c r="M23" s="57">
        <f>K23/1000</f>
        <v/>
      </c>
      <c r="N23" s="57" t="inlineStr">
        <is>
          <t>20 counts; magic</t>
        </is>
      </c>
      <c r="O23" s="57" t="inlineStr">
        <is>
          <t>Mountain magic</t>
        </is>
      </c>
      <c r="P23" s="58" t="inlineStr">
        <is>
          <t>N/A</t>
        </is>
      </c>
    </row>
    <row r="24" ht="25" customHeight="1" s="55">
      <c r="A24" s="57" t="n">
        <v>23</v>
      </c>
      <c r="B24" s="57" t="inlineStr">
        <is>
          <t>NC264G</t>
        </is>
      </c>
      <c r="C24" s="57" t="inlineStr">
        <is>
          <t>South Farm</t>
        </is>
      </c>
      <c r="D24" s="59" t="n">
        <v>46244</v>
      </c>
      <c r="E24" s="57" t="inlineStr">
        <is>
          <t>Second</t>
        </is>
      </c>
      <c r="F24" s="57" t="inlineStr">
        <is>
          <t>Hybrid evaluation</t>
        </is>
      </c>
      <c r="G24" s="57" t="n">
        <v>7229</v>
      </c>
      <c r="H24" s="57" t="n">
        <v>20</v>
      </c>
      <c r="I24" s="57" t="n">
        <v>5214</v>
      </c>
      <c r="J24" s="57" t="n">
        <v>16</v>
      </c>
      <c r="K24" s="57" t="n"/>
      <c r="L24" s="57">
        <f>(G24+I24)</f>
        <v/>
      </c>
      <c r="M24" s="57">
        <f>K24/1000</f>
        <v/>
      </c>
      <c r="N24" s="58" t="inlineStr">
        <is>
          <t>N/A</t>
        </is>
      </c>
      <c r="O24" s="57" t="inlineStr">
        <is>
          <t>NC264G</t>
        </is>
      </c>
      <c r="P24" s="58" t="inlineStr">
        <is>
          <t>N/A</t>
        </is>
      </c>
    </row>
    <row r="25" ht="25" customHeight="1" s="55">
      <c r="A25" s="57" t="n">
        <v>24</v>
      </c>
      <c r="B25" s="57" t="inlineStr">
        <is>
          <t>NC24271G</t>
        </is>
      </c>
      <c r="C25" s="57" t="inlineStr">
        <is>
          <t>South Farm</t>
        </is>
      </c>
      <c r="D25" s="59" t="n">
        <v>46244</v>
      </c>
      <c r="E25" s="57" t="inlineStr">
        <is>
          <t>Second</t>
        </is>
      </c>
      <c r="F25" s="57" t="inlineStr">
        <is>
          <t>Hybrid evaluation</t>
        </is>
      </c>
      <c r="G25" s="57" t="n">
        <v>350</v>
      </c>
      <c r="H25" s="57" t="n">
        <v>3</v>
      </c>
      <c r="I25" s="57" t="n">
        <v>586</v>
      </c>
      <c r="J25" s="57" t="n">
        <v>4</v>
      </c>
      <c r="K25" s="57" t="n"/>
      <c r="L25" s="57">
        <f>(G25+I25)</f>
        <v/>
      </c>
      <c r="M25" s="57">
        <f>K25/1000</f>
        <v/>
      </c>
      <c r="N25" s="58" t="inlineStr">
        <is>
          <t>N/A</t>
        </is>
      </c>
      <c r="O25" s="57" t="inlineStr">
        <is>
          <t>NC24271G</t>
        </is>
      </c>
      <c r="P25" s="58" t="inlineStr">
        <is>
          <t>N/A</t>
        </is>
      </c>
    </row>
    <row r="26" ht="25" customHeight="1" s="55">
      <c r="A26" s="57" t="n">
        <v>25</v>
      </c>
      <c r="B26" s="57" t="inlineStr">
        <is>
          <t>Mt. Girl</t>
        </is>
      </c>
      <c r="C26" s="57" t="inlineStr">
        <is>
          <t>South Farm</t>
        </is>
      </c>
      <c r="D26" s="59" t="n">
        <v>46244</v>
      </c>
      <c r="E26" s="57" t="inlineStr">
        <is>
          <t>Second</t>
        </is>
      </c>
      <c r="F26" s="57" t="inlineStr">
        <is>
          <t>Hybrid evaluation</t>
        </is>
      </c>
      <c r="G26" s="57" t="n">
        <v>9595</v>
      </c>
      <c r="H26" s="57" t="n">
        <v>27</v>
      </c>
      <c r="I26" s="57" t="n">
        <v>5840</v>
      </c>
      <c r="J26" s="57" t="n">
        <v>15</v>
      </c>
      <c r="K26" s="57" t="n"/>
      <c r="L26" s="57">
        <f>(G26+I26)</f>
        <v/>
      </c>
      <c r="M26" s="57">
        <f>K26/1000</f>
        <v/>
      </c>
      <c r="N26" s="57" t="inlineStr">
        <is>
          <t>Girl</t>
        </is>
      </c>
      <c r="O26" s="57" t="inlineStr">
        <is>
          <t>Mountain Girl</t>
        </is>
      </c>
      <c r="P26" s="58" t="inlineStr">
        <is>
          <t>N/A</t>
        </is>
      </c>
    </row>
    <row r="27" ht="25" customHeight="1" s="55">
      <c r="A27" s="57" t="n">
        <v>26</v>
      </c>
      <c r="B27" s="57" t="inlineStr">
        <is>
          <t>NC25313G</t>
        </is>
      </c>
      <c r="C27" s="57" t="inlineStr">
        <is>
          <t>South Farm</t>
        </is>
      </c>
      <c r="D27" s="59" t="n">
        <v>46244</v>
      </c>
      <c r="E27" s="57" t="inlineStr">
        <is>
          <t>Second</t>
        </is>
      </c>
      <c r="F27" s="57" t="inlineStr">
        <is>
          <t>Hybrid evaluation</t>
        </is>
      </c>
      <c r="G27" s="57" t="n">
        <v>1584</v>
      </c>
      <c r="H27" s="57" t="n">
        <v>5</v>
      </c>
      <c r="I27" s="57" t="n">
        <v>4510</v>
      </c>
      <c r="J27" s="57" t="n">
        <v>13</v>
      </c>
      <c r="K27" s="57" t="n"/>
      <c r="L27" s="57">
        <f>(G27+I27)</f>
        <v/>
      </c>
      <c r="M27" s="57">
        <f>K27/1000</f>
        <v/>
      </c>
      <c r="N27" s="58" t="inlineStr">
        <is>
          <t>N/A</t>
        </is>
      </c>
      <c r="O27" s="57" t="inlineStr">
        <is>
          <t>NC25313G</t>
        </is>
      </c>
      <c r="P27" s="58" t="inlineStr">
        <is>
          <t>N/A</t>
        </is>
      </c>
    </row>
    <row r="28" ht="25" customHeight="1" s="55">
      <c r="A28" s="57" t="n">
        <v>27</v>
      </c>
      <c r="B28" s="57" t="inlineStr">
        <is>
          <t>NC25241G</t>
        </is>
      </c>
      <c r="C28" s="57" t="inlineStr">
        <is>
          <t>South Farm</t>
        </is>
      </c>
      <c r="D28" s="59" t="n">
        <v>46244</v>
      </c>
      <c r="E28" s="57" t="inlineStr">
        <is>
          <t>Second</t>
        </is>
      </c>
      <c r="F28" s="57" t="inlineStr">
        <is>
          <t>Hybrid evaluation</t>
        </is>
      </c>
      <c r="G28" s="57" t="n">
        <v>5682</v>
      </c>
      <c r="H28" s="57" t="n">
        <v>19</v>
      </c>
      <c r="I28" s="57" t="n">
        <v>1780</v>
      </c>
      <c r="J28" s="57" t="n">
        <v>5</v>
      </c>
      <c r="K28" s="57" t="n"/>
      <c r="L28" s="57">
        <f>(G28+I28)</f>
        <v/>
      </c>
      <c r="M28" s="57">
        <f>K28/1000</f>
        <v/>
      </c>
      <c r="N28" s="58" t="inlineStr">
        <is>
          <t>N/A</t>
        </is>
      </c>
      <c r="O28" s="57" t="inlineStr">
        <is>
          <t>NC25241G</t>
        </is>
      </c>
      <c r="P28" s="58" t="inlineStr">
        <is>
          <t>N/A</t>
        </is>
      </c>
    </row>
    <row r="29" ht="25" customHeight="1" s="55">
      <c r="A29" s="57" t="n">
        <v>28</v>
      </c>
      <c r="B29" s="57" t="inlineStr">
        <is>
          <t>NC25212G</t>
        </is>
      </c>
      <c r="C29" s="57" t="inlineStr">
        <is>
          <t>South Farm</t>
        </is>
      </c>
      <c r="D29" s="59" t="n">
        <v>46244</v>
      </c>
      <c r="E29" s="57" t="inlineStr">
        <is>
          <t>Second</t>
        </is>
      </c>
      <c r="F29" s="57" t="inlineStr">
        <is>
          <t>Hybrid evaluation</t>
        </is>
      </c>
      <c r="G29" s="57" t="n">
        <v>5547</v>
      </c>
      <c r="H29" s="57" t="n">
        <v>11</v>
      </c>
      <c r="I29" s="57" t="n">
        <v>3195</v>
      </c>
      <c r="J29" s="57" t="n">
        <v>8</v>
      </c>
      <c r="K29" s="57" t="n"/>
      <c r="L29" s="57">
        <f>(G29+I29)</f>
        <v/>
      </c>
      <c r="M29" s="57">
        <f>K29/1000</f>
        <v/>
      </c>
      <c r="N29" s="58" t="inlineStr">
        <is>
          <t>N/A</t>
        </is>
      </c>
      <c r="O29" s="57" t="inlineStr">
        <is>
          <t>NC25212G</t>
        </is>
      </c>
      <c r="P29" s="58" t="inlineStr">
        <is>
          <t>N/A</t>
        </is>
      </c>
    </row>
    <row r="30" ht="25" customHeight="1" s="55">
      <c r="A30" s="57" t="n">
        <v>29</v>
      </c>
      <c r="B30" s="57" t="inlineStr">
        <is>
          <t>Mt. Heritage</t>
        </is>
      </c>
      <c r="C30" s="57" t="inlineStr">
        <is>
          <t>South Farm</t>
        </is>
      </c>
      <c r="D30" s="59" t="n">
        <v>46244</v>
      </c>
      <c r="E30" s="57" t="inlineStr">
        <is>
          <t>Second</t>
        </is>
      </c>
      <c r="F30" s="57" t="inlineStr">
        <is>
          <t>Hybrid evaluation</t>
        </is>
      </c>
      <c r="G30" s="57" t="n">
        <v>7238</v>
      </c>
      <c r="H30" s="57" t="n">
        <v>20</v>
      </c>
      <c r="I30" s="57" t="n">
        <v>8249</v>
      </c>
      <c r="J30" s="57" t="n">
        <v>23</v>
      </c>
      <c r="K30" s="57" t="n"/>
      <c r="L30" s="57">
        <f>(G30+I30)</f>
        <v/>
      </c>
      <c r="M30" s="57">
        <f>K30/1000</f>
        <v/>
      </c>
      <c r="N30" s="57" t="inlineStr">
        <is>
          <t>Heritage</t>
        </is>
      </c>
      <c r="O30" s="57" t="inlineStr">
        <is>
          <t>Mountain Heritage</t>
        </is>
      </c>
      <c r="P30" s="58" t="inlineStr">
        <is>
          <t>N/A</t>
        </is>
      </c>
    </row>
    <row r="31" ht="25" customHeight="1" s="55">
      <c r="A31" s="57" t="n">
        <v>30</v>
      </c>
      <c r="B31" s="57" t="inlineStr">
        <is>
          <t>NC25202G</t>
        </is>
      </c>
      <c r="C31" s="57" t="inlineStr">
        <is>
          <t>South Farm</t>
        </is>
      </c>
      <c r="D31" s="59" t="n">
        <v>46244</v>
      </c>
      <c r="E31" s="57" t="inlineStr">
        <is>
          <t>Second</t>
        </is>
      </c>
      <c r="F31" s="57" t="inlineStr">
        <is>
          <t>Hybrid evaluation</t>
        </is>
      </c>
      <c r="G31" s="57" t="n">
        <v>4086</v>
      </c>
      <c r="H31" s="57" t="n">
        <v>14</v>
      </c>
      <c r="I31" s="57" t="n">
        <v>1799</v>
      </c>
      <c r="J31" s="57" t="n">
        <v>6</v>
      </c>
      <c r="K31" s="57" t="n"/>
      <c r="L31" s="57">
        <f>(G31+I31)</f>
        <v/>
      </c>
      <c r="M31" s="57">
        <f>K31/1000</f>
        <v/>
      </c>
      <c r="N31" s="58" t="inlineStr">
        <is>
          <t>N/A</t>
        </is>
      </c>
      <c r="O31" s="57" t="inlineStr">
        <is>
          <t>NC25202G</t>
        </is>
      </c>
      <c r="P31" s="58" t="inlineStr">
        <is>
          <t>N/A</t>
        </is>
      </c>
    </row>
    <row r="32" ht="25" customHeight="1" s="55">
      <c r="A32" s="57" t="n">
        <v>31</v>
      </c>
      <c r="B32" s="57" t="inlineStr">
        <is>
          <t>NC25205G</t>
        </is>
      </c>
      <c r="C32" s="57" t="inlineStr">
        <is>
          <t>South Farm</t>
        </is>
      </c>
      <c r="D32" s="59" t="n">
        <v>46244</v>
      </c>
      <c r="E32" s="57" t="inlineStr">
        <is>
          <t>Second</t>
        </is>
      </c>
      <c r="F32" s="57" t="inlineStr">
        <is>
          <t>Hybrid evaluation</t>
        </is>
      </c>
      <c r="G32" s="57" t="n">
        <v>9906</v>
      </c>
      <c r="H32" s="57" t="n">
        <v>26</v>
      </c>
      <c r="I32" s="57" t="n">
        <v>5002</v>
      </c>
      <c r="J32" s="57" t="n">
        <v>12</v>
      </c>
      <c r="K32" s="57" t="n"/>
      <c r="L32" s="57">
        <f>(G32+I32)</f>
        <v/>
      </c>
      <c r="M32" s="57">
        <f>K32/1000</f>
        <v/>
      </c>
      <c r="N32" s="58" t="inlineStr">
        <is>
          <t>N/A</t>
        </is>
      </c>
      <c r="O32" s="57" t="inlineStr">
        <is>
          <t>NC25205G</t>
        </is>
      </c>
      <c r="P32" s="58" t="inlineStr">
        <is>
          <t>N/A</t>
        </is>
      </c>
    </row>
    <row r="33" ht="25" customHeight="1" s="55">
      <c r="A33" s="57" t="n">
        <v>32</v>
      </c>
      <c r="B33" s="57" t="inlineStr">
        <is>
          <t>NC25203G</t>
        </is>
      </c>
      <c r="C33" s="57" t="inlineStr">
        <is>
          <t>South Farm</t>
        </is>
      </c>
      <c r="D33" s="59" t="n">
        <v>46244</v>
      </c>
      <c r="E33" s="57" t="inlineStr">
        <is>
          <t>Second</t>
        </is>
      </c>
      <c r="F33" s="57" t="inlineStr">
        <is>
          <t>Hybrid evaluation</t>
        </is>
      </c>
      <c r="G33" s="57" t="n">
        <v>9506</v>
      </c>
      <c r="H33" s="57" t="n">
        <v>28</v>
      </c>
      <c r="I33" s="57" t="n">
        <v>4110</v>
      </c>
      <c r="J33" s="57" t="n">
        <v>16</v>
      </c>
      <c r="K33" s="57" t="n"/>
      <c r="L33" s="57">
        <f>(G33+I33)</f>
        <v/>
      </c>
      <c r="M33" s="57">
        <f>K33/1000</f>
        <v/>
      </c>
      <c r="N33" s="58" t="inlineStr">
        <is>
          <t>N/A</t>
        </is>
      </c>
      <c r="O33" s="57" t="inlineStr">
        <is>
          <t>NC25203G</t>
        </is>
      </c>
      <c r="P33" s="58" t="inlineStr">
        <is>
          <t>N/A</t>
        </is>
      </c>
    </row>
  </sheetData>
  <autoFilter ref="A1:P33"/>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L54"/>
  <sheetViews>
    <sheetView showGridLines="1" topLeftCell="A1" workbookViewId="0">
      <pane ySplit="1" topLeftCell="A2" activePane="bottomLeft" state="frozen"/>
      <selection pane="bottomLeft" activeCell="A1" sqref="A1"/>
    </sheetView>
  </sheetViews>
  <sheetFormatPr baseColWidth="8" defaultColWidth="10.875" defaultRowHeight="16.5" customHeight="0"/>
  <cols>
    <col width="8" bestFit="1" customWidth="1" style="55" min="1" max="1"/>
    <col width="20" customWidth="1" style="55" min="2" max="2"/>
    <col width="12" customWidth="1" style="55" min="3" max="3"/>
    <col width="21" customWidth="1" style="55" min="4" max="4"/>
    <col width="9" customWidth="1" style="55" min="5" max="5"/>
    <col width="19" customWidth="1" style="55" min="6" max="6"/>
    <col width="24" customWidth="1" style="55" min="7" max="7"/>
    <col width="18" customWidth="1" style="55" min="8" max="8"/>
    <col width="31" customWidth="1" style="55" min="9" max="9"/>
    <col width="22" customWidth="1" style="55" min="10" max="10"/>
    <col width="11" customWidth="1" style="55" min="11" max="11"/>
    <col width="12" customWidth="1" style="55" min="12" max="12"/>
  </cols>
  <sheetData>
    <row r="1" ht="18" customFormat="1" customHeight="1" s="49">
      <c r="A1" s="56" t="inlineStr">
        <is>
          <t>SN</t>
        </is>
      </c>
      <c r="B1" s="56" t="inlineStr">
        <is>
          <t>Genotypes</t>
        </is>
      </c>
      <c r="C1" s="56" t="inlineStr">
        <is>
          <t>Location</t>
        </is>
      </c>
      <c r="D1" s="56" t="inlineStr">
        <is>
          <t>Date of harvest</t>
        </is>
      </c>
      <c r="E1" s="56" t="inlineStr">
        <is>
          <t>Harvest</t>
        </is>
      </c>
      <c r="F1" s="56" t="inlineStr">
        <is>
          <t>Experiment</t>
        </is>
      </c>
      <c r="G1" s="56" t="inlineStr">
        <is>
          <t>Weight of 20 fruit (g)</t>
        </is>
      </c>
      <c r="H1" s="56" t="inlineStr">
        <is>
          <t>Total Weight (g)</t>
        </is>
      </c>
      <c r="I1" s="56" t="inlineStr">
        <is>
          <t>Note</t>
        </is>
      </c>
      <c r="J1" s="56" t="inlineStr">
        <is>
          <t>Genotype_raw</t>
        </is>
      </c>
      <c r="K1" s="56" t="inlineStr">
        <is>
          <t>Replicate</t>
        </is>
      </c>
      <c r="L1" s="56" t="inlineStr">
        <is>
          <t>Entered_by</t>
        </is>
      </c>
    </row>
    <row r="2" ht="25" customHeight="1" s="55">
      <c r="A2" s="57" t="n">
        <v>1</v>
      </c>
      <c r="B2" s="57" t="inlineStr">
        <is>
          <t>UKYT-26-001</t>
        </is>
      </c>
      <c r="C2" s="57" t="inlineStr">
        <is>
          <t>South Farm</t>
        </is>
      </c>
      <c r="D2" s="59" t="n">
        <v>46252</v>
      </c>
      <c r="E2" s="57" t="inlineStr">
        <is>
          <t>Third</t>
        </is>
      </c>
      <c r="F2" s="57" t="inlineStr">
        <is>
          <t>Advanced breeding</t>
        </is>
      </c>
      <c r="G2" s="57" t="n">
        <v>2207</v>
      </c>
      <c r="H2" s="57" t="n">
        <v>5467</v>
      </c>
      <c r="I2" s="58" t="inlineStr">
        <is>
          <t>N/A</t>
        </is>
      </c>
      <c r="J2" s="57" t="inlineStr">
        <is>
          <t>UKY-26-001</t>
        </is>
      </c>
      <c r="K2" s="58" t="inlineStr">
        <is>
          <t>N/A</t>
        </is>
      </c>
      <c r="L2" s="57" t="inlineStr">
        <is>
          <t>Nam</t>
        </is>
      </c>
    </row>
    <row r="3" ht="25" customHeight="1" s="55">
      <c r="A3" s="57" t="n">
        <v>2</v>
      </c>
      <c r="B3" s="57" t="inlineStr">
        <is>
          <t>UKYT-25-008</t>
        </is>
      </c>
      <c r="C3" s="57" t="inlineStr">
        <is>
          <t>South Farm</t>
        </is>
      </c>
      <c r="D3" s="59" t="n">
        <v>46252</v>
      </c>
      <c r="E3" s="57" t="inlineStr">
        <is>
          <t>Third</t>
        </is>
      </c>
      <c r="F3" s="57" t="inlineStr">
        <is>
          <t>Advanced breeding</t>
        </is>
      </c>
      <c r="G3" s="57" t="n">
        <v>364</v>
      </c>
      <c r="H3" s="57" t="n">
        <v>2380</v>
      </c>
      <c r="I3" s="58" t="inlineStr">
        <is>
          <t>N/A</t>
        </is>
      </c>
      <c r="J3" s="57" t="inlineStr">
        <is>
          <t>UKY-25-008</t>
        </is>
      </c>
      <c r="K3" s="58" t="inlineStr">
        <is>
          <t>N/A</t>
        </is>
      </c>
      <c r="L3" s="57" t="inlineStr">
        <is>
          <t>Nam</t>
        </is>
      </c>
    </row>
    <row r="4" ht="25" customHeight="1" s="55">
      <c r="A4" s="57" t="n">
        <v>3</v>
      </c>
      <c r="B4" s="57" t="inlineStr">
        <is>
          <t>UKYT-26-011</t>
        </is>
      </c>
      <c r="C4" s="57" t="inlineStr">
        <is>
          <t>South Farm</t>
        </is>
      </c>
      <c r="D4" s="59" t="n">
        <v>46252</v>
      </c>
      <c r="E4" s="57" t="inlineStr">
        <is>
          <t>Third</t>
        </is>
      </c>
      <c r="F4" s="57" t="inlineStr">
        <is>
          <t>Advanced breeding</t>
        </is>
      </c>
      <c r="G4" s="57" t="n"/>
      <c r="H4" s="57" t="n">
        <v>263</v>
      </c>
      <c r="I4" s="57" t="inlineStr">
        <is>
          <t xml:space="preserve">Only one tomato harvest </t>
        </is>
      </c>
      <c r="J4" s="57" t="inlineStr">
        <is>
          <t>UKY-26-011</t>
        </is>
      </c>
      <c r="K4" s="58" t="inlineStr">
        <is>
          <t>N/A</t>
        </is>
      </c>
      <c r="L4" s="57" t="inlineStr">
        <is>
          <t>Nam</t>
        </is>
      </c>
    </row>
    <row r="5" ht="25" customHeight="1" s="55">
      <c r="A5" s="57" t="n">
        <v>4</v>
      </c>
      <c r="B5" s="57" t="inlineStr">
        <is>
          <t>UKYT-26-012</t>
        </is>
      </c>
      <c r="C5" s="57" t="inlineStr">
        <is>
          <t>South Farm</t>
        </is>
      </c>
      <c r="D5" s="59" t="n">
        <v>46252</v>
      </c>
      <c r="E5" s="57" t="inlineStr">
        <is>
          <t>Third</t>
        </is>
      </c>
      <c r="F5" s="57" t="inlineStr">
        <is>
          <t>Advanced breeding</t>
        </is>
      </c>
      <c r="G5" s="57" t="n"/>
      <c r="H5" s="57" t="n">
        <v>2910</v>
      </c>
      <c r="I5" s="57" t="inlineStr">
        <is>
          <t>Five counts</t>
        </is>
      </c>
      <c r="J5" s="57" t="inlineStr">
        <is>
          <t>UKY-26-012</t>
        </is>
      </c>
      <c r="K5" s="58" t="inlineStr">
        <is>
          <t>N/A</t>
        </is>
      </c>
      <c r="L5" s="57" t="inlineStr">
        <is>
          <t>Nam</t>
        </is>
      </c>
    </row>
    <row r="6" ht="25" customHeight="1" s="55">
      <c r="A6" s="57" t="n">
        <v>5</v>
      </c>
      <c r="B6" s="57" t="inlineStr">
        <is>
          <t>UKYT-26-009</t>
        </is>
      </c>
      <c r="C6" s="57" t="inlineStr">
        <is>
          <t>South Farm</t>
        </is>
      </c>
      <c r="D6" s="59" t="n">
        <v>46252</v>
      </c>
      <c r="E6" s="57" t="inlineStr">
        <is>
          <t>Third</t>
        </is>
      </c>
      <c r="F6" s="57" t="inlineStr">
        <is>
          <t>Advanced breeding</t>
        </is>
      </c>
      <c r="G6" s="57" t="n">
        <v>2784</v>
      </c>
      <c r="H6" s="57" t="n">
        <v>3205</v>
      </c>
      <c r="I6" s="58" t="inlineStr">
        <is>
          <t>N/A</t>
        </is>
      </c>
      <c r="J6" s="57" t="inlineStr">
        <is>
          <t>UKY-26-009</t>
        </is>
      </c>
      <c r="K6" s="58" t="inlineStr">
        <is>
          <t>N/A</t>
        </is>
      </c>
      <c r="L6" s="57" t="inlineStr">
        <is>
          <t>Nam</t>
        </is>
      </c>
    </row>
    <row r="7" ht="25" customHeight="1" s="55">
      <c r="A7" s="57" t="n">
        <v>6</v>
      </c>
      <c r="B7" s="57" t="inlineStr">
        <is>
          <t>UKYT-25-004</t>
        </is>
      </c>
      <c r="C7" s="57" t="inlineStr">
        <is>
          <t>South Farm</t>
        </is>
      </c>
      <c r="D7" s="59" t="n">
        <v>46252</v>
      </c>
      <c r="E7" s="57" t="inlineStr">
        <is>
          <t>Third</t>
        </is>
      </c>
      <c r="F7" s="57" t="inlineStr">
        <is>
          <t>Advanced breeding</t>
        </is>
      </c>
      <c r="G7" s="57" t="n">
        <v>335</v>
      </c>
      <c r="H7" s="57" t="n">
        <v>2202</v>
      </c>
      <c r="I7" s="58" t="inlineStr">
        <is>
          <t>N/A</t>
        </is>
      </c>
      <c r="J7" s="57" t="inlineStr">
        <is>
          <t>UKY-25-004</t>
        </is>
      </c>
      <c r="K7" s="58" t="inlineStr">
        <is>
          <t>N/A</t>
        </is>
      </c>
      <c r="L7" s="57" t="inlineStr">
        <is>
          <t>Nam</t>
        </is>
      </c>
    </row>
    <row r="8" ht="25" customHeight="1" s="55">
      <c r="A8" s="57" t="n">
        <v>7</v>
      </c>
      <c r="B8" s="57" t="inlineStr">
        <is>
          <t>UKYT-25-013</t>
        </is>
      </c>
      <c r="C8" s="57" t="inlineStr">
        <is>
          <t>South Farm</t>
        </is>
      </c>
      <c r="D8" s="59" t="n">
        <v>46252</v>
      </c>
      <c r="E8" s="57" t="inlineStr">
        <is>
          <t>Third</t>
        </is>
      </c>
      <c r="F8" s="57" t="inlineStr">
        <is>
          <t>Advanced breeding</t>
        </is>
      </c>
      <c r="G8" s="57" t="n">
        <v>352</v>
      </c>
      <c r="H8" s="57" t="n">
        <v>4421</v>
      </c>
      <c r="I8" s="58" t="inlineStr">
        <is>
          <t>N/A</t>
        </is>
      </c>
      <c r="J8" s="57" t="inlineStr">
        <is>
          <t>UKY-25-013</t>
        </is>
      </c>
      <c r="K8" s="58" t="inlineStr">
        <is>
          <t>N/A</t>
        </is>
      </c>
      <c r="L8" s="57" t="inlineStr">
        <is>
          <t>Nam</t>
        </is>
      </c>
    </row>
    <row r="9" ht="25" customHeight="1" s="55">
      <c r="A9" s="57" t="n">
        <v>8</v>
      </c>
      <c r="B9" s="57" t="inlineStr">
        <is>
          <t>UKYT-25-007</t>
        </is>
      </c>
      <c r="C9" s="57" t="inlineStr">
        <is>
          <t>South Farm</t>
        </is>
      </c>
      <c r="D9" s="59" t="n">
        <v>46252</v>
      </c>
      <c r="E9" s="57" t="inlineStr">
        <is>
          <t>Third</t>
        </is>
      </c>
      <c r="F9" s="57" t="inlineStr">
        <is>
          <t>Advanced breeding</t>
        </is>
      </c>
      <c r="G9" s="57" t="n">
        <v>365</v>
      </c>
      <c r="H9" s="57" t="n">
        <v>5989</v>
      </c>
      <c r="I9" s="58" t="inlineStr">
        <is>
          <t>N/A</t>
        </is>
      </c>
      <c r="J9" s="57" t="inlineStr">
        <is>
          <t>UKY-25-007</t>
        </is>
      </c>
      <c r="K9" s="58" t="inlineStr">
        <is>
          <t>N/A</t>
        </is>
      </c>
      <c r="L9" s="57" t="inlineStr">
        <is>
          <t>Nam</t>
        </is>
      </c>
    </row>
    <row r="10" ht="25" customHeight="1" s="55">
      <c r="A10" s="57" t="n">
        <v>9</v>
      </c>
      <c r="B10" s="57" t="inlineStr">
        <is>
          <t>UKYT-25-007</t>
        </is>
      </c>
      <c r="C10" s="57" t="inlineStr">
        <is>
          <t>South Farm</t>
        </is>
      </c>
      <c r="D10" s="59" t="n">
        <v>46252</v>
      </c>
      <c r="E10" s="57" t="inlineStr">
        <is>
          <t>Third</t>
        </is>
      </c>
      <c r="F10" s="57" t="inlineStr">
        <is>
          <t>Advanced breeding</t>
        </is>
      </c>
      <c r="G10" s="57" t="n">
        <v>390</v>
      </c>
      <c r="H10" s="57" t="n">
        <v>2161</v>
      </c>
      <c r="I10" s="58" t="inlineStr">
        <is>
          <t>N/A</t>
        </is>
      </c>
      <c r="J10" s="57" t="inlineStr">
        <is>
          <t>UKY-25-007</t>
        </is>
      </c>
      <c r="K10" s="58" t="inlineStr">
        <is>
          <t>N/A</t>
        </is>
      </c>
      <c r="L10" s="57" t="inlineStr">
        <is>
          <t>Nam</t>
        </is>
      </c>
    </row>
    <row r="11" ht="25" customHeight="1" s="55">
      <c r="A11" s="57" t="n">
        <v>10</v>
      </c>
      <c r="B11" s="57" t="inlineStr">
        <is>
          <t>UKYT-25-006</t>
        </is>
      </c>
      <c r="C11" s="57" t="inlineStr">
        <is>
          <t>South Farm</t>
        </is>
      </c>
      <c r="D11" s="59" t="n">
        <v>46252</v>
      </c>
      <c r="E11" s="57" t="inlineStr">
        <is>
          <t>Third</t>
        </is>
      </c>
      <c r="F11" s="57" t="inlineStr">
        <is>
          <t>Advanced breeding</t>
        </is>
      </c>
      <c r="G11" s="57" t="n">
        <v>379</v>
      </c>
      <c r="H11" s="57" t="n">
        <v>3110</v>
      </c>
      <c r="I11" s="58" t="inlineStr">
        <is>
          <t>N/A</t>
        </is>
      </c>
      <c r="J11" s="57" t="inlineStr">
        <is>
          <t>UKY-25-006</t>
        </is>
      </c>
      <c r="K11" s="58" t="inlineStr">
        <is>
          <t>N/A</t>
        </is>
      </c>
      <c r="L11" s="57" t="inlineStr">
        <is>
          <t>Nam</t>
        </is>
      </c>
    </row>
    <row r="12" ht="25" customHeight="1" s="55">
      <c r="A12" s="57" t="n">
        <v>11</v>
      </c>
      <c r="B12" s="57" t="inlineStr">
        <is>
          <t>UKYT-26-002</t>
        </is>
      </c>
      <c r="C12" s="57" t="inlineStr">
        <is>
          <t>South Farm</t>
        </is>
      </c>
      <c r="D12" s="59" t="n">
        <v>46252</v>
      </c>
      <c r="E12" s="57" t="inlineStr">
        <is>
          <t>Third</t>
        </is>
      </c>
      <c r="F12" s="57" t="inlineStr">
        <is>
          <t>Advanced breeding</t>
        </is>
      </c>
      <c r="G12" s="57" t="n">
        <v>1569</v>
      </c>
      <c r="H12" s="57" t="n">
        <v>4957</v>
      </c>
      <c r="I12" s="58" t="inlineStr">
        <is>
          <t>N/A</t>
        </is>
      </c>
      <c r="J12" s="57" t="inlineStr">
        <is>
          <t>UKY-26-002</t>
        </is>
      </c>
      <c r="K12" s="58" t="inlineStr">
        <is>
          <t>N/A</t>
        </is>
      </c>
      <c r="L12" s="57" t="inlineStr">
        <is>
          <t>Nam</t>
        </is>
      </c>
    </row>
    <row r="13" ht="25" customHeight="1" s="55">
      <c r="A13" s="57" t="n">
        <v>12</v>
      </c>
      <c r="B13" s="57" t="inlineStr">
        <is>
          <t>UKYT-25-014</t>
        </is>
      </c>
      <c r="C13" s="57" t="inlineStr">
        <is>
          <t>South Farm</t>
        </is>
      </c>
      <c r="D13" s="59" t="n">
        <v>46252</v>
      </c>
      <c r="E13" s="57" t="inlineStr">
        <is>
          <t>Third</t>
        </is>
      </c>
      <c r="F13" s="57" t="inlineStr">
        <is>
          <t>Advanced breeding</t>
        </is>
      </c>
      <c r="G13" s="57" t="n">
        <v>318</v>
      </c>
      <c r="H13" s="57" t="n">
        <v>3167</v>
      </c>
      <c r="I13" s="58" t="inlineStr">
        <is>
          <t>N/A</t>
        </is>
      </c>
      <c r="J13" s="57" t="inlineStr">
        <is>
          <t>UKY-25-014</t>
        </is>
      </c>
      <c r="K13" s="58" t="inlineStr">
        <is>
          <t>N/A</t>
        </is>
      </c>
      <c r="L13" s="57" t="inlineStr">
        <is>
          <t>Nam</t>
        </is>
      </c>
    </row>
    <row r="14" ht="25" customHeight="1" s="55">
      <c r="A14" s="57" t="n">
        <v>13</v>
      </c>
      <c r="B14" s="57" t="inlineStr">
        <is>
          <t>UKYT-25-001</t>
        </is>
      </c>
      <c r="C14" s="57" t="inlineStr">
        <is>
          <t>South Farm</t>
        </is>
      </c>
      <c r="D14" s="59" t="n">
        <v>46252</v>
      </c>
      <c r="E14" s="57" t="inlineStr">
        <is>
          <t>Third</t>
        </is>
      </c>
      <c r="F14" s="57" t="inlineStr">
        <is>
          <t>Advanced breeding</t>
        </is>
      </c>
      <c r="G14" s="57" t="n">
        <v>215</v>
      </c>
      <c r="H14" s="57" t="n">
        <v>1244</v>
      </c>
      <c r="I14" s="58" t="inlineStr">
        <is>
          <t>N/A</t>
        </is>
      </c>
      <c r="J14" s="57" t="inlineStr">
        <is>
          <t>UKY-25-001</t>
        </is>
      </c>
      <c r="K14" s="58" t="inlineStr">
        <is>
          <t>N/A</t>
        </is>
      </c>
      <c r="L14" s="57" t="inlineStr">
        <is>
          <t>Nam</t>
        </is>
      </c>
    </row>
    <row r="15" ht="25" customHeight="1" s="55">
      <c r="A15" s="57" t="n">
        <v>14</v>
      </c>
      <c r="B15" s="57" t="inlineStr">
        <is>
          <t>UKYT-25-002</t>
        </is>
      </c>
      <c r="C15" s="57" t="inlineStr">
        <is>
          <t>South Farm</t>
        </is>
      </c>
      <c r="D15" s="59" t="n">
        <v>46252</v>
      </c>
      <c r="E15" s="57" t="inlineStr">
        <is>
          <t>Third</t>
        </is>
      </c>
      <c r="F15" s="57" t="inlineStr">
        <is>
          <t>Advanced breeding</t>
        </is>
      </c>
      <c r="G15" s="57" t="n">
        <v>329</v>
      </c>
      <c r="H15" s="57" t="n">
        <v>2755</v>
      </c>
      <c r="I15" s="58" t="inlineStr">
        <is>
          <t>N/A</t>
        </is>
      </c>
      <c r="J15" s="57" t="inlineStr">
        <is>
          <t>UKY-25-002</t>
        </is>
      </c>
      <c r="K15" s="58" t="inlineStr">
        <is>
          <t>N/A</t>
        </is>
      </c>
      <c r="L15" s="57" t="inlineStr">
        <is>
          <t>Nam</t>
        </is>
      </c>
    </row>
    <row r="16" ht="25" customHeight="1" s="55">
      <c r="A16" s="57" t="n">
        <v>15</v>
      </c>
      <c r="B16" s="57" t="inlineStr">
        <is>
          <t>UKYT-26-010</t>
        </is>
      </c>
      <c r="C16" s="57" t="inlineStr">
        <is>
          <t>South Farm</t>
        </is>
      </c>
      <c r="D16" s="59" t="n">
        <v>46252</v>
      </c>
      <c r="E16" s="57" t="inlineStr">
        <is>
          <t>Third</t>
        </is>
      </c>
      <c r="F16" s="57" t="inlineStr">
        <is>
          <t>Advanced breeding</t>
        </is>
      </c>
      <c r="G16" s="57" t="n">
        <v>3371</v>
      </c>
      <c r="H16" s="57" t="n">
        <v>8691</v>
      </c>
      <c r="I16" s="58" t="inlineStr">
        <is>
          <t>N/A</t>
        </is>
      </c>
      <c r="J16" s="57" t="inlineStr">
        <is>
          <t>UKY-26-010</t>
        </is>
      </c>
      <c r="K16" s="58" t="inlineStr">
        <is>
          <t>N/A</t>
        </is>
      </c>
      <c r="L16" s="57" t="inlineStr">
        <is>
          <t>Nam</t>
        </is>
      </c>
    </row>
    <row r="17" ht="25" customHeight="1" s="55">
      <c r="A17" s="57" t="n">
        <v>16</v>
      </c>
      <c r="B17" s="57" t="inlineStr">
        <is>
          <t>UKYT-25-003</t>
        </is>
      </c>
      <c r="C17" s="57" t="inlineStr">
        <is>
          <t>South Farm</t>
        </is>
      </c>
      <c r="D17" s="59" t="n">
        <v>46252</v>
      </c>
      <c r="E17" s="57" t="inlineStr">
        <is>
          <t>Third</t>
        </is>
      </c>
      <c r="F17" s="57" t="inlineStr">
        <is>
          <t>Advanced breeding</t>
        </is>
      </c>
      <c r="G17" s="57" t="n">
        <v>277</v>
      </c>
      <c r="H17" s="57" t="n">
        <v>6791</v>
      </c>
      <c r="I17" s="58" t="inlineStr">
        <is>
          <t>N/A</t>
        </is>
      </c>
      <c r="J17" s="57" t="inlineStr">
        <is>
          <t>UKY-25-003</t>
        </is>
      </c>
      <c r="K17" s="58" t="inlineStr">
        <is>
          <t>N/A</t>
        </is>
      </c>
      <c r="L17" s="57" t="inlineStr">
        <is>
          <t>Nam</t>
        </is>
      </c>
    </row>
    <row r="18" ht="25" customHeight="1" s="55">
      <c r="A18" s="57" t="n">
        <v>17</v>
      </c>
      <c r="B18" s="57" t="inlineStr">
        <is>
          <t>UKYT-26-003</t>
        </is>
      </c>
      <c r="C18" s="57" t="inlineStr">
        <is>
          <t>South Farm</t>
        </is>
      </c>
      <c r="D18" s="59" t="n">
        <v>46252</v>
      </c>
      <c r="E18" s="57" t="inlineStr">
        <is>
          <t>Third</t>
        </is>
      </c>
      <c r="F18" s="57" t="inlineStr">
        <is>
          <t>Advanced breeding</t>
        </is>
      </c>
      <c r="G18" s="57" t="n">
        <v>2226</v>
      </c>
      <c r="H18" s="57" t="n">
        <v>17918</v>
      </c>
      <c r="I18" s="58" t="inlineStr">
        <is>
          <t>N/A</t>
        </is>
      </c>
      <c r="J18" s="57" t="inlineStr">
        <is>
          <t>UKY-26-003</t>
        </is>
      </c>
      <c r="K18" s="58" t="inlineStr">
        <is>
          <t>N/A</t>
        </is>
      </c>
      <c r="L18" s="57" t="inlineStr">
        <is>
          <t>Nam</t>
        </is>
      </c>
    </row>
    <row r="19" ht="25" customHeight="1" s="55">
      <c r="A19" s="57" t="n">
        <v>18</v>
      </c>
      <c r="B19" s="57" t="inlineStr">
        <is>
          <t>UKYT-26-008</t>
        </is>
      </c>
      <c r="C19" s="57" t="inlineStr">
        <is>
          <t>South Farm</t>
        </is>
      </c>
      <c r="D19" s="59" t="n">
        <v>46252</v>
      </c>
      <c r="E19" s="57" t="inlineStr">
        <is>
          <t>Third</t>
        </is>
      </c>
      <c r="F19" s="57" t="inlineStr">
        <is>
          <t>Advanced breeding</t>
        </is>
      </c>
      <c r="G19" s="57" t="n">
        <v>3575</v>
      </c>
      <c r="H19" s="57" t="n">
        <v>13263</v>
      </c>
      <c r="I19" s="58" t="inlineStr">
        <is>
          <t>N/A</t>
        </is>
      </c>
      <c r="J19" s="57" t="inlineStr">
        <is>
          <t>UKY-26-008</t>
        </is>
      </c>
      <c r="K19" s="58" t="inlineStr">
        <is>
          <t>N/A</t>
        </is>
      </c>
      <c r="L19" s="57" t="inlineStr">
        <is>
          <t>Nam</t>
        </is>
      </c>
    </row>
    <row r="20" ht="25" customHeight="1" s="55">
      <c r="A20" s="57" t="n">
        <v>19</v>
      </c>
      <c r="B20" s="57" t="inlineStr">
        <is>
          <t>UKYT-25-006</t>
        </is>
      </c>
      <c r="C20" s="57" t="inlineStr">
        <is>
          <t>South Farm</t>
        </is>
      </c>
      <c r="D20" s="59" t="n">
        <v>46252</v>
      </c>
      <c r="E20" s="57" t="inlineStr">
        <is>
          <t>Third</t>
        </is>
      </c>
      <c r="F20" s="57" t="inlineStr">
        <is>
          <t>Advanced breeding</t>
        </is>
      </c>
      <c r="G20" s="57" t="n">
        <v>397</v>
      </c>
      <c r="H20" s="57" t="n">
        <v>1990</v>
      </c>
      <c r="I20" s="58" t="inlineStr">
        <is>
          <t>N/A</t>
        </is>
      </c>
      <c r="J20" s="57" t="inlineStr">
        <is>
          <t>UKY-25-006</t>
        </is>
      </c>
      <c r="K20" s="58" t="inlineStr">
        <is>
          <t>N/A</t>
        </is>
      </c>
      <c r="L20" s="57" t="inlineStr">
        <is>
          <t>Nam</t>
        </is>
      </c>
    </row>
    <row r="21" ht="25" customHeight="1" s="55">
      <c r="A21" s="57" t="n">
        <v>20</v>
      </c>
      <c r="B21" s="57" t="inlineStr">
        <is>
          <t>Maglia Rosa Cherry</t>
        </is>
      </c>
      <c r="C21" s="57" t="inlineStr">
        <is>
          <t>South Farm</t>
        </is>
      </c>
      <c r="D21" s="59" t="n">
        <v>46252</v>
      </c>
      <c r="E21" s="57" t="inlineStr">
        <is>
          <t>Third</t>
        </is>
      </c>
      <c r="F21" s="58" t="inlineStr">
        <is>
          <t>N/A</t>
        </is>
      </c>
      <c r="G21" s="57" t="n">
        <v>415</v>
      </c>
      <c r="H21" s="57" t="n">
        <v>6343</v>
      </c>
      <c r="I21" s="57" t="inlineStr">
        <is>
          <t>Rosa Cherry</t>
        </is>
      </c>
      <c r="J21" s="57" t="inlineStr">
        <is>
          <t>Magnolia Rosa Cherry</t>
        </is>
      </c>
      <c r="K21" s="58" t="inlineStr">
        <is>
          <t>N/A</t>
        </is>
      </c>
      <c r="L21" s="57" t="inlineStr">
        <is>
          <t>Nam</t>
        </is>
      </c>
    </row>
    <row r="22" ht="25" customHeight="1" s="55">
      <c r="A22" s="57" t="n">
        <v>21</v>
      </c>
      <c r="B22" s="57" t="inlineStr">
        <is>
          <t>UKYT-26-021</t>
        </is>
      </c>
      <c r="C22" s="57" t="inlineStr">
        <is>
          <t>South Farm</t>
        </is>
      </c>
      <c r="D22" s="59" t="n">
        <v>46252</v>
      </c>
      <c r="E22" s="57" t="inlineStr">
        <is>
          <t>Third</t>
        </is>
      </c>
      <c r="F22" s="57" t="inlineStr">
        <is>
          <t>Advanced breeding</t>
        </is>
      </c>
      <c r="G22" s="57" t="n"/>
      <c r="H22" s="57" t="n">
        <v>868</v>
      </c>
      <c r="I22" s="57" t="inlineStr">
        <is>
          <t xml:space="preserve">Two counts </t>
        </is>
      </c>
      <c r="J22" s="57" t="inlineStr">
        <is>
          <t>UKY-26-021</t>
        </is>
      </c>
      <c r="K22" s="58" t="inlineStr">
        <is>
          <t>N/A</t>
        </is>
      </c>
      <c r="L22" s="57" t="inlineStr">
        <is>
          <t>Nam</t>
        </is>
      </c>
    </row>
    <row r="23" ht="25" customHeight="1" s="55">
      <c r="A23" s="57" t="n">
        <v>22</v>
      </c>
      <c r="B23" s="57" t="inlineStr">
        <is>
          <t>UKYT-26-023</t>
        </is>
      </c>
      <c r="C23" s="57" t="inlineStr">
        <is>
          <t>South Farm</t>
        </is>
      </c>
      <c r="D23" s="59" t="n">
        <v>46252</v>
      </c>
      <c r="E23" s="57" t="inlineStr">
        <is>
          <t>Third</t>
        </is>
      </c>
      <c r="F23" s="57" t="inlineStr">
        <is>
          <t>Advanced breeding</t>
        </is>
      </c>
      <c r="G23" s="57" t="n"/>
      <c r="H23" s="57" t="n">
        <v>1815</v>
      </c>
      <c r="I23" s="57" t="inlineStr">
        <is>
          <t xml:space="preserve">Four counts </t>
        </is>
      </c>
      <c r="J23" s="57" t="inlineStr">
        <is>
          <t>UKY-26-023</t>
        </is>
      </c>
      <c r="K23" s="58" t="inlineStr">
        <is>
          <t>N/A</t>
        </is>
      </c>
      <c r="L23" s="57" t="inlineStr">
        <is>
          <t>Nam</t>
        </is>
      </c>
    </row>
    <row r="24" ht="25" customHeight="1" s="55">
      <c r="A24" s="57" t="n">
        <v>23</v>
      </c>
      <c r="B24" s="57" t="inlineStr">
        <is>
          <t>UKYT-25-009</t>
        </is>
      </c>
      <c r="C24" s="57" t="inlineStr">
        <is>
          <t>South Farm</t>
        </is>
      </c>
      <c r="D24" s="59" t="n">
        <v>46252</v>
      </c>
      <c r="E24" s="57" t="inlineStr">
        <is>
          <t>Third</t>
        </is>
      </c>
      <c r="F24" s="57" t="inlineStr">
        <is>
          <t>Advanced breeding</t>
        </is>
      </c>
      <c r="G24" s="57" t="n">
        <v>362</v>
      </c>
      <c r="H24" s="57" t="n">
        <v>2409</v>
      </c>
      <c r="I24" s="58" t="inlineStr">
        <is>
          <t>N/A</t>
        </is>
      </c>
      <c r="J24" s="57" t="inlineStr">
        <is>
          <t>UKY-25-009</t>
        </is>
      </c>
      <c r="K24" s="58" t="inlineStr">
        <is>
          <t>N/A</t>
        </is>
      </c>
      <c r="L24" s="57" t="inlineStr">
        <is>
          <t>Nam</t>
        </is>
      </c>
    </row>
    <row r="25" ht="25" customHeight="1" s="55">
      <c r="A25" s="57" t="n">
        <v>24</v>
      </c>
      <c r="B25" s="57" t="inlineStr">
        <is>
          <t>UKYT-26-024</t>
        </is>
      </c>
      <c r="C25" s="57" t="inlineStr">
        <is>
          <t>South Farm</t>
        </is>
      </c>
      <c r="D25" s="59" t="n">
        <v>46252</v>
      </c>
      <c r="E25" s="57" t="inlineStr">
        <is>
          <t>Third</t>
        </is>
      </c>
      <c r="F25" s="57" t="inlineStr">
        <is>
          <t>Advanced breeding</t>
        </is>
      </c>
      <c r="G25" s="57" t="n"/>
      <c r="H25" s="57" t="n">
        <v>747</v>
      </c>
      <c r="I25" s="57" t="inlineStr">
        <is>
          <t xml:space="preserve">Four counts </t>
        </is>
      </c>
      <c r="J25" s="57" t="inlineStr">
        <is>
          <t>UKY-26-024</t>
        </is>
      </c>
      <c r="K25" s="58" t="inlineStr">
        <is>
          <t>N/A</t>
        </is>
      </c>
      <c r="L25" s="57" t="inlineStr">
        <is>
          <t>Nam</t>
        </is>
      </c>
    </row>
    <row r="26" ht="25" customHeight="1" s="55">
      <c r="A26" s="57" t="n">
        <v>25</v>
      </c>
      <c r="B26" s="57" t="inlineStr">
        <is>
          <t>UKYT-25-005</t>
        </is>
      </c>
      <c r="C26" s="57" t="inlineStr">
        <is>
          <t>South Farm</t>
        </is>
      </c>
      <c r="D26" s="59" t="n">
        <v>46252</v>
      </c>
      <c r="E26" s="57" t="inlineStr">
        <is>
          <t>Third</t>
        </is>
      </c>
      <c r="F26" s="57" t="inlineStr">
        <is>
          <t>Advanced breeding</t>
        </is>
      </c>
      <c r="G26" s="57" t="n">
        <v>435</v>
      </c>
      <c r="H26" s="57" t="n">
        <v>10651</v>
      </c>
      <c r="I26" s="58" t="inlineStr">
        <is>
          <t>N/A</t>
        </is>
      </c>
      <c r="J26" s="57" t="inlineStr">
        <is>
          <t>UKY-25-005</t>
        </is>
      </c>
      <c r="K26" s="58" t="inlineStr">
        <is>
          <t>N/A</t>
        </is>
      </c>
      <c r="L26" s="57" t="inlineStr">
        <is>
          <t>Nam</t>
        </is>
      </c>
    </row>
    <row r="27" ht="25" customHeight="1" s="55">
      <c r="A27" s="57" t="n">
        <v>26</v>
      </c>
      <c r="B27" s="57" t="inlineStr">
        <is>
          <t>UKYT-25-015</t>
        </is>
      </c>
      <c r="C27" s="57" t="inlineStr">
        <is>
          <t>South Farm</t>
        </is>
      </c>
      <c r="D27" s="59" t="n">
        <v>46252</v>
      </c>
      <c r="E27" s="57" t="inlineStr">
        <is>
          <t>Third</t>
        </is>
      </c>
      <c r="F27" s="57" t="inlineStr">
        <is>
          <t>Advanced breeding</t>
        </is>
      </c>
      <c r="G27" s="57" t="n">
        <v>397</v>
      </c>
      <c r="H27" s="57" t="n">
        <v>2499</v>
      </c>
      <c r="I27" s="58" t="inlineStr">
        <is>
          <t>N/A</t>
        </is>
      </c>
      <c r="J27" s="57" t="inlineStr">
        <is>
          <t>UKY-25-015</t>
        </is>
      </c>
      <c r="K27" s="58" t="inlineStr">
        <is>
          <t>N/A</t>
        </is>
      </c>
      <c r="L27" s="57" t="inlineStr">
        <is>
          <t>Nam</t>
        </is>
      </c>
    </row>
    <row r="28" ht="25" customHeight="1" s="55">
      <c r="A28" s="57" t="n">
        <v>27</v>
      </c>
      <c r="B28" s="57" t="inlineStr">
        <is>
          <t>UKYT-25-016</t>
        </is>
      </c>
      <c r="C28" s="57" t="inlineStr">
        <is>
          <t>South Farm</t>
        </is>
      </c>
      <c r="D28" s="59" t="n">
        <v>46252</v>
      </c>
      <c r="E28" s="57" t="inlineStr">
        <is>
          <t>Third</t>
        </is>
      </c>
      <c r="F28" s="57" t="inlineStr">
        <is>
          <t>Advanced breeding</t>
        </is>
      </c>
      <c r="G28" s="57" t="n"/>
      <c r="H28" s="57" t="n">
        <v>1152</v>
      </c>
      <c r="I28" s="57" t="inlineStr">
        <is>
          <t>Mix so no sample</t>
        </is>
      </c>
      <c r="J28" s="57" t="inlineStr">
        <is>
          <t>UKY-25-016</t>
        </is>
      </c>
      <c r="K28" s="58" t="inlineStr">
        <is>
          <t>N/A</t>
        </is>
      </c>
      <c r="L28" s="57" t="inlineStr">
        <is>
          <t>Nam</t>
        </is>
      </c>
    </row>
    <row r="29" ht="25" customHeight="1" s="55">
      <c r="A29" s="57" t="n">
        <v>28</v>
      </c>
      <c r="B29" s="57" t="inlineStr">
        <is>
          <t>UKYT-25-018</t>
        </is>
      </c>
      <c r="C29" s="57" t="inlineStr">
        <is>
          <t>South Farm</t>
        </is>
      </c>
      <c r="D29" s="59" t="n">
        <v>46252</v>
      </c>
      <c r="E29" s="57" t="inlineStr">
        <is>
          <t>Third</t>
        </is>
      </c>
      <c r="F29" s="57" t="inlineStr">
        <is>
          <t>Advanced breeding</t>
        </is>
      </c>
      <c r="G29" s="57" t="n">
        <v>294</v>
      </c>
      <c r="H29" s="57" t="n">
        <v>294</v>
      </c>
      <c r="I29" s="57" t="inlineStr">
        <is>
          <t>20 counts total</t>
        </is>
      </c>
      <c r="J29" s="57" t="inlineStr">
        <is>
          <t>UKY-25-018</t>
        </is>
      </c>
      <c r="K29" s="58" t="inlineStr">
        <is>
          <t>N/A</t>
        </is>
      </c>
      <c r="L29" s="57" t="inlineStr">
        <is>
          <t>Nam</t>
        </is>
      </c>
    </row>
    <row r="30" ht="25" customHeight="1" s="55">
      <c r="A30" s="57" t="n">
        <v>29</v>
      </c>
      <c r="B30" s="57" t="inlineStr">
        <is>
          <t>UKYT-25-017</t>
        </is>
      </c>
      <c r="C30" s="57" t="inlineStr">
        <is>
          <t>South Farm</t>
        </is>
      </c>
      <c r="D30" s="59" t="n">
        <v>46252</v>
      </c>
      <c r="E30" s="57" t="inlineStr">
        <is>
          <t>Third</t>
        </is>
      </c>
      <c r="F30" s="57" t="inlineStr">
        <is>
          <t>Advanced breeding</t>
        </is>
      </c>
      <c r="G30" s="57" t="n">
        <v>425</v>
      </c>
      <c r="H30" s="57" t="n">
        <v>1549</v>
      </c>
      <c r="I30" s="58" t="inlineStr">
        <is>
          <t>N/A</t>
        </is>
      </c>
      <c r="J30" s="57" t="inlineStr">
        <is>
          <t>UKY-25-017</t>
        </is>
      </c>
      <c r="K30" s="58" t="inlineStr">
        <is>
          <t>N/A</t>
        </is>
      </c>
      <c r="L30" s="57" t="inlineStr">
        <is>
          <t>Nam</t>
        </is>
      </c>
    </row>
    <row r="31" ht="25" customHeight="1" s="55">
      <c r="A31" s="57" t="n">
        <v>30</v>
      </c>
      <c r="B31" s="57" t="inlineStr">
        <is>
          <t>UKYT-26-020</t>
        </is>
      </c>
      <c r="C31" s="57" t="inlineStr">
        <is>
          <t>South Farm</t>
        </is>
      </c>
      <c r="D31" s="59" t="n">
        <v>46252</v>
      </c>
      <c r="E31" s="57" t="inlineStr">
        <is>
          <t>Third</t>
        </is>
      </c>
      <c r="F31" s="57" t="inlineStr">
        <is>
          <t>Advanced breeding</t>
        </is>
      </c>
      <c r="G31" s="57" t="n"/>
      <c r="H31" s="57" t="n">
        <v>5011</v>
      </c>
      <c r="I31" s="57" t="inlineStr">
        <is>
          <t>10 counts</t>
        </is>
      </c>
      <c r="J31" s="57" t="inlineStr">
        <is>
          <t>UKY-26-020</t>
        </is>
      </c>
      <c r="K31" s="58" t="inlineStr">
        <is>
          <t>N/A</t>
        </is>
      </c>
      <c r="L31" s="57" t="inlineStr">
        <is>
          <t>Nam</t>
        </is>
      </c>
    </row>
    <row r="32" ht="25" customHeight="1" s="55">
      <c r="A32" s="57" t="n">
        <v>31</v>
      </c>
      <c r="B32" s="57" t="inlineStr">
        <is>
          <t>UKYT-26-022</t>
        </is>
      </c>
      <c r="C32" s="57" t="inlineStr">
        <is>
          <t>South Farm</t>
        </is>
      </c>
      <c r="D32" s="59" t="n">
        <v>46252</v>
      </c>
      <c r="E32" s="57" t="inlineStr">
        <is>
          <t>Third</t>
        </is>
      </c>
      <c r="F32" s="57" t="inlineStr">
        <is>
          <t>Advanced breeding</t>
        </is>
      </c>
      <c r="G32" s="57" t="n"/>
      <c r="H32" s="57" t="n">
        <v>834</v>
      </c>
      <c r="I32" s="57" t="inlineStr">
        <is>
          <t xml:space="preserve">2 counts </t>
        </is>
      </c>
      <c r="J32" s="57" t="inlineStr">
        <is>
          <t>UKY-26-022</t>
        </is>
      </c>
      <c r="K32" s="58" t="inlineStr">
        <is>
          <t>N/A</t>
        </is>
      </c>
      <c r="L32" s="57" t="inlineStr">
        <is>
          <t>Nam</t>
        </is>
      </c>
    </row>
    <row r="33" ht="25" customHeight="1" s="55">
      <c r="A33" s="57" t="n">
        <v>32</v>
      </c>
      <c r="B33" s="57" t="inlineStr">
        <is>
          <t>UKYT-26-014</t>
        </is>
      </c>
      <c r="C33" s="57" t="inlineStr">
        <is>
          <t>South Farm</t>
        </is>
      </c>
      <c r="D33" s="59" t="n">
        <v>46252</v>
      </c>
      <c r="E33" s="57" t="inlineStr">
        <is>
          <t>Third</t>
        </is>
      </c>
      <c r="F33" s="57" t="inlineStr">
        <is>
          <t>Advanced breeding</t>
        </is>
      </c>
      <c r="G33" s="57" t="n"/>
      <c r="H33" s="57" t="n">
        <v>2191</v>
      </c>
      <c r="I33" s="57" t="inlineStr">
        <is>
          <t>9 counts</t>
        </is>
      </c>
      <c r="J33" s="57" t="inlineStr">
        <is>
          <t>UKY-26-014</t>
        </is>
      </c>
      <c r="K33" s="58" t="inlineStr">
        <is>
          <t>N/A</t>
        </is>
      </c>
      <c r="L33" s="57" t="inlineStr">
        <is>
          <t>Nam</t>
        </is>
      </c>
    </row>
    <row r="34" ht="25" customHeight="1" s="55">
      <c r="A34" s="57" t="n">
        <v>33</v>
      </c>
      <c r="B34" s="57" t="inlineStr">
        <is>
          <t>UKYT-26-013</t>
        </is>
      </c>
      <c r="C34" s="57" t="inlineStr">
        <is>
          <t>South Farm</t>
        </is>
      </c>
      <c r="D34" s="59" t="n">
        <v>46252</v>
      </c>
      <c r="E34" s="57" t="inlineStr">
        <is>
          <t>Third</t>
        </is>
      </c>
      <c r="F34" s="57" t="inlineStr">
        <is>
          <t>Advanced breeding</t>
        </is>
      </c>
      <c r="G34" s="57" t="n"/>
      <c r="H34" s="57" t="n">
        <v>1332</v>
      </c>
      <c r="I34" s="57" t="inlineStr">
        <is>
          <t>4 counts</t>
        </is>
      </c>
      <c r="J34" s="57" t="inlineStr">
        <is>
          <t>UKY-26-013</t>
        </is>
      </c>
      <c r="K34" s="58" t="inlineStr">
        <is>
          <t>N/A</t>
        </is>
      </c>
      <c r="L34" s="57" t="inlineStr">
        <is>
          <t>Nam</t>
        </is>
      </c>
    </row>
    <row r="35" ht="25" customHeight="1" s="55">
      <c r="A35" s="57" t="n">
        <v>34</v>
      </c>
      <c r="B35" s="57" t="inlineStr">
        <is>
          <t>UKYT-26-015</t>
        </is>
      </c>
      <c r="C35" s="57" t="inlineStr">
        <is>
          <t>South Farm</t>
        </is>
      </c>
      <c r="D35" s="59" t="n">
        <v>46252</v>
      </c>
      <c r="E35" s="57" t="inlineStr">
        <is>
          <t>Third</t>
        </is>
      </c>
      <c r="F35" s="57" t="inlineStr">
        <is>
          <t>Advanced breeding</t>
        </is>
      </c>
      <c r="G35" s="57" t="n"/>
      <c r="H35" s="57" t="n">
        <v>4929</v>
      </c>
      <c r="I35" s="57" t="inlineStr">
        <is>
          <t>12 counts</t>
        </is>
      </c>
      <c r="J35" s="57" t="inlineStr">
        <is>
          <t>UKY-26-015</t>
        </is>
      </c>
      <c r="K35" s="58" t="inlineStr">
        <is>
          <t>N/A</t>
        </is>
      </c>
      <c r="L35" s="57" t="inlineStr">
        <is>
          <t>Nam</t>
        </is>
      </c>
    </row>
    <row r="36" ht="25" customHeight="1" s="55">
      <c r="A36" s="57" t="n">
        <v>35</v>
      </c>
      <c r="B36" s="57" t="inlineStr">
        <is>
          <t>UKYT-25-011</t>
        </is>
      </c>
      <c r="C36" s="57" t="inlineStr">
        <is>
          <t>South Farm</t>
        </is>
      </c>
      <c r="D36" s="59" t="n">
        <v>46252</v>
      </c>
      <c r="E36" s="57" t="inlineStr">
        <is>
          <t>Third</t>
        </is>
      </c>
      <c r="F36" s="57" t="inlineStr">
        <is>
          <t>Advanced breeding</t>
        </is>
      </c>
      <c r="G36" s="57" t="n">
        <v>417</v>
      </c>
      <c r="H36" s="57" t="n">
        <v>1356</v>
      </c>
      <c r="I36" s="58" t="inlineStr">
        <is>
          <t>N/A</t>
        </is>
      </c>
      <c r="J36" s="57" t="inlineStr">
        <is>
          <t>UKY-25-011</t>
        </is>
      </c>
      <c r="K36" s="58" t="inlineStr">
        <is>
          <t>N/A</t>
        </is>
      </c>
      <c r="L36" s="57" t="inlineStr">
        <is>
          <t>Nam</t>
        </is>
      </c>
    </row>
    <row r="37" ht="25" customHeight="1" s="55">
      <c r="A37" s="57" t="n">
        <v>36</v>
      </c>
      <c r="B37" s="57" t="inlineStr">
        <is>
          <t>UKYT-26-018</t>
        </is>
      </c>
      <c r="C37" s="57" t="inlineStr">
        <is>
          <t>South Farm</t>
        </is>
      </c>
      <c r="D37" s="59" t="n">
        <v>46252</v>
      </c>
      <c r="E37" s="57" t="inlineStr">
        <is>
          <t>Third</t>
        </is>
      </c>
      <c r="F37" s="57" t="inlineStr">
        <is>
          <t>Advanced breeding</t>
        </is>
      </c>
      <c r="G37" s="57" t="n"/>
      <c r="H37" s="57" t="n">
        <v>2773</v>
      </c>
      <c r="I37" s="57" t="inlineStr">
        <is>
          <t>10 counts</t>
        </is>
      </c>
      <c r="J37" s="57" t="inlineStr">
        <is>
          <t>UKY-26-018</t>
        </is>
      </c>
      <c r="K37" s="58" t="inlineStr">
        <is>
          <t>N/A</t>
        </is>
      </c>
      <c r="L37" s="57" t="inlineStr">
        <is>
          <t>Nam</t>
        </is>
      </c>
    </row>
    <row r="38" ht="25" customHeight="1" s="55">
      <c r="A38" s="57" t="n">
        <v>37</v>
      </c>
      <c r="B38" s="57" t="inlineStr">
        <is>
          <t>UKYT-26-017</t>
        </is>
      </c>
      <c r="C38" s="57" t="inlineStr">
        <is>
          <t>South Farm</t>
        </is>
      </c>
      <c r="D38" s="59" t="n">
        <v>46252</v>
      </c>
      <c r="E38" s="57" t="inlineStr">
        <is>
          <t>Third</t>
        </is>
      </c>
      <c r="F38" s="57" t="inlineStr">
        <is>
          <t>Advanced breeding</t>
        </is>
      </c>
      <c r="G38" s="57" t="n"/>
      <c r="H38" s="57" t="n">
        <v>1915</v>
      </c>
      <c r="I38" s="57" t="inlineStr">
        <is>
          <t>6 counts, only one marketable</t>
        </is>
      </c>
      <c r="J38" s="57" t="inlineStr">
        <is>
          <t>UKY-26-017</t>
        </is>
      </c>
      <c r="K38" s="58" t="inlineStr">
        <is>
          <t>N/A</t>
        </is>
      </c>
      <c r="L38" s="57" t="inlineStr">
        <is>
          <t>Nam</t>
        </is>
      </c>
    </row>
    <row r="39" ht="25" customHeight="1" s="55">
      <c r="A39" s="57" t="n">
        <v>38</v>
      </c>
      <c r="B39" s="57" t="inlineStr">
        <is>
          <t>UKYT-26-004</t>
        </is>
      </c>
      <c r="C39" s="57" t="inlineStr">
        <is>
          <t>South Farm</t>
        </is>
      </c>
      <c r="D39" s="59" t="n">
        <v>46252</v>
      </c>
      <c r="E39" s="57" t="inlineStr">
        <is>
          <t>Third</t>
        </is>
      </c>
      <c r="F39" s="57" t="inlineStr">
        <is>
          <t>Advanced breeding</t>
        </is>
      </c>
      <c r="G39" s="57" t="n"/>
      <c r="H39" s="57" t="n">
        <v>3054</v>
      </c>
      <c r="I39" s="57" t="inlineStr">
        <is>
          <t>10 counts</t>
        </is>
      </c>
      <c r="J39" s="57" t="inlineStr">
        <is>
          <t>UKY-26-004</t>
        </is>
      </c>
      <c r="K39" s="58" t="inlineStr">
        <is>
          <t>N/A</t>
        </is>
      </c>
      <c r="L39" s="57" t="inlineStr">
        <is>
          <t>Nam</t>
        </is>
      </c>
    </row>
    <row r="40" ht="25" customHeight="1" s="55">
      <c r="A40" s="57" t="n">
        <v>39</v>
      </c>
      <c r="B40" s="57" t="inlineStr">
        <is>
          <t>UKYT-26-016</t>
        </is>
      </c>
      <c r="C40" s="57" t="inlineStr">
        <is>
          <t>South Farm</t>
        </is>
      </c>
      <c r="D40" s="59" t="n">
        <v>46252</v>
      </c>
      <c r="E40" s="57" t="inlineStr">
        <is>
          <t>Third</t>
        </is>
      </c>
      <c r="F40" s="57" t="inlineStr">
        <is>
          <t>Advanced breeding</t>
        </is>
      </c>
      <c r="G40" s="57" t="n">
        <v>2162</v>
      </c>
      <c r="H40" s="57" t="n">
        <v>3817</v>
      </c>
      <c r="I40" s="58" t="inlineStr">
        <is>
          <t>N/A</t>
        </is>
      </c>
      <c r="J40" s="57" t="inlineStr">
        <is>
          <t>UKY-26-016</t>
        </is>
      </c>
      <c r="K40" s="58" t="inlineStr">
        <is>
          <t>N/A</t>
        </is>
      </c>
      <c r="L40" s="57" t="inlineStr">
        <is>
          <t>Nam</t>
        </is>
      </c>
    </row>
    <row r="41" ht="25" customHeight="1" s="55">
      <c r="A41" s="57" t="n">
        <v>40</v>
      </c>
      <c r="B41" s="57" t="inlineStr">
        <is>
          <t>UKYT-26-005</t>
        </is>
      </c>
      <c r="C41" s="57" t="inlineStr">
        <is>
          <t>South Farm</t>
        </is>
      </c>
      <c r="D41" s="59" t="n">
        <v>46252</v>
      </c>
      <c r="E41" s="57" t="inlineStr">
        <is>
          <t>Third</t>
        </is>
      </c>
      <c r="F41" s="57" t="inlineStr">
        <is>
          <t>Advanced breeding</t>
        </is>
      </c>
      <c r="G41" s="57" t="n">
        <v>2497</v>
      </c>
      <c r="H41" s="57" t="n">
        <v>8113</v>
      </c>
      <c r="I41" s="58" t="inlineStr">
        <is>
          <t>N/A</t>
        </is>
      </c>
      <c r="J41" s="57" t="inlineStr">
        <is>
          <t>UKY-26-005</t>
        </is>
      </c>
      <c r="K41" s="58" t="inlineStr">
        <is>
          <t>N/A</t>
        </is>
      </c>
      <c r="L41" s="57" t="inlineStr">
        <is>
          <t>Nam</t>
        </is>
      </c>
    </row>
    <row r="42" ht="25" customHeight="1" s="55">
      <c r="A42" s="57" t="n">
        <v>41</v>
      </c>
      <c r="B42" s="57" t="inlineStr">
        <is>
          <t>UKYT-26-026</t>
        </is>
      </c>
      <c r="C42" s="57" t="inlineStr">
        <is>
          <t>South Farm</t>
        </is>
      </c>
      <c r="D42" s="59" t="n">
        <v>46252</v>
      </c>
      <c r="E42" s="57" t="inlineStr">
        <is>
          <t>Third</t>
        </is>
      </c>
      <c r="F42" s="57" t="inlineStr">
        <is>
          <t>Advanced breeding</t>
        </is>
      </c>
      <c r="G42" s="57" t="n"/>
      <c r="H42" s="57" t="n">
        <v>2876</v>
      </c>
      <c r="I42" s="57" t="inlineStr">
        <is>
          <t>4 counts</t>
        </is>
      </c>
      <c r="J42" s="57" t="inlineStr">
        <is>
          <t>UKY-26-026</t>
        </is>
      </c>
      <c r="K42" s="58" t="inlineStr">
        <is>
          <t>N/A</t>
        </is>
      </c>
      <c r="L42" s="57" t="inlineStr">
        <is>
          <t>Nam</t>
        </is>
      </c>
    </row>
    <row r="43" ht="25" customHeight="1" s="55">
      <c r="A43" s="57" t="n">
        <v>42</v>
      </c>
      <c r="B43" s="57" t="inlineStr">
        <is>
          <t>UKYT-26-019</t>
        </is>
      </c>
      <c r="C43" s="57" t="inlineStr">
        <is>
          <t>South Farm</t>
        </is>
      </c>
      <c r="D43" s="59" t="n">
        <v>46252</v>
      </c>
      <c r="E43" s="57" t="inlineStr">
        <is>
          <t>Third</t>
        </is>
      </c>
      <c r="F43" s="57" t="inlineStr">
        <is>
          <t>Advanced breeding</t>
        </is>
      </c>
      <c r="G43" s="57" t="n"/>
      <c r="H43" s="57" t="n">
        <v>1422</v>
      </c>
      <c r="I43" s="57" t="inlineStr">
        <is>
          <t>3 counts</t>
        </is>
      </c>
      <c r="J43" s="57" t="inlineStr">
        <is>
          <t>UKY-26-019</t>
        </is>
      </c>
      <c r="K43" s="58" t="inlineStr">
        <is>
          <t>N/A</t>
        </is>
      </c>
      <c r="L43" s="57" t="inlineStr">
        <is>
          <t>Nam</t>
        </is>
      </c>
    </row>
    <row r="44" ht="25" customHeight="1" s="55">
      <c r="A44" s="57" t="n">
        <v>43</v>
      </c>
      <c r="B44" s="57" t="inlineStr">
        <is>
          <t>UKYT-25-010</t>
        </is>
      </c>
      <c r="C44" s="57" t="inlineStr">
        <is>
          <t>South Farm</t>
        </is>
      </c>
      <c r="D44" s="59" t="n">
        <v>46252</v>
      </c>
      <c r="E44" s="57" t="inlineStr">
        <is>
          <t>Third</t>
        </is>
      </c>
      <c r="F44" s="57" t="inlineStr">
        <is>
          <t>Advanced breeding</t>
        </is>
      </c>
      <c r="G44" s="57" t="n">
        <v>409</v>
      </c>
      <c r="H44" s="57" t="n">
        <v>650</v>
      </c>
      <c r="I44" s="58" t="inlineStr">
        <is>
          <t>N/A</t>
        </is>
      </c>
      <c r="J44" s="57" t="inlineStr">
        <is>
          <t>UKY-25-010</t>
        </is>
      </c>
      <c r="K44" s="58" t="inlineStr">
        <is>
          <t>N/A</t>
        </is>
      </c>
      <c r="L44" s="57" t="inlineStr">
        <is>
          <t>Nam</t>
        </is>
      </c>
    </row>
    <row r="45" ht="25" customHeight="1" s="55">
      <c r="A45" s="57" t="n">
        <v>44</v>
      </c>
      <c r="B45" s="57" t="inlineStr">
        <is>
          <t>UKYT-25-012</t>
        </is>
      </c>
      <c r="C45" s="57" t="inlineStr">
        <is>
          <t>South Farm</t>
        </is>
      </c>
      <c r="D45" s="59" t="n">
        <v>46252</v>
      </c>
      <c r="E45" s="57" t="inlineStr">
        <is>
          <t>Third</t>
        </is>
      </c>
      <c r="F45" s="57" t="inlineStr">
        <is>
          <t>Advanced breeding</t>
        </is>
      </c>
      <c r="G45" s="57" t="n">
        <v>302</v>
      </c>
      <c r="H45" s="57" t="n">
        <v>1743</v>
      </c>
      <c r="I45" s="58" t="inlineStr">
        <is>
          <t>N/A</t>
        </is>
      </c>
      <c r="J45" s="57" t="inlineStr">
        <is>
          <t>UKY-25-012</t>
        </is>
      </c>
      <c r="K45" s="58" t="inlineStr">
        <is>
          <t>N/A</t>
        </is>
      </c>
      <c r="L45" s="57" t="inlineStr">
        <is>
          <t>Nam</t>
        </is>
      </c>
    </row>
    <row r="46" ht="25" customHeight="1" s="55">
      <c r="A46" s="57" t="n">
        <v>45</v>
      </c>
      <c r="B46" s="57" t="inlineStr">
        <is>
          <t>UKYT-26-027</t>
        </is>
      </c>
      <c r="C46" s="57" t="inlineStr">
        <is>
          <t>South Farm</t>
        </is>
      </c>
      <c r="D46" s="59" t="n">
        <v>46252</v>
      </c>
      <c r="E46" s="57" t="inlineStr">
        <is>
          <t>Third</t>
        </is>
      </c>
      <c r="F46" s="57" t="inlineStr">
        <is>
          <t>Advanced breeding</t>
        </is>
      </c>
      <c r="G46" s="57" t="n"/>
      <c r="H46" s="57" t="n">
        <v>2542</v>
      </c>
      <c r="I46" s="57" t="inlineStr">
        <is>
          <t xml:space="preserve">17 counts </t>
        </is>
      </c>
      <c r="J46" s="57" t="inlineStr">
        <is>
          <t>UKY-26-027</t>
        </is>
      </c>
      <c r="K46" s="58" t="inlineStr">
        <is>
          <t>N/A</t>
        </is>
      </c>
      <c r="L46" s="57" t="inlineStr">
        <is>
          <t>Nam</t>
        </is>
      </c>
    </row>
    <row r="47" ht="25" customHeight="1" s="55">
      <c r="A47" s="57" t="n">
        <v>46</v>
      </c>
      <c r="B47" s="57" t="inlineStr">
        <is>
          <t>Mountain Fresh</t>
        </is>
      </c>
      <c r="C47" s="57" t="inlineStr">
        <is>
          <t>South Farm</t>
        </is>
      </c>
      <c r="D47" s="59" t="n">
        <v>46252</v>
      </c>
      <c r="E47" s="57" t="inlineStr">
        <is>
          <t>Third</t>
        </is>
      </c>
      <c r="F47" s="58" t="inlineStr">
        <is>
          <t>N/A</t>
        </is>
      </c>
      <c r="G47" s="57" t="n">
        <v>5497</v>
      </c>
      <c r="H47" s="57" t="n">
        <v>6888</v>
      </c>
      <c r="I47" s="58" t="inlineStr">
        <is>
          <t>N/A</t>
        </is>
      </c>
      <c r="J47" s="57" t="inlineStr">
        <is>
          <t>Mountain Fresh</t>
        </is>
      </c>
      <c r="K47" s="58" t="inlineStr">
        <is>
          <t>N/A</t>
        </is>
      </c>
      <c r="L47" s="57" t="inlineStr">
        <is>
          <t>Nam</t>
        </is>
      </c>
    </row>
    <row r="48" ht="25" customHeight="1" s="55">
      <c r="A48" s="57" t="n">
        <v>47</v>
      </c>
      <c r="B48" s="57" t="inlineStr">
        <is>
          <t>UKYT-26-039</t>
        </is>
      </c>
      <c r="C48" s="57" t="inlineStr">
        <is>
          <t>South Farm</t>
        </is>
      </c>
      <c r="D48" s="59" t="n">
        <v>46252</v>
      </c>
      <c r="E48" s="57" t="inlineStr">
        <is>
          <t>Third</t>
        </is>
      </c>
      <c r="F48" s="57" t="inlineStr">
        <is>
          <t>Advanced breeding</t>
        </is>
      </c>
      <c r="G48" s="57" t="n">
        <v>4796</v>
      </c>
      <c r="H48" s="57" t="n">
        <v>4204</v>
      </c>
      <c r="I48" s="57" t="inlineStr">
        <is>
          <t xml:space="preserve">17 counts , mixed </t>
        </is>
      </c>
      <c r="J48" s="57" t="inlineStr">
        <is>
          <t>UKY-26-039</t>
        </is>
      </c>
      <c r="K48" s="58" t="inlineStr">
        <is>
          <t>N/A</t>
        </is>
      </c>
      <c r="L48" s="57" t="inlineStr">
        <is>
          <t>Nam</t>
        </is>
      </c>
    </row>
    <row r="49" ht="25" customHeight="1" s="55">
      <c r="A49" s="57" t="n">
        <v>48</v>
      </c>
      <c r="B49" s="57" t="inlineStr">
        <is>
          <t>UKYT-26-028</t>
        </is>
      </c>
      <c r="C49" s="57" t="inlineStr">
        <is>
          <t>South Farm</t>
        </is>
      </c>
      <c r="D49" s="59" t="n">
        <v>46252</v>
      </c>
      <c r="E49" s="57" t="inlineStr">
        <is>
          <t>Third</t>
        </is>
      </c>
      <c r="F49" s="57" t="inlineStr">
        <is>
          <t>Advanced breeding</t>
        </is>
      </c>
      <c r="G49" s="57" t="n"/>
      <c r="H49" s="57" t="n">
        <v>5737</v>
      </c>
      <c r="I49" s="58" t="inlineStr">
        <is>
          <t>N/A</t>
        </is>
      </c>
      <c r="J49" s="57" t="inlineStr">
        <is>
          <t>UKY-26-028</t>
        </is>
      </c>
      <c r="K49" s="58" t="inlineStr">
        <is>
          <t>N/A</t>
        </is>
      </c>
      <c r="L49" s="57" t="inlineStr">
        <is>
          <t>Nam</t>
        </is>
      </c>
    </row>
    <row r="50" ht="25" customHeight="1" s="55">
      <c r="A50" s="57" t="n">
        <v>49</v>
      </c>
      <c r="B50" s="57" t="inlineStr">
        <is>
          <t>UKYT-26-044</t>
        </is>
      </c>
      <c r="C50" s="57" t="inlineStr">
        <is>
          <t>South Farm</t>
        </is>
      </c>
      <c r="D50" s="59" t="n">
        <v>46252</v>
      </c>
      <c r="E50" s="57" t="inlineStr">
        <is>
          <t>Third</t>
        </is>
      </c>
      <c r="F50" s="58" t="inlineStr">
        <is>
          <t>N/A</t>
        </is>
      </c>
      <c r="G50" s="57" t="n"/>
      <c r="H50" s="57" t="n">
        <v>2356</v>
      </c>
      <c r="I50" s="57" t="inlineStr">
        <is>
          <t>11 counts</t>
        </is>
      </c>
      <c r="J50" s="57" t="inlineStr">
        <is>
          <t>UKY-26-044</t>
        </is>
      </c>
      <c r="K50" s="58" t="inlineStr">
        <is>
          <t>N/A</t>
        </is>
      </c>
      <c r="L50" s="57" t="inlineStr">
        <is>
          <t>Nam</t>
        </is>
      </c>
    </row>
    <row r="51" ht="25" customHeight="1" s="55">
      <c r="A51" s="57" t="n">
        <v>50</v>
      </c>
      <c r="B51" s="57" t="inlineStr">
        <is>
          <t>UKYT-26-034</t>
        </is>
      </c>
      <c r="C51" s="57" t="inlineStr">
        <is>
          <t>South Farm</t>
        </is>
      </c>
      <c r="D51" s="59" t="n">
        <v>46252</v>
      </c>
      <c r="E51" s="57" t="inlineStr">
        <is>
          <t>Third</t>
        </is>
      </c>
      <c r="F51" s="57" t="inlineStr">
        <is>
          <t>Advanced breeding</t>
        </is>
      </c>
      <c r="G51" s="57" t="n"/>
      <c r="H51" s="57" t="n">
        <v>1205</v>
      </c>
      <c r="I51" s="57" t="inlineStr">
        <is>
          <t xml:space="preserve">12 counts </t>
        </is>
      </c>
      <c r="J51" s="57" t="inlineStr">
        <is>
          <t>UKY-26-034</t>
        </is>
      </c>
      <c r="K51" s="58" t="inlineStr">
        <is>
          <t>N/A</t>
        </is>
      </c>
      <c r="L51" s="57" t="inlineStr">
        <is>
          <t>Nam</t>
        </is>
      </c>
    </row>
    <row r="52" ht="25" customHeight="1" s="55">
      <c r="A52" s="57" t="n">
        <v>51</v>
      </c>
      <c r="B52" s="57" t="inlineStr">
        <is>
          <t>UKYT-26-036</t>
        </is>
      </c>
      <c r="C52" s="57" t="inlineStr">
        <is>
          <t>South Farm</t>
        </is>
      </c>
      <c r="D52" s="59" t="n">
        <v>46252</v>
      </c>
      <c r="E52" s="57" t="inlineStr">
        <is>
          <t>Third</t>
        </is>
      </c>
      <c r="F52" s="57" t="inlineStr">
        <is>
          <t>Advanced breeding</t>
        </is>
      </c>
      <c r="G52" s="57" t="n">
        <v>3738</v>
      </c>
      <c r="H52" s="57" t="n">
        <v>8649</v>
      </c>
      <c r="I52" s="58" t="inlineStr">
        <is>
          <t>N/A</t>
        </is>
      </c>
      <c r="J52" s="57" t="inlineStr">
        <is>
          <t>UKY-26-036</t>
        </is>
      </c>
      <c r="K52" s="58" t="inlineStr">
        <is>
          <t>N/A</t>
        </is>
      </c>
      <c r="L52" s="57" t="inlineStr">
        <is>
          <t>Nam</t>
        </is>
      </c>
    </row>
    <row r="53" ht="25" customHeight="1" s="55">
      <c r="A53" s="57" t="n">
        <v>52</v>
      </c>
      <c r="B53" s="57" t="inlineStr">
        <is>
          <t>Cherokee Purple</t>
        </is>
      </c>
      <c r="C53" s="57" t="inlineStr">
        <is>
          <t>South Farm</t>
        </is>
      </c>
      <c r="D53" s="59" t="n">
        <v>46252</v>
      </c>
      <c r="E53" s="57" t="inlineStr">
        <is>
          <t>Third</t>
        </is>
      </c>
      <c r="F53" s="57" t="inlineStr">
        <is>
          <t>Advanced breeding</t>
        </is>
      </c>
      <c r="G53" s="57" t="n"/>
      <c r="H53" s="57" t="n">
        <v>5427</v>
      </c>
      <c r="I53" s="57" t="inlineStr">
        <is>
          <t>mixed, seems like only one from the Cherokee Purple</t>
        </is>
      </c>
      <c r="J53" s="57" t="inlineStr">
        <is>
          <t>Cherokee Purple</t>
        </is>
      </c>
      <c r="K53" s="58" t="inlineStr">
        <is>
          <t>N/A</t>
        </is>
      </c>
      <c r="L53" s="57" t="inlineStr">
        <is>
          <t>Nam</t>
        </is>
      </c>
    </row>
    <row r="54" ht="25" customHeight="1" s="55">
      <c r="A54" s="57" t="n">
        <v>53</v>
      </c>
      <c r="B54" s="57" t="inlineStr">
        <is>
          <t>UKYT-26-037</t>
        </is>
      </c>
      <c r="C54" s="57" t="inlineStr">
        <is>
          <t>South Farm</t>
        </is>
      </c>
      <c r="D54" s="59" t="n">
        <v>46252</v>
      </c>
      <c r="E54" s="57" t="inlineStr">
        <is>
          <t>Third</t>
        </is>
      </c>
      <c r="F54" s="57" t="inlineStr">
        <is>
          <t>Advanced breeding</t>
        </is>
      </c>
      <c r="G54" s="57" t="n">
        <v>2066</v>
      </c>
      <c r="H54" s="57" t="n">
        <v>3307</v>
      </c>
      <c r="I54" s="58" t="inlineStr">
        <is>
          <t>N/A</t>
        </is>
      </c>
      <c r="J54" s="57" t="inlineStr">
        <is>
          <t>UKY-26-037</t>
        </is>
      </c>
      <c r="K54" s="58" t="inlineStr">
        <is>
          <t>N/A</t>
        </is>
      </c>
      <c r="L54" s="57" t="inlineStr">
        <is>
          <t>Nam</t>
        </is>
      </c>
    </row>
  </sheetData>
  <autoFilter ref="A1:L54"/>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L9"/>
  <sheetViews>
    <sheetView showGridLines="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13" customWidth="1" style="55" min="2" max="3"/>
    <col width="12" customWidth="1" style="55" min="3" max="3"/>
    <col width="21" customWidth="1" style="55" min="4" max="4"/>
    <col width="9" customWidth="1" style="55" min="5" max="5"/>
    <col width="19" customWidth="1" style="55" min="6" max="6"/>
    <col width="13" customWidth="1" style="55" min="7" max="7"/>
    <col width="24" customWidth="1" style="55" min="8" max="8"/>
    <col width="18" customWidth="1" style="55" min="9" max="9"/>
    <col width="18" customWidth="1" style="55" min="10" max="10"/>
    <col width="11" customWidth="1" style="55" min="11" max="11"/>
    <col width="12" customWidth="1" style="55" min="12" max="12"/>
  </cols>
  <sheetData>
    <row r="1" ht="18" customHeight="1" s="55">
      <c r="A1" s="56" t="inlineStr">
        <is>
          <t>SN</t>
        </is>
      </c>
      <c r="B1" s="56" t="inlineStr">
        <is>
          <t>Genotypes</t>
        </is>
      </c>
      <c r="C1" s="56" t="inlineStr">
        <is>
          <t>Location</t>
        </is>
      </c>
      <c r="D1" s="56" t="inlineStr">
        <is>
          <t>Date of harvest</t>
        </is>
      </c>
      <c r="E1" s="56" t="inlineStr">
        <is>
          <t>Harvest</t>
        </is>
      </c>
      <c r="F1" s="56" t="inlineStr">
        <is>
          <t>Experiment</t>
        </is>
      </c>
      <c r="G1" s="56" t="inlineStr">
        <is>
          <t>Fruit count</t>
        </is>
      </c>
      <c r="H1" s="56" t="inlineStr">
        <is>
          <t>Weight of 20 fruit (g)</t>
        </is>
      </c>
      <c r="I1" s="56" t="inlineStr">
        <is>
          <t>Total Weight (g)</t>
        </is>
      </c>
      <c r="J1" s="56" t="inlineStr">
        <is>
          <t>Genotype_raw</t>
        </is>
      </c>
      <c r="K1" s="56" t="inlineStr">
        <is>
          <t>Replicate</t>
        </is>
      </c>
      <c r="L1" s="56" t="inlineStr">
        <is>
          <t>Entered_by</t>
        </is>
      </c>
    </row>
    <row r="2" ht="25" customHeight="1" s="55">
      <c r="A2" s="57" t="n">
        <v>1</v>
      </c>
      <c r="B2" s="57" t="inlineStr">
        <is>
          <t>UKYT-26-041</t>
        </is>
      </c>
      <c r="C2" s="57" t="inlineStr">
        <is>
          <t>South Farm</t>
        </is>
      </c>
      <c r="D2" s="59" t="n">
        <v>46252</v>
      </c>
      <c r="E2" s="57" t="inlineStr">
        <is>
          <t>Third</t>
        </is>
      </c>
      <c r="F2" s="58" t="inlineStr">
        <is>
          <t>N/A</t>
        </is>
      </c>
      <c r="G2" s="57" t="n"/>
      <c r="H2" s="57" t="n"/>
      <c r="I2" s="57" t="n">
        <v>462.7</v>
      </c>
      <c r="J2" s="57" t="inlineStr">
        <is>
          <t>26-41</t>
        </is>
      </c>
      <c r="K2" s="58" t="inlineStr">
        <is>
          <t>N/A</t>
        </is>
      </c>
      <c r="L2" s="57" t="inlineStr">
        <is>
          <t>Ella</t>
        </is>
      </c>
    </row>
    <row r="3" ht="25" customHeight="1" s="55">
      <c r="A3" s="57" t="n">
        <v>2</v>
      </c>
      <c r="B3" s="57" t="inlineStr">
        <is>
          <t>Peace Vine</t>
        </is>
      </c>
      <c r="C3" s="57" t="inlineStr">
        <is>
          <t>South Farm</t>
        </is>
      </c>
      <c r="D3" s="59" t="n">
        <v>46252</v>
      </c>
      <c r="E3" s="57" t="inlineStr">
        <is>
          <t>Third</t>
        </is>
      </c>
      <c r="F3" s="57" t="inlineStr">
        <is>
          <t>Advanced breeding</t>
        </is>
      </c>
      <c r="G3" s="57" t="n"/>
      <c r="H3" s="57" t="n">
        <v>176.9</v>
      </c>
      <c r="I3" s="57" t="n">
        <v>1859.7</v>
      </c>
      <c r="J3" s="57" t="inlineStr">
        <is>
          <t>Peacevine cherry</t>
        </is>
      </c>
      <c r="K3" s="58" t="inlineStr">
        <is>
          <t>N/A</t>
        </is>
      </c>
      <c r="L3" s="57" t="inlineStr">
        <is>
          <t>Ella</t>
        </is>
      </c>
    </row>
    <row r="4" ht="25" customHeight="1" s="55">
      <c r="A4" s="57" t="n">
        <v>3</v>
      </c>
      <c r="B4" s="57" t="inlineStr">
        <is>
          <t>UKYT-26-033</t>
        </is>
      </c>
      <c r="C4" s="57" t="inlineStr">
        <is>
          <t>South Farm</t>
        </is>
      </c>
      <c r="D4" s="59" t="n">
        <v>46252</v>
      </c>
      <c r="E4" s="57" t="inlineStr">
        <is>
          <t>Third</t>
        </is>
      </c>
      <c r="F4" s="57" t="inlineStr">
        <is>
          <t>Advanced breeding</t>
        </is>
      </c>
      <c r="G4" s="57" t="n"/>
      <c r="H4" s="57" t="n">
        <v>3138.9</v>
      </c>
      <c r="I4" s="57" t="n">
        <v>4350</v>
      </c>
      <c r="J4" s="57" t="inlineStr">
        <is>
          <t>2633</t>
        </is>
      </c>
      <c r="K4" s="58" t="inlineStr">
        <is>
          <t>N/A</t>
        </is>
      </c>
      <c r="L4" s="57" t="inlineStr">
        <is>
          <t>Ella</t>
        </is>
      </c>
    </row>
    <row r="5" ht="25" customHeight="1" s="55">
      <c r="A5" s="57" t="n">
        <v>4</v>
      </c>
      <c r="B5" s="57" t="inlineStr">
        <is>
          <t>UKYT-26-032</t>
        </is>
      </c>
      <c r="C5" s="57" t="inlineStr">
        <is>
          <t>South Farm</t>
        </is>
      </c>
      <c r="D5" s="59" t="n">
        <v>46252</v>
      </c>
      <c r="E5" s="57" t="inlineStr">
        <is>
          <t>Third</t>
        </is>
      </c>
      <c r="F5" s="57" t="inlineStr">
        <is>
          <t>Advanced breeding</t>
        </is>
      </c>
      <c r="G5" s="57" t="n"/>
      <c r="H5" s="57" t="n">
        <v>4799</v>
      </c>
      <c r="I5" s="57" t="n">
        <v>5978.3</v>
      </c>
      <c r="J5" s="57" t="inlineStr">
        <is>
          <t>26-32</t>
        </is>
      </c>
      <c r="K5" s="58" t="inlineStr">
        <is>
          <t>N/A</t>
        </is>
      </c>
      <c r="L5" s="57" t="inlineStr">
        <is>
          <t>Ella</t>
        </is>
      </c>
    </row>
    <row r="6" ht="25" customHeight="1" s="55">
      <c r="A6" s="57" t="n">
        <v>5</v>
      </c>
      <c r="B6" s="57" t="inlineStr">
        <is>
          <t>UKYT-26-038</t>
        </is>
      </c>
      <c r="C6" s="57" t="inlineStr">
        <is>
          <t>South Farm</t>
        </is>
      </c>
      <c r="D6" s="59" t="n">
        <v>46252</v>
      </c>
      <c r="E6" s="57" t="inlineStr">
        <is>
          <t>Third</t>
        </is>
      </c>
      <c r="F6" s="57" t="inlineStr">
        <is>
          <t>Advanced breeding</t>
        </is>
      </c>
      <c r="G6" s="57" t="n">
        <v>7</v>
      </c>
      <c r="H6" s="57" t="n"/>
      <c r="I6" s="57" t="n">
        <v>2249.8</v>
      </c>
      <c r="J6" s="57" t="inlineStr">
        <is>
          <t>26-38</t>
        </is>
      </c>
      <c r="K6" s="58" t="inlineStr">
        <is>
          <t>N/A</t>
        </is>
      </c>
      <c r="L6" s="57" t="inlineStr">
        <is>
          <t>Ella</t>
        </is>
      </c>
    </row>
    <row r="7" ht="25" customHeight="1" s="55">
      <c r="A7" s="57" t="n">
        <v>6</v>
      </c>
      <c r="B7" s="57" t="inlineStr">
        <is>
          <t>UKYT-26-030</t>
        </is>
      </c>
      <c r="C7" s="57" t="inlineStr">
        <is>
          <t>South Farm</t>
        </is>
      </c>
      <c r="D7" s="59" t="n">
        <v>46252</v>
      </c>
      <c r="E7" s="57" t="inlineStr">
        <is>
          <t>Third</t>
        </is>
      </c>
      <c r="F7" s="57" t="inlineStr">
        <is>
          <t>Advanced breeding</t>
        </is>
      </c>
      <c r="G7" s="57" t="n"/>
      <c r="H7" s="57" t="n">
        <v>2136.4</v>
      </c>
      <c r="I7" s="57" t="n">
        <v>8255.4</v>
      </c>
      <c r="J7" s="57" t="inlineStr">
        <is>
          <t>26-30</t>
        </is>
      </c>
      <c r="K7" s="58" t="inlineStr">
        <is>
          <t>N/A</t>
        </is>
      </c>
      <c r="L7" s="57" t="inlineStr">
        <is>
          <t>Ella</t>
        </is>
      </c>
    </row>
    <row r="8" ht="25" customHeight="1" s="55">
      <c r="A8" s="57" t="n">
        <v>7</v>
      </c>
      <c r="B8" s="57" t="inlineStr">
        <is>
          <t>UKYT-26-031</t>
        </is>
      </c>
      <c r="C8" s="57" t="inlineStr">
        <is>
          <t>South Farm</t>
        </is>
      </c>
      <c r="D8" s="59" t="n">
        <v>46252</v>
      </c>
      <c r="E8" s="57" t="inlineStr">
        <is>
          <t>Third</t>
        </is>
      </c>
      <c r="F8" s="57" t="inlineStr">
        <is>
          <t>Advanced breeding</t>
        </is>
      </c>
      <c r="G8" s="57" t="n">
        <v>10</v>
      </c>
      <c r="H8" s="57" t="n"/>
      <c r="I8" s="57" t="n">
        <v>1347.2</v>
      </c>
      <c r="J8" s="57" t="inlineStr">
        <is>
          <t>26-31</t>
        </is>
      </c>
      <c r="K8" s="58" t="inlineStr">
        <is>
          <t>N/A</t>
        </is>
      </c>
      <c r="L8" s="57" t="inlineStr">
        <is>
          <t>Ella</t>
        </is>
      </c>
    </row>
    <row r="9" ht="25" customHeight="1" s="55">
      <c r="A9" s="57" t="n">
        <v>8</v>
      </c>
      <c r="B9" s="57" t="inlineStr">
        <is>
          <t>UKYT-26-029</t>
        </is>
      </c>
      <c r="C9" s="57" t="inlineStr">
        <is>
          <t>South Farm</t>
        </is>
      </c>
      <c r="D9" s="59" t="n">
        <v>46252</v>
      </c>
      <c r="E9" s="57" t="inlineStr">
        <is>
          <t>Third</t>
        </is>
      </c>
      <c r="F9" s="57" t="inlineStr">
        <is>
          <t>Advanced breeding</t>
        </is>
      </c>
      <c r="G9" s="57" t="n"/>
      <c r="H9" s="57" t="n">
        <v>3039.1</v>
      </c>
      <c r="I9" s="57" t="n">
        <v>3946.3</v>
      </c>
      <c r="J9" s="57" t="inlineStr">
        <is>
          <t>26-29</t>
        </is>
      </c>
      <c r="K9" s="58" t="inlineStr">
        <is>
          <t>N/A</t>
        </is>
      </c>
      <c r="L9" s="57" t="inlineStr">
        <is>
          <t>Ella</t>
        </is>
      </c>
    </row>
  </sheetData>
  <autoFilter ref="A1:L9"/>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59"/>
  <sheetViews>
    <sheetView showGridLines="1" topLeftCell="A1" workbookViewId="0">
      <pane ySplit="1" topLeftCell="A2" activePane="bottomLeft" state="frozen"/>
      <selection pane="bottomLeft" activeCell="A1" sqref="A1"/>
    </sheetView>
  </sheetViews>
  <sheetFormatPr baseColWidth="8" defaultColWidth="10.875" defaultRowHeight="16.5" customHeight="0"/>
  <cols>
    <col width="8" bestFit="1" customWidth="1" style="55" min="1" max="1"/>
    <col width="17" customWidth="1" style="55" min="2" max="2"/>
    <col width="12" customWidth="1" style="55" min="3" max="3"/>
    <col width="21" customWidth="1" style="55" min="4" max="4"/>
    <col width="9" customWidth="1" style="55" min="5" max="5"/>
    <col width="19" customWidth="1" style="55" min="6" max="6"/>
    <col width="24" customWidth="1" style="55" min="7" max="7"/>
    <col width="18" customWidth="1" style="55" min="8" max="8"/>
    <col width="36" customWidth="1" style="55" min="9" max="9"/>
    <col width="36" customWidth="1" style="55" min="10" max="10"/>
    <col width="11" customWidth="1" style="55" min="11" max="11"/>
    <col width="12" customWidth="1" style="55" min="12" max="12"/>
  </cols>
  <sheetData>
    <row r="1" ht="18" customHeight="1" s="55">
      <c r="A1" s="56" t="inlineStr">
        <is>
          <t>SN</t>
        </is>
      </c>
      <c r="B1" s="56" t="inlineStr">
        <is>
          <t>Genotypes</t>
        </is>
      </c>
      <c r="C1" s="56" t="inlineStr">
        <is>
          <t>Location</t>
        </is>
      </c>
      <c r="D1" s="56" t="inlineStr">
        <is>
          <t>Date of harvest</t>
        </is>
      </c>
      <c r="E1" s="56" t="inlineStr">
        <is>
          <t>Harvest</t>
        </is>
      </c>
      <c r="F1" s="56" t="inlineStr">
        <is>
          <t>Experiment</t>
        </is>
      </c>
      <c r="G1" s="56" t="inlineStr">
        <is>
          <t>Weight of 20 fruit (g)</t>
        </is>
      </c>
      <c r="H1" s="56" t="inlineStr">
        <is>
          <t>Total Weight (g)</t>
        </is>
      </c>
      <c r="I1" s="56" t="inlineStr">
        <is>
          <t>Note</t>
        </is>
      </c>
      <c r="J1" s="56" t="inlineStr">
        <is>
          <t>Genotype_raw</t>
        </is>
      </c>
      <c r="K1" s="56" t="inlineStr">
        <is>
          <t>Replicate</t>
        </is>
      </c>
      <c r="L1" s="56" t="inlineStr">
        <is>
          <t>Entered_by</t>
        </is>
      </c>
    </row>
    <row r="2" ht="25" customHeight="1" s="55">
      <c r="A2" s="57" t="n">
        <v>1</v>
      </c>
      <c r="B2" s="57" t="inlineStr">
        <is>
          <t>Cherokee Purple</t>
        </is>
      </c>
      <c r="C2" s="57" t="inlineStr">
        <is>
          <t>South Farm</t>
        </is>
      </c>
      <c r="D2" s="59" t="n">
        <v>46253</v>
      </c>
      <c r="E2" s="57" t="inlineStr">
        <is>
          <t>Fourth</t>
        </is>
      </c>
      <c r="F2" s="57" t="inlineStr">
        <is>
          <t>Advanced breeding</t>
        </is>
      </c>
      <c r="G2" s="57" t="n"/>
      <c r="H2" s="57" t="n">
        <v>6274</v>
      </c>
      <c r="I2" s="57" t="inlineStr">
        <is>
          <t>20 counts</t>
        </is>
      </c>
      <c r="J2" s="57" t="inlineStr">
        <is>
          <t>Cherokee Purple</t>
        </is>
      </c>
      <c r="K2" s="58" t="inlineStr">
        <is>
          <t>N/A</t>
        </is>
      </c>
      <c r="L2" s="57" t="inlineStr">
        <is>
          <t>Nam</t>
        </is>
      </c>
    </row>
    <row r="3" ht="25" customHeight="1" s="55">
      <c r="A3" s="57" t="n">
        <v>2</v>
      </c>
      <c r="B3" s="57" t="inlineStr">
        <is>
          <t>UKYT-26-019</t>
        </is>
      </c>
      <c r="C3" s="57" t="inlineStr">
        <is>
          <t>South Farm</t>
        </is>
      </c>
      <c r="D3" s="59" t="n">
        <v>46253</v>
      </c>
      <c r="E3" s="57" t="inlineStr">
        <is>
          <t>Fourth</t>
        </is>
      </c>
      <c r="F3" s="57" t="inlineStr">
        <is>
          <t>Advanced breeding</t>
        </is>
      </c>
      <c r="G3" s="57" t="n"/>
      <c r="H3" s="57" t="n">
        <v>1900</v>
      </c>
      <c r="I3" s="57" t="inlineStr">
        <is>
          <t>6 counts</t>
        </is>
      </c>
      <c r="J3" s="57" t="inlineStr">
        <is>
          <t>UKY-26-019</t>
        </is>
      </c>
      <c r="K3" s="58" t="inlineStr">
        <is>
          <t>N/A</t>
        </is>
      </c>
      <c r="L3" s="57" t="inlineStr">
        <is>
          <t>Nam</t>
        </is>
      </c>
    </row>
    <row r="4" ht="25" customHeight="1" s="55">
      <c r="A4" s="57" t="n">
        <v>3</v>
      </c>
      <c r="B4" s="57" t="inlineStr">
        <is>
          <t>UKYT-26-037</t>
        </is>
      </c>
      <c r="C4" s="57" t="inlineStr">
        <is>
          <t>South Farm</t>
        </is>
      </c>
      <c r="D4" s="59" t="n">
        <v>46253</v>
      </c>
      <c r="E4" s="57" t="inlineStr">
        <is>
          <t>Fourth</t>
        </is>
      </c>
      <c r="F4" s="57" t="inlineStr">
        <is>
          <t>Advanced breeding</t>
        </is>
      </c>
      <c r="G4" s="57" t="n">
        <v>2913</v>
      </c>
      <c r="H4" s="57" t="n">
        <v>5136</v>
      </c>
      <c r="I4" s="58" t="inlineStr">
        <is>
          <t>N/A</t>
        </is>
      </c>
      <c r="J4" s="57" t="inlineStr">
        <is>
          <t>UKY-26-037</t>
        </is>
      </c>
      <c r="K4" s="58" t="inlineStr">
        <is>
          <t>N/A</t>
        </is>
      </c>
      <c r="L4" s="57" t="inlineStr">
        <is>
          <t>Nam</t>
        </is>
      </c>
    </row>
    <row r="5" ht="25" customHeight="1" s="55">
      <c r="A5" s="57" t="n">
        <v>4</v>
      </c>
      <c r="B5" s="57" t="inlineStr">
        <is>
          <t>UKYT-26-039</t>
        </is>
      </c>
      <c r="C5" s="57" t="inlineStr">
        <is>
          <t>South Farm</t>
        </is>
      </c>
      <c r="D5" s="59" t="n">
        <v>46253</v>
      </c>
      <c r="E5" s="57" t="inlineStr">
        <is>
          <t>Fourth</t>
        </is>
      </c>
      <c r="F5" s="57" t="inlineStr">
        <is>
          <t>Advanced breeding</t>
        </is>
      </c>
      <c r="G5" s="57" t="n">
        <v>5059</v>
      </c>
      <c r="H5" s="57" t="n">
        <v>10874</v>
      </c>
      <c r="I5" s="57" t="inlineStr">
        <is>
          <t>may be mixed. some fruits were elongated and most were like beefsteak</t>
        </is>
      </c>
      <c r="J5" s="57" t="inlineStr">
        <is>
          <t>UKY-26-039</t>
        </is>
      </c>
      <c r="K5" s="58" t="inlineStr">
        <is>
          <t>N/A</t>
        </is>
      </c>
      <c r="L5" s="57" t="inlineStr">
        <is>
          <t>Nam</t>
        </is>
      </c>
    </row>
    <row r="6" ht="25" customHeight="1" s="55">
      <c r="A6" s="57" t="n">
        <v>5</v>
      </c>
      <c r="B6" s="57" t="inlineStr">
        <is>
          <t>UKYT-26-035</t>
        </is>
      </c>
      <c r="C6" s="57" t="inlineStr">
        <is>
          <t>South Farm</t>
        </is>
      </c>
      <c r="D6" s="59" t="n">
        <v>46253</v>
      </c>
      <c r="E6" s="57" t="inlineStr">
        <is>
          <t>Fourth</t>
        </is>
      </c>
      <c r="F6" s="57" t="inlineStr">
        <is>
          <t>Advanced breeding</t>
        </is>
      </c>
      <c r="G6" s="57" t="n">
        <v>2249</v>
      </c>
      <c r="H6" s="57" t="n">
        <v>3393</v>
      </c>
      <c r="I6" s="57" t="inlineStr">
        <is>
          <t>first row first genotype</t>
        </is>
      </c>
      <c r="J6" s="57" t="inlineStr">
        <is>
          <t>UKY-26-035 Second Rep first row first genotype</t>
        </is>
      </c>
      <c r="K6" s="57" t="inlineStr">
        <is>
          <t>R2</t>
        </is>
      </c>
      <c r="L6" s="57" t="inlineStr">
        <is>
          <t>Nam</t>
        </is>
      </c>
    </row>
    <row r="7" ht="25" customHeight="1" s="55">
      <c r="A7" s="57" t="n">
        <v>6</v>
      </c>
      <c r="B7" s="57" t="inlineStr">
        <is>
          <t>UKYT-26-036</t>
        </is>
      </c>
      <c r="C7" s="57" t="inlineStr">
        <is>
          <t>South Farm</t>
        </is>
      </c>
      <c r="D7" s="59" t="n">
        <v>46253</v>
      </c>
      <c r="E7" s="57" t="inlineStr">
        <is>
          <t>Fourth</t>
        </is>
      </c>
      <c r="F7" s="57" t="inlineStr">
        <is>
          <t>Advanced breeding</t>
        </is>
      </c>
      <c r="G7" s="57" t="n">
        <v>3036</v>
      </c>
      <c r="H7" s="57" t="n">
        <v>13789</v>
      </c>
      <c r="I7" s="58" t="inlineStr">
        <is>
          <t>N/A</t>
        </is>
      </c>
      <c r="J7" s="57" t="inlineStr">
        <is>
          <t>UKY-26-036</t>
        </is>
      </c>
      <c r="K7" s="58" t="inlineStr">
        <is>
          <t>N/A</t>
        </is>
      </c>
      <c r="L7" s="57" t="inlineStr">
        <is>
          <t>Nam</t>
        </is>
      </c>
    </row>
    <row r="8" ht="25" customHeight="1" s="55">
      <c r="A8" s="57" t="n">
        <v>7</v>
      </c>
      <c r="B8" s="57" t="inlineStr">
        <is>
          <t>UKYT-26-026</t>
        </is>
      </c>
      <c r="C8" s="57" t="inlineStr">
        <is>
          <t>South Farm</t>
        </is>
      </c>
      <c r="D8" s="59" t="n">
        <v>46253</v>
      </c>
      <c r="E8" s="57" t="inlineStr">
        <is>
          <t>Fourth</t>
        </is>
      </c>
      <c r="F8" s="57" t="inlineStr">
        <is>
          <t>Advanced breeding</t>
        </is>
      </c>
      <c r="G8" s="57" t="n"/>
      <c r="H8" s="57" t="n">
        <v>4268</v>
      </c>
      <c r="I8" s="57" t="inlineStr">
        <is>
          <t>10 counts</t>
        </is>
      </c>
      <c r="J8" s="57" t="inlineStr">
        <is>
          <t>UKY-26-026</t>
        </is>
      </c>
      <c r="K8" s="58" t="inlineStr">
        <is>
          <t>N/A</t>
        </is>
      </c>
      <c r="L8" s="57" t="inlineStr">
        <is>
          <t>Nam</t>
        </is>
      </c>
    </row>
    <row r="9" ht="25" customHeight="1" s="55">
      <c r="A9" s="57" t="n">
        <v>8</v>
      </c>
      <c r="B9" s="57" t="inlineStr">
        <is>
          <t>UKYT-26-025</t>
        </is>
      </c>
      <c r="C9" s="57" t="inlineStr">
        <is>
          <t>South Farm</t>
        </is>
      </c>
      <c r="D9" s="59" t="n">
        <v>46253</v>
      </c>
      <c r="E9" s="57" t="inlineStr">
        <is>
          <t>Fourth</t>
        </is>
      </c>
      <c r="F9" s="57" t="inlineStr">
        <is>
          <t>Advanced breeding</t>
        </is>
      </c>
      <c r="G9" s="57" t="n"/>
      <c r="H9" s="57" t="n">
        <v>3384</v>
      </c>
      <c r="I9" s="57" t="inlineStr">
        <is>
          <t>5 counts</t>
        </is>
      </c>
      <c r="J9" s="57" t="inlineStr">
        <is>
          <t>UKY-26-025</t>
        </is>
      </c>
      <c r="K9" s="58" t="inlineStr">
        <is>
          <t>N/A</t>
        </is>
      </c>
      <c r="L9" s="57" t="inlineStr">
        <is>
          <t>Nam</t>
        </is>
      </c>
    </row>
    <row r="10" ht="25" customHeight="1" s="55">
      <c r="A10" s="57" t="n">
        <v>9</v>
      </c>
      <c r="B10" s="57" t="inlineStr">
        <is>
          <t>UKYT-26-021</t>
        </is>
      </c>
      <c r="C10" s="57" t="inlineStr">
        <is>
          <t>South Farm</t>
        </is>
      </c>
      <c r="D10" s="59" t="n">
        <v>46253</v>
      </c>
      <c r="E10" s="57" t="inlineStr">
        <is>
          <t>Fourth</t>
        </is>
      </c>
      <c r="F10" s="57" t="inlineStr">
        <is>
          <t>Advanced breeding</t>
        </is>
      </c>
      <c r="G10" s="57" t="n"/>
      <c r="H10" s="57" t="n">
        <v>5539</v>
      </c>
      <c r="I10" s="57" t="inlineStr">
        <is>
          <t>14 counts, mixed with red and orange fruits</t>
        </is>
      </c>
      <c r="J10" s="57" t="inlineStr">
        <is>
          <t>UKY-26-021</t>
        </is>
      </c>
      <c r="K10" s="58" t="inlineStr">
        <is>
          <t>N/A</t>
        </is>
      </c>
      <c r="L10" s="57" t="inlineStr">
        <is>
          <t>Nam</t>
        </is>
      </c>
    </row>
    <row r="11" ht="25" customHeight="1" s="55">
      <c r="A11" s="57" t="n">
        <v>10</v>
      </c>
      <c r="B11" s="57" t="inlineStr">
        <is>
          <t>UKYT-26-024</t>
        </is>
      </c>
      <c r="C11" s="57" t="inlineStr">
        <is>
          <t>South Farm</t>
        </is>
      </c>
      <c r="D11" s="59" t="n">
        <v>46253</v>
      </c>
      <c r="E11" s="57" t="inlineStr">
        <is>
          <t>Fourth</t>
        </is>
      </c>
      <c r="F11" s="57" t="inlineStr">
        <is>
          <t>Advanced breeding</t>
        </is>
      </c>
      <c r="G11" s="57" t="n"/>
      <c r="H11" s="57" t="n">
        <v>2621</v>
      </c>
      <c r="I11" s="57" t="inlineStr">
        <is>
          <t>9 counts</t>
        </is>
      </c>
      <c r="J11" s="57" t="inlineStr">
        <is>
          <t>UKY-26-024</t>
        </is>
      </c>
      <c r="K11" s="58" t="inlineStr">
        <is>
          <t>N/A</t>
        </is>
      </c>
      <c r="L11" s="57" t="inlineStr">
        <is>
          <t>Nam</t>
        </is>
      </c>
    </row>
    <row r="12" ht="25" customHeight="1" s="55">
      <c r="A12" s="57" t="n">
        <v>11</v>
      </c>
      <c r="B12" s="57" t="inlineStr">
        <is>
          <t>UKYT-26-038</t>
        </is>
      </c>
      <c r="C12" s="57" t="inlineStr">
        <is>
          <t>South Farm</t>
        </is>
      </c>
      <c r="D12" s="59" t="n">
        <v>46253</v>
      </c>
      <c r="E12" s="57" t="inlineStr">
        <is>
          <t>Fourth</t>
        </is>
      </c>
      <c r="F12" s="57" t="inlineStr">
        <is>
          <t>Advanced breeding</t>
        </is>
      </c>
      <c r="G12" s="57" t="n"/>
      <c r="H12" s="57" t="n">
        <v>2564</v>
      </c>
      <c r="I12" s="57" t="inlineStr">
        <is>
          <t>17 counts</t>
        </is>
      </c>
      <c r="J12" s="57" t="inlineStr">
        <is>
          <t>UKY-26-038</t>
        </is>
      </c>
      <c r="K12" s="58" t="inlineStr">
        <is>
          <t>N/A</t>
        </is>
      </c>
      <c r="L12" s="57" t="inlineStr">
        <is>
          <t>Nam</t>
        </is>
      </c>
    </row>
    <row r="13" ht="25" customHeight="1" s="55">
      <c r="A13" s="57" t="n">
        <v>12</v>
      </c>
      <c r="B13" s="57" t="inlineStr">
        <is>
          <t>Mountain Fresh</t>
        </is>
      </c>
      <c r="C13" s="57" t="inlineStr">
        <is>
          <t>South Farm</t>
        </is>
      </c>
      <c r="D13" s="59" t="n">
        <v>46253</v>
      </c>
      <c r="E13" s="57" t="inlineStr">
        <is>
          <t>Fourth</t>
        </is>
      </c>
      <c r="F13" s="58" t="inlineStr">
        <is>
          <t>N/A</t>
        </is>
      </c>
      <c r="G13" s="57" t="n">
        <v>5055</v>
      </c>
      <c r="H13" s="57" t="n">
        <v>14997</v>
      </c>
      <c r="I13" s="58" t="inlineStr">
        <is>
          <t>N/A</t>
        </is>
      </c>
      <c r="J13" s="57" t="inlineStr">
        <is>
          <t>Mountain Fresh</t>
        </is>
      </c>
      <c r="K13" s="58" t="inlineStr">
        <is>
          <t>N/A</t>
        </is>
      </c>
      <c r="L13" s="57" t="inlineStr">
        <is>
          <t>Nam</t>
        </is>
      </c>
    </row>
    <row r="14" ht="25" customHeight="1" s="55">
      <c r="A14" s="57" t="n">
        <v>13</v>
      </c>
      <c r="B14" s="57" t="inlineStr">
        <is>
          <t>UKYT-26-028</t>
        </is>
      </c>
      <c r="C14" s="57" t="inlineStr">
        <is>
          <t>South Farm</t>
        </is>
      </c>
      <c r="D14" s="59" t="n">
        <v>46253</v>
      </c>
      <c r="E14" s="57" t="inlineStr">
        <is>
          <t>Fourth</t>
        </is>
      </c>
      <c r="F14" s="57" t="inlineStr">
        <is>
          <t>Advanced breeding</t>
        </is>
      </c>
      <c r="G14" s="57" t="n"/>
      <c r="H14" s="57" t="n">
        <v>5397</v>
      </c>
      <c r="I14" s="57" t="inlineStr">
        <is>
          <t>16 counts</t>
        </is>
      </c>
      <c r="J14" s="57" t="inlineStr">
        <is>
          <t>UKY-26-028</t>
        </is>
      </c>
      <c r="K14" s="58" t="inlineStr">
        <is>
          <t>N/A</t>
        </is>
      </c>
      <c r="L14" s="57" t="inlineStr">
        <is>
          <t>Nam</t>
        </is>
      </c>
    </row>
    <row r="15" ht="25" customHeight="1" s="55">
      <c r="A15" s="57" t="n">
        <v>14</v>
      </c>
      <c r="B15" s="57" t="inlineStr">
        <is>
          <t>UKYT-26-033</t>
        </is>
      </c>
      <c r="C15" s="57" t="inlineStr">
        <is>
          <t>South Farm</t>
        </is>
      </c>
      <c r="D15" s="59" t="n">
        <v>46253</v>
      </c>
      <c r="E15" s="57" t="inlineStr">
        <is>
          <t>Fourth</t>
        </is>
      </c>
      <c r="F15" s="57" t="inlineStr">
        <is>
          <t>Advanced breeding</t>
        </is>
      </c>
      <c r="G15" s="57" t="n">
        <v>2795</v>
      </c>
      <c r="H15" s="57" t="n">
        <v>5618</v>
      </c>
      <c r="I15" s="58" t="inlineStr">
        <is>
          <t>N/A</t>
        </is>
      </c>
      <c r="J15" s="57" t="inlineStr">
        <is>
          <t>UKY-26-033</t>
        </is>
      </c>
      <c r="K15" s="58" t="inlineStr">
        <is>
          <t>N/A</t>
        </is>
      </c>
      <c r="L15" s="57" t="inlineStr">
        <is>
          <t>Nam</t>
        </is>
      </c>
    </row>
    <row r="16" ht="25" customHeight="1" s="55">
      <c r="A16" s="57" t="n">
        <v>15</v>
      </c>
      <c r="B16" s="57" t="inlineStr">
        <is>
          <t>UKYT-26-032</t>
        </is>
      </c>
      <c r="C16" s="57" t="inlineStr">
        <is>
          <t>South Farm</t>
        </is>
      </c>
      <c r="D16" s="59" t="n">
        <v>46253</v>
      </c>
      <c r="E16" s="57" t="inlineStr">
        <is>
          <t>Fourth</t>
        </is>
      </c>
      <c r="F16" s="57" t="inlineStr">
        <is>
          <t>Advanced breeding</t>
        </is>
      </c>
      <c r="G16" s="57" t="n"/>
      <c r="H16" s="57" t="n">
        <v>1799</v>
      </c>
      <c r="I16" s="57" t="inlineStr">
        <is>
          <t>11 counts</t>
        </is>
      </c>
      <c r="J16" s="57" t="inlineStr">
        <is>
          <t>UKY-26-032</t>
        </is>
      </c>
      <c r="K16" s="58" t="inlineStr">
        <is>
          <t>N/A</t>
        </is>
      </c>
      <c r="L16" s="57" t="inlineStr">
        <is>
          <t>Nam</t>
        </is>
      </c>
    </row>
    <row r="17" ht="25" customHeight="1" s="55">
      <c r="A17" s="57" t="n">
        <v>16</v>
      </c>
      <c r="B17" s="57" t="inlineStr">
        <is>
          <t>UKYT-26-030</t>
        </is>
      </c>
      <c r="C17" s="57" t="inlineStr">
        <is>
          <t>South Farm</t>
        </is>
      </c>
      <c r="D17" s="59" t="n">
        <v>46253</v>
      </c>
      <c r="E17" s="57" t="inlineStr">
        <is>
          <t>Fourth</t>
        </is>
      </c>
      <c r="F17" s="57" t="inlineStr">
        <is>
          <t>Advanced breeding</t>
        </is>
      </c>
      <c r="G17" s="57" t="n"/>
      <c r="H17" s="57" t="n">
        <v>2045</v>
      </c>
      <c r="I17" s="57" t="inlineStr">
        <is>
          <t>9 Counts</t>
        </is>
      </c>
      <c r="J17" s="57" t="inlineStr">
        <is>
          <t>UKY-26-030</t>
        </is>
      </c>
      <c r="K17" s="58" t="inlineStr">
        <is>
          <t>N/A</t>
        </is>
      </c>
      <c r="L17" s="57" t="inlineStr">
        <is>
          <t>Nam</t>
        </is>
      </c>
    </row>
    <row r="18" ht="25" customHeight="1" s="55">
      <c r="A18" s="57" t="n">
        <v>17</v>
      </c>
      <c r="B18" s="57" t="inlineStr">
        <is>
          <t>Peace Vine</t>
        </is>
      </c>
      <c r="C18" s="57" t="inlineStr">
        <is>
          <t>South Farm</t>
        </is>
      </c>
      <c r="D18" s="59" t="n">
        <v>46253</v>
      </c>
      <c r="E18" s="57" t="inlineStr">
        <is>
          <t>Fourth</t>
        </is>
      </c>
      <c r="F18" s="57" t="inlineStr">
        <is>
          <t>Advanced breeding</t>
        </is>
      </c>
      <c r="G18" s="57" t="n">
        <v>150</v>
      </c>
      <c r="H18" s="57" t="n">
        <v>5805</v>
      </c>
      <c r="I18" s="57" t="inlineStr">
        <is>
          <t>Cherry</t>
        </is>
      </c>
      <c r="J18" s="57" t="inlineStr">
        <is>
          <t>Peace Vine Cherry</t>
        </is>
      </c>
      <c r="K18" s="58" t="inlineStr">
        <is>
          <t>N/A</t>
        </is>
      </c>
      <c r="L18" s="57" t="inlineStr">
        <is>
          <t>Nam</t>
        </is>
      </c>
    </row>
    <row r="19" ht="25" customHeight="1" s="55">
      <c r="A19" s="57" t="n">
        <v>18</v>
      </c>
      <c r="B19" s="57" t="inlineStr">
        <is>
          <t>UKYT-26-034</t>
        </is>
      </c>
      <c r="C19" s="57" t="inlineStr">
        <is>
          <t>South Farm</t>
        </is>
      </c>
      <c r="D19" s="59" t="n">
        <v>46253</v>
      </c>
      <c r="E19" s="57" t="inlineStr">
        <is>
          <t>Fourth</t>
        </is>
      </c>
      <c r="F19" s="57" t="inlineStr">
        <is>
          <t>Advanced breeding</t>
        </is>
      </c>
      <c r="G19" s="57" t="n">
        <v>2337</v>
      </c>
      <c r="H19" s="57" t="n">
        <v>3795</v>
      </c>
      <c r="I19" s="58" t="inlineStr">
        <is>
          <t>N/A</t>
        </is>
      </c>
      <c r="J19" s="57" t="inlineStr">
        <is>
          <t>UKY-26-034</t>
        </is>
      </c>
      <c r="K19" s="58" t="inlineStr">
        <is>
          <t>N/A</t>
        </is>
      </c>
      <c r="L19" s="57" t="inlineStr">
        <is>
          <t>Nam</t>
        </is>
      </c>
    </row>
    <row r="20" ht="25" customHeight="1" s="55">
      <c r="A20" s="57" t="n">
        <v>19</v>
      </c>
      <c r="B20" s="57" t="inlineStr">
        <is>
          <t>UKYT-26-043</t>
        </is>
      </c>
      <c r="C20" s="57" t="inlineStr">
        <is>
          <t>South Farm</t>
        </is>
      </c>
      <c r="D20" s="59" t="n">
        <v>46253</v>
      </c>
      <c r="E20" s="57" t="inlineStr">
        <is>
          <t>Fourth</t>
        </is>
      </c>
      <c r="F20" s="58" t="inlineStr">
        <is>
          <t>N/A</t>
        </is>
      </c>
      <c r="G20" s="57" t="n"/>
      <c r="H20" s="57" t="n">
        <v>912</v>
      </c>
      <c r="I20" s="57" t="inlineStr">
        <is>
          <t>few counts</t>
        </is>
      </c>
      <c r="J20" s="57" t="inlineStr">
        <is>
          <t>UKY-26-043</t>
        </is>
      </c>
      <c r="K20" s="58" t="inlineStr">
        <is>
          <t>N/A</t>
        </is>
      </c>
      <c r="L20" s="57" t="inlineStr">
        <is>
          <t>Nam</t>
        </is>
      </c>
    </row>
    <row r="21" ht="25" customHeight="1" s="55">
      <c r="A21" s="57" t="n">
        <v>20</v>
      </c>
      <c r="B21" s="57" t="inlineStr">
        <is>
          <t>UKYT-26-031</t>
        </is>
      </c>
      <c r="C21" s="57" t="inlineStr">
        <is>
          <t>South Farm</t>
        </is>
      </c>
      <c r="D21" s="59" t="n">
        <v>46253</v>
      </c>
      <c r="E21" s="57" t="inlineStr">
        <is>
          <t>Fourth</t>
        </is>
      </c>
      <c r="F21" s="57" t="inlineStr">
        <is>
          <t>Advanced breeding</t>
        </is>
      </c>
      <c r="G21" s="57" t="n"/>
      <c r="H21" s="57" t="n">
        <v>255</v>
      </c>
      <c r="I21" s="57" t="inlineStr">
        <is>
          <t>2 counts</t>
        </is>
      </c>
      <c r="J21" s="57" t="inlineStr">
        <is>
          <t>UKY-26-031</t>
        </is>
      </c>
      <c r="K21" s="58" t="inlineStr">
        <is>
          <t>N/A</t>
        </is>
      </c>
      <c r="L21" s="57" t="inlineStr">
        <is>
          <t>Nam</t>
        </is>
      </c>
    </row>
    <row r="22" ht="25" customHeight="1" s="55">
      <c r="A22" s="57" t="n">
        <v>21</v>
      </c>
      <c r="B22" s="57" t="inlineStr">
        <is>
          <t>UKYT-26-042</t>
        </is>
      </c>
      <c r="C22" s="57" t="inlineStr">
        <is>
          <t>South Farm</t>
        </is>
      </c>
      <c r="D22" s="59" t="n">
        <v>46253</v>
      </c>
      <c r="E22" s="57" t="inlineStr">
        <is>
          <t>Fourth</t>
        </is>
      </c>
      <c r="F22" s="58" t="inlineStr">
        <is>
          <t>N/A</t>
        </is>
      </c>
      <c r="G22" s="57" t="n"/>
      <c r="H22" s="57" t="n">
        <v>539</v>
      </c>
      <c r="I22" s="57" t="inlineStr">
        <is>
          <t>6 counts</t>
        </is>
      </c>
      <c r="J22" s="57" t="inlineStr">
        <is>
          <t>UKY-26-042</t>
        </is>
      </c>
      <c r="K22" s="58" t="inlineStr">
        <is>
          <t>N/A</t>
        </is>
      </c>
      <c r="L22" s="57" t="inlineStr">
        <is>
          <t>Nam</t>
        </is>
      </c>
    </row>
    <row r="23" ht="25" customHeight="1" s="55">
      <c r="A23" s="57" t="n">
        <v>22</v>
      </c>
      <c r="B23" s="57" t="inlineStr">
        <is>
          <t>UKYT-26-029</t>
        </is>
      </c>
      <c r="C23" s="57" t="inlineStr">
        <is>
          <t>South Farm</t>
        </is>
      </c>
      <c r="D23" s="59" t="n">
        <v>46253</v>
      </c>
      <c r="E23" s="57" t="inlineStr">
        <is>
          <t>Fourth</t>
        </is>
      </c>
      <c r="F23" s="57" t="inlineStr">
        <is>
          <t>Advanced breeding</t>
        </is>
      </c>
      <c r="G23" s="57" t="n">
        <v>2291</v>
      </c>
      <c r="H23" s="57" t="n">
        <v>2993</v>
      </c>
      <c r="I23" s="58" t="inlineStr">
        <is>
          <t>N/A</t>
        </is>
      </c>
      <c r="J23" s="57" t="inlineStr">
        <is>
          <t>UKY-26-029</t>
        </is>
      </c>
      <c r="K23" s="58" t="inlineStr">
        <is>
          <t>N/A</t>
        </is>
      </c>
      <c r="L23" s="57" t="inlineStr">
        <is>
          <t>Nam</t>
        </is>
      </c>
    </row>
    <row r="24" ht="25" customHeight="1" s="55">
      <c r="A24" s="57" t="n">
        <v>23</v>
      </c>
      <c r="B24" s="57" t="inlineStr">
        <is>
          <t>UKYT-26-023</t>
        </is>
      </c>
      <c r="C24" s="57" t="inlineStr">
        <is>
          <t>South Farm</t>
        </is>
      </c>
      <c r="D24" s="59" t="n">
        <v>46253</v>
      </c>
      <c r="E24" s="57" t="inlineStr">
        <is>
          <t>Fourth</t>
        </is>
      </c>
      <c r="F24" s="57" t="inlineStr">
        <is>
          <t>Advanced breeding</t>
        </is>
      </c>
      <c r="G24" s="57" t="n"/>
      <c r="H24" s="57" t="n">
        <v>3608</v>
      </c>
      <c r="I24" s="57" t="inlineStr">
        <is>
          <t>12 counts</t>
        </is>
      </c>
      <c r="J24" s="57" t="inlineStr">
        <is>
          <t>UKY-26-023</t>
        </is>
      </c>
      <c r="K24" s="58" t="inlineStr">
        <is>
          <t>N/A</t>
        </is>
      </c>
      <c r="L24" s="57" t="inlineStr">
        <is>
          <t>Nam</t>
        </is>
      </c>
    </row>
    <row r="25" ht="25" customHeight="1" s="55">
      <c r="A25" s="57" t="n">
        <v>24</v>
      </c>
      <c r="B25" s="57" t="inlineStr">
        <is>
          <t>UKYT-25-012</t>
        </is>
      </c>
      <c r="C25" s="57" t="inlineStr">
        <is>
          <t>South Farm</t>
        </is>
      </c>
      <c r="D25" s="59" t="n">
        <v>46253</v>
      </c>
      <c r="E25" s="57" t="inlineStr">
        <is>
          <t>Fourth</t>
        </is>
      </c>
      <c r="F25" s="57" t="inlineStr">
        <is>
          <t>Advanced breeding</t>
        </is>
      </c>
      <c r="G25" s="57" t="n">
        <v>319</v>
      </c>
      <c r="H25" s="57" t="n">
        <v>3533</v>
      </c>
      <c r="I25" s="58" t="inlineStr">
        <is>
          <t>N/A</t>
        </is>
      </c>
      <c r="J25" s="57" t="inlineStr">
        <is>
          <t>UKY-25-012</t>
        </is>
      </c>
      <c r="K25" s="58" t="inlineStr">
        <is>
          <t>N/A</t>
        </is>
      </c>
      <c r="L25" s="57" t="inlineStr">
        <is>
          <t>Nam</t>
        </is>
      </c>
    </row>
    <row r="26" ht="25" customHeight="1" s="55">
      <c r="A26" s="57" t="n">
        <v>25</v>
      </c>
      <c r="B26" s="57" t="inlineStr">
        <is>
          <t>UKYT-25-011</t>
        </is>
      </c>
      <c r="C26" s="57" t="inlineStr">
        <is>
          <t>South Farm</t>
        </is>
      </c>
      <c r="D26" s="59" t="n">
        <v>46253</v>
      </c>
      <c r="E26" s="57" t="inlineStr">
        <is>
          <t>Fourth</t>
        </is>
      </c>
      <c r="F26" s="57" t="inlineStr">
        <is>
          <t>Advanced breeding</t>
        </is>
      </c>
      <c r="G26" s="57" t="n">
        <v>378</v>
      </c>
      <c r="H26" s="57" t="n">
        <v>4068</v>
      </c>
      <c r="I26" s="58" t="inlineStr">
        <is>
          <t>N/A</t>
        </is>
      </c>
      <c r="J26" s="57" t="inlineStr">
        <is>
          <t>UKY-25-011</t>
        </is>
      </c>
      <c r="K26" s="58" t="inlineStr">
        <is>
          <t>N/A</t>
        </is>
      </c>
      <c r="L26" s="57" t="inlineStr">
        <is>
          <t>Nam</t>
        </is>
      </c>
    </row>
    <row r="27" ht="25" customHeight="1" s="55">
      <c r="A27" s="57" t="n">
        <v>26</v>
      </c>
      <c r="B27" s="57" t="inlineStr">
        <is>
          <t>UKYT-25-015</t>
        </is>
      </c>
      <c r="C27" s="57" t="inlineStr">
        <is>
          <t>South Farm</t>
        </is>
      </c>
      <c r="D27" s="59" t="n">
        <v>46253</v>
      </c>
      <c r="E27" s="57" t="inlineStr">
        <is>
          <t>Fourth</t>
        </is>
      </c>
      <c r="F27" s="57" t="inlineStr">
        <is>
          <t>Advanced breeding</t>
        </is>
      </c>
      <c r="G27" s="57" t="n">
        <v>395</v>
      </c>
      <c r="H27" s="57" t="n">
        <v>2402</v>
      </c>
      <c r="I27" s="58" t="inlineStr">
        <is>
          <t>N/A</t>
        </is>
      </c>
      <c r="J27" s="57" t="inlineStr">
        <is>
          <t>UKY-25-015</t>
        </is>
      </c>
      <c r="K27" s="58" t="inlineStr">
        <is>
          <t>N/A</t>
        </is>
      </c>
      <c r="L27" s="57" t="inlineStr">
        <is>
          <t>Nam</t>
        </is>
      </c>
    </row>
    <row r="28" ht="25" customHeight="1" s="55">
      <c r="A28" s="57" t="n">
        <v>27</v>
      </c>
      <c r="B28" s="57" t="inlineStr">
        <is>
          <t>UKYT-25-014</t>
        </is>
      </c>
      <c r="C28" s="57" t="inlineStr">
        <is>
          <t>South Farm</t>
        </is>
      </c>
      <c r="D28" s="59" t="n">
        <v>46253</v>
      </c>
      <c r="E28" s="57" t="inlineStr">
        <is>
          <t>Fourth</t>
        </is>
      </c>
      <c r="F28" s="57" t="inlineStr">
        <is>
          <t>Advanced breeding</t>
        </is>
      </c>
      <c r="G28" s="57" t="n">
        <v>343</v>
      </c>
      <c r="H28" s="57" t="n">
        <v>2408</v>
      </c>
      <c r="I28" s="58" t="inlineStr">
        <is>
          <t>N/A</t>
        </is>
      </c>
      <c r="J28" s="57" t="inlineStr">
        <is>
          <t>UKY-25-014</t>
        </is>
      </c>
      <c r="K28" s="58" t="inlineStr">
        <is>
          <t>N/A</t>
        </is>
      </c>
      <c r="L28" s="57" t="inlineStr">
        <is>
          <t>Nam</t>
        </is>
      </c>
    </row>
    <row r="29" ht="25" customHeight="1" s="55">
      <c r="A29" s="57" t="n">
        <v>28</v>
      </c>
      <c r="B29" s="57" t="inlineStr">
        <is>
          <t>UKYT-25-013</t>
        </is>
      </c>
      <c r="C29" s="57" t="inlineStr">
        <is>
          <t>South Farm</t>
        </is>
      </c>
      <c r="D29" s="59" t="n">
        <v>46253</v>
      </c>
      <c r="E29" s="57" t="inlineStr">
        <is>
          <t>Fourth</t>
        </is>
      </c>
      <c r="F29" s="57" t="inlineStr">
        <is>
          <t>Advanced breeding</t>
        </is>
      </c>
      <c r="G29" s="57" t="n">
        <v>321</v>
      </c>
      <c r="H29" s="57" t="n">
        <v>2916</v>
      </c>
      <c r="I29" s="58" t="inlineStr">
        <is>
          <t>N/A</t>
        </is>
      </c>
      <c r="J29" s="57" t="inlineStr">
        <is>
          <t>UKY-25-013</t>
        </is>
      </c>
      <c r="K29" s="58" t="inlineStr">
        <is>
          <t>N/A</t>
        </is>
      </c>
      <c r="L29" s="57" t="inlineStr">
        <is>
          <t>Nam</t>
        </is>
      </c>
    </row>
    <row r="30" ht="25" customHeight="1" s="55">
      <c r="A30" s="57" t="n">
        <v>29</v>
      </c>
      <c r="B30" s="57" t="inlineStr">
        <is>
          <t>UKYT-26-022</t>
        </is>
      </c>
      <c r="C30" s="57" t="inlineStr">
        <is>
          <t>South Farm</t>
        </is>
      </c>
      <c r="D30" s="59" t="n">
        <v>46253</v>
      </c>
      <c r="E30" s="57" t="inlineStr">
        <is>
          <t>Fourth</t>
        </is>
      </c>
      <c r="F30" s="57" t="inlineStr">
        <is>
          <t>Advanced breeding</t>
        </is>
      </c>
      <c r="G30" s="57" t="n"/>
      <c r="H30" s="57" t="n">
        <v>934</v>
      </c>
      <c r="I30" s="57" t="inlineStr">
        <is>
          <t>3 COUNTS</t>
        </is>
      </c>
      <c r="J30" s="57" t="inlineStr">
        <is>
          <t>UKY-26-022</t>
        </is>
      </c>
      <c r="K30" s="58" t="inlineStr">
        <is>
          <t>N/A</t>
        </is>
      </c>
      <c r="L30" s="57" t="inlineStr">
        <is>
          <t>Nam</t>
        </is>
      </c>
    </row>
    <row r="31" ht="25" customHeight="1" s="55">
      <c r="A31" s="57" t="n">
        <v>30</v>
      </c>
      <c r="B31" s="57" t="inlineStr">
        <is>
          <t>UKYT-25-016</t>
        </is>
      </c>
      <c r="C31" s="57" t="inlineStr">
        <is>
          <t>South Farm</t>
        </is>
      </c>
      <c r="D31" s="59" t="n">
        <v>46253</v>
      </c>
      <c r="E31" s="57" t="inlineStr">
        <is>
          <t>Fourth</t>
        </is>
      </c>
      <c r="F31" s="57" t="inlineStr">
        <is>
          <t>Advanced breeding</t>
        </is>
      </c>
      <c r="G31" s="57" t="n">
        <v>189</v>
      </c>
      <c r="H31" s="57" t="n">
        <v>1657</v>
      </c>
      <c r="I31" s="58" t="inlineStr">
        <is>
          <t>N/A</t>
        </is>
      </c>
      <c r="J31" s="57" t="inlineStr">
        <is>
          <t>UKY-25-016</t>
        </is>
      </c>
      <c r="K31" s="58" t="inlineStr">
        <is>
          <t>N/A</t>
        </is>
      </c>
      <c r="L31" s="57" t="inlineStr">
        <is>
          <t>Nam</t>
        </is>
      </c>
    </row>
    <row r="32" ht="25" customHeight="1" s="55">
      <c r="A32" s="57" t="n">
        <v>31</v>
      </c>
      <c r="B32" s="57" t="inlineStr">
        <is>
          <t>UKYT-25-010</t>
        </is>
      </c>
      <c r="C32" s="57" t="inlineStr">
        <is>
          <t>South Farm</t>
        </is>
      </c>
      <c r="D32" s="59" t="n">
        <v>46253</v>
      </c>
      <c r="E32" s="57" t="inlineStr">
        <is>
          <t>Fourth</t>
        </is>
      </c>
      <c r="F32" s="57" t="inlineStr">
        <is>
          <t>Advanced breeding</t>
        </is>
      </c>
      <c r="G32" s="57" t="n">
        <v>367</v>
      </c>
      <c r="H32" s="57" t="n">
        <v>3809</v>
      </c>
      <c r="I32" s="58" t="inlineStr">
        <is>
          <t>N/A</t>
        </is>
      </c>
      <c r="J32" s="57" t="inlineStr">
        <is>
          <t>UKY-25-010</t>
        </is>
      </c>
      <c r="K32" s="58" t="inlineStr">
        <is>
          <t>N/A</t>
        </is>
      </c>
      <c r="L32" s="57" t="inlineStr">
        <is>
          <t>Nam</t>
        </is>
      </c>
    </row>
    <row r="33" ht="25" customHeight="1" s="55">
      <c r="A33" s="57" t="n">
        <v>32</v>
      </c>
      <c r="B33" s="57" t="inlineStr">
        <is>
          <t>UKYT-25-018</t>
        </is>
      </c>
      <c r="C33" s="57" t="inlineStr">
        <is>
          <t>South Farm</t>
        </is>
      </c>
      <c r="D33" s="59" t="n">
        <v>46253</v>
      </c>
      <c r="E33" s="57" t="inlineStr">
        <is>
          <t>Fourth</t>
        </is>
      </c>
      <c r="F33" s="57" t="inlineStr">
        <is>
          <t>Advanced breeding</t>
        </is>
      </c>
      <c r="G33" s="57" t="n"/>
      <c r="H33" s="57" t="n">
        <v>177</v>
      </c>
      <c r="I33" s="57" t="inlineStr">
        <is>
          <t xml:space="preserve">11 counts </t>
        </is>
      </c>
      <c r="J33" s="57" t="inlineStr">
        <is>
          <t>UKY-25-018</t>
        </is>
      </c>
      <c r="K33" s="58" t="inlineStr">
        <is>
          <t>N/A</t>
        </is>
      </c>
      <c r="L33" s="57" t="inlineStr">
        <is>
          <t>Nam</t>
        </is>
      </c>
    </row>
    <row r="34" ht="25" customHeight="1" s="55">
      <c r="A34" s="57" t="n">
        <v>33</v>
      </c>
      <c r="B34" s="57" t="inlineStr">
        <is>
          <t>UKYT-26-008</t>
        </is>
      </c>
      <c r="C34" s="57" t="inlineStr">
        <is>
          <t>South Farm</t>
        </is>
      </c>
      <c r="D34" s="59" t="n">
        <v>46253</v>
      </c>
      <c r="E34" s="57" t="inlineStr">
        <is>
          <t>Fourth</t>
        </is>
      </c>
      <c r="F34" s="57" t="inlineStr">
        <is>
          <t>Advanced breeding</t>
        </is>
      </c>
      <c r="G34" s="57" t="n"/>
      <c r="H34" s="57" t="n">
        <v>644</v>
      </c>
      <c r="I34" s="57" t="inlineStr">
        <is>
          <t>5 counts</t>
        </is>
      </c>
      <c r="J34" s="57" t="inlineStr">
        <is>
          <t>UKY-26-008</t>
        </is>
      </c>
      <c r="K34" s="58" t="inlineStr">
        <is>
          <t>N/A</t>
        </is>
      </c>
      <c r="L34" s="57" t="inlineStr">
        <is>
          <t>Nam</t>
        </is>
      </c>
    </row>
    <row r="35" ht="25" customHeight="1" s="55">
      <c r="A35" s="57" t="n">
        <v>34</v>
      </c>
      <c r="B35" s="57" t="inlineStr">
        <is>
          <t>UKYT-25-017</t>
        </is>
      </c>
      <c r="C35" s="57" t="inlineStr">
        <is>
          <t>South Farm</t>
        </is>
      </c>
      <c r="D35" s="59" t="n">
        <v>46253</v>
      </c>
      <c r="E35" s="57" t="inlineStr">
        <is>
          <t>Fourth</t>
        </is>
      </c>
      <c r="F35" s="57" t="inlineStr">
        <is>
          <t>Advanced breeding</t>
        </is>
      </c>
      <c r="G35" s="57" t="n">
        <v>375</v>
      </c>
      <c r="H35" s="57" t="n">
        <v>2421</v>
      </c>
      <c r="I35" s="58" t="inlineStr">
        <is>
          <t>N/A</t>
        </is>
      </c>
      <c r="J35" s="57" t="inlineStr">
        <is>
          <t>UKY-25-017</t>
        </is>
      </c>
      <c r="K35" s="58" t="inlineStr">
        <is>
          <t>N/A</t>
        </is>
      </c>
      <c r="L35" s="57" t="inlineStr">
        <is>
          <t>Nam</t>
        </is>
      </c>
    </row>
    <row r="36" ht="25" customHeight="1" s="55">
      <c r="A36" s="57" t="n">
        <v>35</v>
      </c>
      <c r="B36" s="57" t="inlineStr">
        <is>
          <t>UKYT-26-015</t>
        </is>
      </c>
      <c r="C36" s="57" t="inlineStr">
        <is>
          <t>South Farm</t>
        </is>
      </c>
      <c r="D36" s="59" t="n">
        <v>46253</v>
      </c>
      <c r="E36" s="57" t="inlineStr">
        <is>
          <t>Fourth</t>
        </is>
      </c>
      <c r="F36" s="57" t="inlineStr">
        <is>
          <t>Advanced breeding</t>
        </is>
      </c>
      <c r="G36" s="57" t="n">
        <v>5224</v>
      </c>
      <c r="H36" s="57" t="n">
        <v>13583</v>
      </c>
      <c r="I36" s="58" t="inlineStr">
        <is>
          <t>N/A</t>
        </is>
      </c>
      <c r="J36" s="57" t="inlineStr">
        <is>
          <t>UKY-26-015</t>
        </is>
      </c>
      <c r="K36" s="58" t="inlineStr">
        <is>
          <t>N/A</t>
        </is>
      </c>
      <c r="L36" s="57" t="inlineStr">
        <is>
          <t>Nam</t>
        </is>
      </c>
    </row>
    <row r="37" ht="25" customHeight="1" s="55">
      <c r="A37" s="57" t="n">
        <v>36</v>
      </c>
      <c r="B37" s="57" t="inlineStr">
        <is>
          <t>UKYT-26-014</t>
        </is>
      </c>
      <c r="C37" s="57" t="inlineStr">
        <is>
          <t>South Farm</t>
        </is>
      </c>
      <c r="D37" s="59" t="n">
        <v>46253</v>
      </c>
      <c r="E37" s="57" t="inlineStr">
        <is>
          <t>Fourth</t>
        </is>
      </c>
      <c r="F37" s="57" t="inlineStr">
        <is>
          <t>Advanced breeding</t>
        </is>
      </c>
      <c r="G37" s="57" t="n"/>
      <c r="H37" s="57" t="n">
        <v>4764</v>
      </c>
      <c r="I37" s="58" t="inlineStr">
        <is>
          <t>N/A</t>
        </is>
      </c>
      <c r="J37" s="57" t="inlineStr">
        <is>
          <t>UKY-26-014</t>
        </is>
      </c>
      <c r="K37" s="58" t="inlineStr">
        <is>
          <t>N/A</t>
        </is>
      </c>
      <c r="L37" s="57" t="inlineStr">
        <is>
          <t>Nam</t>
        </is>
      </c>
    </row>
    <row r="38" ht="25" customHeight="1" s="55">
      <c r="A38" s="57" t="n">
        <v>37</v>
      </c>
      <c r="B38" s="57" t="inlineStr">
        <is>
          <t>UKYT-26-009</t>
        </is>
      </c>
      <c r="C38" s="57" t="inlineStr">
        <is>
          <t>South Farm</t>
        </is>
      </c>
      <c r="D38" s="59" t="n">
        <v>46253</v>
      </c>
      <c r="E38" s="57" t="inlineStr">
        <is>
          <t>Fourth</t>
        </is>
      </c>
      <c r="F38" s="57" t="inlineStr">
        <is>
          <t>Advanced breeding</t>
        </is>
      </c>
      <c r="G38" s="57" t="n">
        <v>2657</v>
      </c>
      <c r="H38" s="57" t="n">
        <v>4055</v>
      </c>
      <c r="I38" s="58" t="inlineStr">
        <is>
          <t>N/A</t>
        </is>
      </c>
      <c r="J38" s="57" t="inlineStr">
        <is>
          <t>UKY-26-009</t>
        </is>
      </c>
      <c r="K38" s="58" t="inlineStr">
        <is>
          <t>N/A</t>
        </is>
      </c>
      <c r="L38" s="57" t="inlineStr">
        <is>
          <t>Nam</t>
        </is>
      </c>
    </row>
    <row r="39" ht="25" customHeight="1" s="55">
      <c r="A39" s="57" t="n">
        <v>38</v>
      </c>
      <c r="B39" s="57" t="inlineStr">
        <is>
          <t>UKYT-26-002</t>
        </is>
      </c>
      <c r="C39" s="57" t="inlineStr">
        <is>
          <t>South Farm</t>
        </is>
      </c>
      <c r="D39" s="59" t="n">
        <v>46253</v>
      </c>
      <c r="E39" s="57" t="inlineStr">
        <is>
          <t>Fourth</t>
        </is>
      </c>
      <c r="F39" s="57" t="inlineStr">
        <is>
          <t>Advanced breeding</t>
        </is>
      </c>
      <c r="G39" s="57" t="n">
        <v>1646</v>
      </c>
      <c r="H39" s="57" t="n">
        <v>5270</v>
      </c>
      <c r="I39" s="58" t="inlineStr">
        <is>
          <t>N/A</t>
        </is>
      </c>
      <c r="J39" s="57" t="inlineStr">
        <is>
          <t>UKY-26-002</t>
        </is>
      </c>
      <c r="K39" s="58" t="inlineStr">
        <is>
          <t>N/A</t>
        </is>
      </c>
      <c r="L39" s="57" t="inlineStr">
        <is>
          <t>Nam</t>
        </is>
      </c>
    </row>
    <row r="40" ht="25" customHeight="1" s="55">
      <c r="A40" s="57" t="n">
        <v>39</v>
      </c>
      <c r="B40" s="57" t="inlineStr">
        <is>
          <t>UKYT-26-016</t>
        </is>
      </c>
      <c r="C40" s="57" t="inlineStr">
        <is>
          <t>South Farm</t>
        </is>
      </c>
      <c r="D40" s="59" t="n">
        <v>46253</v>
      </c>
      <c r="E40" s="57" t="inlineStr">
        <is>
          <t>Fourth</t>
        </is>
      </c>
      <c r="F40" s="57" t="inlineStr">
        <is>
          <t>Advanced breeding</t>
        </is>
      </c>
      <c r="G40" s="57" t="n"/>
      <c r="H40" s="57" t="n">
        <v>5175</v>
      </c>
      <c r="I40" s="57" t="inlineStr">
        <is>
          <t xml:space="preserve">18 counts </t>
        </is>
      </c>
      <c r="J40" s="57" t="inlineStr">
        <is>
          <t>UKY-26-016</t>
        </is>
      </c>
      <c r="K40" s="58" t="inlineStr">
        <is>
          <t>N/A</t>
        </is>
      </c>
      <c r="L40" s="57" t="inlineStr">
        <is>
          <t>Nam</t>
        </is>
      </c>
    </row>
    <row r="41" ht="25" customHeight="1" s="55">
      <c r="A41" s="57" t="n">
        <v>40</v>
      </c>
      <c r="B41" s="57" t="inlineStr">
        <is>
          <t>UKYT-26-006</t>
        </is>
      </c>
      <c r="C41" s="57" t="inlineStr">
        <is>
          <t>South Farm</t>
        </is>
      </c>
      <c r="D41" s="59" t="n">
        <v>46253</v>
      </c>
      <c r="E41" s="57" t="inlineStr">
        <is>
          <t>Fourth</t>
        </is>
      </c>
      <c r="F41" s="57" t="inlineStr">
        <is>
          <t>Advanced breeding</t>
        </is>
      </c>
      <c r="G41" s="57" t="n">
        <v>297</v>
      </c>
      <c r="H41" s="57" t="n">
        <v>3107</v>
      </c>
      <c r="I41" s="58" t="inlineStr">
        <is>
          <t>N/A</t>
        </is>
      </c>
      <c r="J41" s="57" t="inlineStr">
        <is>
          <t>UKY-26-006</t>
        </is>
      </c>
      <c r="K41" s="58" t="inlineStr">
        <is>
          <t>N/A</t>
        </is>
      </c>
      <c r="L41" s="57" t="inlineStr">
        <is>
          <t>Nam</t>
        </is>
      </c>
    </row>
    <row r="42" ht="25" customHeight="1" s="55">
      <c r="A42" s="57" t="n">
        <v>41</v>
      </c>
      <c r="B42" s="57" t="inlineStr">
        <is>
          <t>UKYT-26-005</t>
        </is>
      </c>
      <c r="C42" s="57" t="inlineStr">
        <is>
          <t>South Farm</t>
        </is>
      </c>
      <c r="D42" s="59" t="n">
        <v>46253</v>
      </c>
      <c r="E42" s="57" t="inlineStr">
        <is>
          <t>Fourth</t>
        </is>
      </c>
      <c r="F42" s="57" t="inlineStr">
        <is>
          <t>Advanced breeding</t>
        </is>
      </c>
      <c r="G42" s="57" t="n">
        <v>2389</v>
      </c>
      <c r="H42" s="57" t="n">
        <v>5158</v>
      </c>
      <c r="I42" s="58" t="inlineStr">
        <is>
          <t>N/A</t>
        </is>
      </c>
      <c r="J42" s="57" t="inlineStr">
        <is>
          <t>UKY-26-005</t>
        </is>
      </c>
      <c r="K42" s="58" t="inlineStr">
        <is>
          <t>N/A</t>
        </is>
      </c>
      <c r="L42" s="57" t="inlineStr">
        <is>
          <t>Nam</t>
        </is>
      </c>
    </row>
    <row r="43" ht="25" customHeight="1" s="55">
      <c r="A43" s="57" t="n">
        <v>42</v>
      </c>
      <c r="B43" s="57" t="inlineStr">
        <is>
          <t>UKYT-25-001</t>
        </is>
      </c>
      <c r="C43" s="57" t="inlineStr">
        <is>
          <t>South Farm</t>
        </is>
      </c>
      <c r="D43" s="59" t="n">
        <v>46253</v>
      </c>
      <c r="E43" s="57" t="inlineStr">
        <is>
          <t>Fourth</t>
        </is>
      </c>
      <c r="F43" s="57" t="inlineStr">
        <is>
          <t>Advanced breeding</t>
        </is>
      </c>
      <c r="G43" s="57" t="n">
        <v>175</v>
      </c>
      <c r="H43" s="57" t="n">
        <v>1029</v>
      </c>
      <c r="I43" s="58" t="inlineStr">
        <is>
          <t>N/A</t>
        </is>
      </c>
      <c r="J43" s="57" t="inlineStr">
        <is>
          <t>UKY-25-001</t>
        </is>
      </c>
      <c r="K43" s="58" t="inlineStr">
        <is>
          <t>N/A</t>
        </is>
      </c>
      <c r="L43" s="57" t="inlineStr">
        <is>
          <t>Nam</t>
        </is>
      </c>
    </row>
    <row r="44" ht="25" customHeight="1" s="55">
      <c r="A44" s="57" t="n">
        <v>43</v>
      </c>
      <c r="B44" s="57" t="inlineStr">
        <is>
          <t>UKYT-26-004</t>
        </is>
      </c>
      <c r="C44" s="57" t="inlineStr">
        <is>
          <t>South Farm</t>
        </is>
      </c>
      <c r="D44" s="59" t="n">
        <v>46253</v>
      </c>
      <c r="E44" s="57" t="inlineStr">
        <is>
          <t>Fourth</t>
        </is>
      </c>
      <c r="F44" s="57" t="inlineStr">
        <is>
          <t>Advanced breeding</t>
        </is>
      </c>
      <c r="G44" s="57" t="n">
        <v>2086</v>
      </c>
      <c r="H44" s="57" t="n">
        <v>6943</v>
      </c>
      <c r="I44" s="58" t="inlineStr">
        <is>
          <t>N/A</t>
        </is>
      </c>
      <c r="J44" s="57" t="inlineStr">
        <is>
          <t>UKY-26-004</t>
        </is>
      </c>
      <c r="K44" s="58" t="inlineStr">
        <is>
          <t>N/A</t>
        </is>
      </c>
      <c r="L44" s="57" t="inlineStr">
        <is>
          <t>Nam</t>
        </is>
      </c>
    </row>
    <row r="45" ht="25" customHeight="1" s="55">
      <c r="A45" s="57" t="n">
        <v>44</v>
      </c>
      <c r="B45" s="57" t="inlineStr">
        <is>
          <t>UKYT-26-001</t>
        </is>
      </c>
      <c r="C45" s="57" t="inlineStr">
        <is>
          <t>South Farm</t>
        </is>
      </c>
      <c r="D45" s="59" t="n">
        <v>46253</v>
      </c>
      <c r="E45" s="57" t="inlineStr">
        <is>
          <t>Fourth</t>
        </is>
      </c>
      <c r="F45" s="57" t="inlineStr">
        <is>
          <t>Advanced breeding</t>
        </is>
      </c>
      <c r="G45" s="57" t="n">
        <v>1818</v>
      </c>
      <c r="H45" s="57" t="n">
        <v>4087</v>
      </c>
      <c r="I45" s="58" t="inlineStr">
        <is>
          <t>N/A</t>
        </is>
      </c>
      <c r="J45" s="57" t="inlineStr">
        <is>
          <t>UKY-26-001</t>
        </is>
      </c>
      <c r="K45" s="58" t="inlineStr">
        <is>
          <t>N/A</t>
        </is>
      </c>
      <c r="L45" s="57" t="inlineStr">
        <is>
          <t>Nam</t>
        </is>
      </c>
    </row>
    <row r="46" ht="25" customHeight="1" s="55">
      <c r="A46" s="57" t="n">
        <v>45</v>
      </c>
      <c r="B46" s="57" t="inlineStr">
        <is>
          <t>UKYT-25-002</t>
        </is>
      </c>
      <c r="C46" s="57" t="inlineStr">
        <is>
          <t>South Farm</t>
        </is>
      </c>
      <c r="D46" s="59" t="n">
        <v>46253</v>
      </c>
      <c r="E46" s="57" t="inlineStr">
        <is>
          <t>Fourth</t>
        </is>
      </c>
      <c r="F46" s="57" t="inlineStr">
        <is>
          <t>Advanced breeding</t>
        </is>
      </c>
      <c r="G46" s="57" t="n">
        <v>348</v>
      </c>
      <c r="H46" s="57" t="n">
        <v>2973</v>
      </c>
      <c r="I46" s="58" t="inlineStr">
        <is>
          <t>N/A</t>
        </is>
      </c>
      <c r="J46" s="57" t="inlineStr">
        <is>
          <t>UKY-25-002</t>
        </is>
      </c>
      <c r="K46" s="58" t="inlineStr">
        <is>
          <t>N/A</t>
        </is>
      </c>
      <c r="L46" s="57" t="inlineStr">
        <is>
          <t>Nam</t>
        </is>
      </c>
    </row>
    <row r="47" ht="25" customHeight="1" s="55">
      <c r="A47" s="57" t="n">
        <v>46</v>
      </c>
      <c r="B47" s="57" t="inlineStr">
        <is>
          <t>UKYT-26-010</t>
        </is>
      </c>
      <c r="C47" s="57" t="inlineStr">
        <is>
          <t>South Farm</t>
        </is>
      </c>
      <c r="D47" s="59" t="n">
        <v>46253</v>
      </c>
      <c r="E47" s="57" t="inlineStr">
        <is>
          <t>Fourth</t>
        </is>
      </c>
      <c r="F47" s="57" t="inlineStr">
        <is>
          <t>Advanced breeding</t>
        </is>
      </c>
      <c r="G47" s="57" t="n">
        <v>2784</v>
      </c>
      <c r="H47" s="57" t="n">
        <v>3199</v>
      </c>
      <c r="I47" s="58" t="inlineStr">
        <is>
          <t>N/A</t>
        </is>
      </c>
      <c r="J47" s="57" t="inlineStr">
        <is>
          <t>UKY-26-010</t>
        </is>
      </c>
      <c r="K47" s="58" t="inlineStr">
        <is>
          <t>N/A</t>
        </is>
      </c>
      <c r="L47" s="57" t="inlineStr">
        <is>
          <t>Nam</t>
        </is>
      </c>
    </row>
    <row r="48" ht="25" customHeight="1" s="55">
      <c r="A48" s="57" t="n">
        <v>47</v>
      </c>
      <c r="B48" s="57" t="inlineStr">
        <is>
          <t>UKYT-26-007</t>
        </is>
      </c>
      <c r="C48" s="57" t="inlineStr">
        <is>
          <t>South Farm</t>
        </is>
      </c>
      <c r="D48" s="59" t="n">
        <v>46253</v>
      </c>
      <c r="E48" s="57" t="inlineStr">
        <is>
          <t>Fourth</t>
        </is>
      </c>
      <c r="F48" s="57" t="inlineStr">
        <is>
          <t>Advanced breeding</t>
        </is>
      </c>
      <c r="G48" s="57" t="n">
        <v>330</v>
      </c>
      <c r="H48" s="57" t="n">
        <v>6033</v>
      </c>
      <c r="I48" s="58" t="inlineStr">
        <is>
          <t>N/A</t>
        </is>
      </c>
      <c r="J48" s="57" t="inlineStr">
        <is>
          <t>UKY-26-007</t>
        </is>
      </c>
      <c r="K48" s="58" t="inlineStr">
        <is>
          <t>N/A</t>
        </is>
      </c>
      <c r="L48" s="57" t="inlineStr">
        <is>
          <t>Nam</t>
        </is>
      </c>
    </row>
    <row r="49" ht="25" customHeight="1" s="55">
      <c r="A49" s="57" t="n">
        <v>48</v>
      </c>
      <c r="B49" s="57" t="inlineStr">
        <is>
          <t>UKYT-25-005</t>
        </is>
      </c>
      <c r="C49" s="57" t="inlineStr">
        <is>
          <t>South Farm</t>
        </is>
      </c>
      <c r="D49" s="59" t="n">
        <v>46253</v>
      </c>
      <c r="E49" s="57" t="inlineStr">
        <is>
          <t>Fourth</t>
        </is>
      </c>
      <c r="F49" s="57" t="inlineStr">
        <is>
          <t>Advanced breeding</t>
        </is>
      </c>
      <c r="G49" s="57" t="n">
        <v>379</v>
      </c>
      <c r="H49" s="57" t="n">
        <v>6713</v>
      </c>
      <c r="I49" s="58" t="inlineStr">
        <is>
          <t>N/A</t>
        </is>
      </c>
      <c r="J49" s="57" t="inlineStr">
        <is>
          <t>UKY-25-005</t>
        </is>
      </c>
      <c r="K49" s="58" t="inlineStr">
        <is>
          <t>N/A</t>
        </is>
      </c>
      <c r="L49" s="57" t="inlineStr">
        <is>
          <t>Nam</t>
        </is>
      </c>
    </row>
    <row r="50" ht="25" customHeight="1" s="55">
      <c r="A50" s="57" t="n">
        <v>49</v>
      </c>
      <c r="B50" s="57" t="inlineStr">
        <is>
          <t>UKYT-25-004</t>
        </is>
      </c>
      <c r="C50" s="57" t="inlineStr">
        <is>
          <t>South Farm</t>
        </is>
      </c>
      <c r="D50" s="59" t="n">
        <v>46253</v>
      </c>
      <c r="E50" s="57" t="inlineStr">
        <is>
          <t>Fourth</t>
        </is>
      </c>
      <c r="F50" s="57" t="inlineStr">
        <is>
          <t>Advanced breeding</t>
        </is>
      </c>
      <c r="G50" s="57" t="n">
        <v>348</v>
      </c>
      <c r="H50" s="57" t="n">
        <v>2607</v>
      </c>
      <c r="I50" s="58" t="inlineStr">
        <is>
          <t>N/A</t>
        </is>
      </c>
      <c r="J50" s="57" t="inlineStr">
        <is>
          <t>UKY-25-004</t>
        </is>
      </c>
      <c r="K50" s="58" t="inlineStr">
        <is>
          <t>N/A</t>
        </is>
      </c>
      <c r="L50" s="57" t="inlineStr">
        <is>
          <t>Nam</t>
        </is>
      </c>
    </row>
    <row r="51" ht="25" customHeight="1" s="55">
      <c r="A51" s="57" t="n">
        <v>50</v>
      </c>
      <c r="B51" s="57" t="inlineStr">
        <is>
          <t>UKYT-25-003</t>
        </is>
      </c>
      <c r="C51" s="57" t="inlineStr">
        <is>
          <t>South Farm</t>
        </is>
      </c>
      <c r="D51" s="59" t="n">
        <v>46253</v>
      </c>
      <c r="E51" s="57" t="inlineStr">
        <is>
          <t>Fourth</t>
        </is>
      </c>
      <c r="F51" s="57" t="inlineStr">
        <is>
          <t>Advanced breeding</t>
        </is>
      </c>
      <c r="G51" s="57" t="n">
        <v>178</v>
      </c>
      <c r="H51" s="57" t="n">
        <v>939</v>
      </c>
      <c r="I51" s="58" t="inlineStr">
        <is>
          <t>N/A</t>
        </is>
      </c>
      <c r="J51" s="57" t="inlineStr">
        <is>
          <t>UKY-25-003</t>
        </is>
      </c>
      <c r="K51" s="58" t="inlineStr">
        <is>
          <t>N/A</t>
        </is>
      </c>
      <c r="L51" s="57" t="inlineStr">
        <is>
          <t>Nam</t>
        </is>
      </c>
    </row>
    <row r="52" ht="25" customHeight="1" s="55">
      <c r="A52" s="57" t="n">
        <v>51</v>
      </c>
      <c r="B52" s="57" t="inlineStr">
        <is>
          <t>UKYT-26-011</t>
        </is>
      </c>
      <c r="C52" s="57" t="inlineStr">
        <is>
          <t>South Farm</t>
        </is>
      </c>
      <c r="D52" s="59" t="n">
        <v>46253</v>
      </c>
      <c r="E52" s="57" t="inlineStr">
        <is>
          <t>Fourth</t>
        </is>
      </c>
      <c r="F52" s="57" t="inlineStr">
        <is>
          <t>Advanced breeding</t>
        </is>
      </c>
      <c r="G52" s="57" t="n"/>
      <c r="H52" s="57" t="n">
        <v>1002</v>
      </c>
      <c r="I52" s="57" t="inlineStr">
        <is>
          <t>4 counts</t>
        </is>
      </c>
      <c r="J52" s="57" t="inlineStr">
        <is>
          <t>UKY-26-011</t>
        </is>
      </c>
      <c r="K52" s="58" t="inlineStr">
        <is>
          <t>N/A</t>
        </is>
      </c>
      <c r="L52" s="57" t="inlineStr">
        <is>
          <t>Nam</t>
        </is>
      </c>
    </row>
    <row r="53" ht="25" customHeight="1" s="55">
      <c r="A53" s="57" t="n">
        <v>52</v>
      </c>
      <c r="B53" s="57" t="inlineStr">
        <is>
          <t>UKYT-26-013</t>
        </is>
      </c>
      <c r="C53" s="57" t="inlineStr">
        <is>
          <t>South Farm</t>
        </is>
      </c>
      <c r="D53" s="59" t="n">
        <v>46253</v>
      </c>
      <c r="E53" s="57" t="inlineStr">
        <is>
          <t>Fourth</t>
        </is>
      </c>
      <c r="F53" s="57" t="inlineStr">
        <is>
          <t>Advanced breeding</t>
        </is>
      </c>
      <c r="G53" s="57" t="n"/>
      <c r="H53" s="57" t="n">
        <v>674</v>
      </c>
      <c r="I53" s="58" t="inlineStr">
        <is>
          <t>N/A</t>
        </is>
      </c>
      <c r="J53" s="57" t="inlineStr">
        <is>
          <t>UKY-26-013</t>
        </is>
      </c>
      <c r="K53" s="58" t="inlineStr">
        <is>
          <t>N/A</t>
        </is>
      </c>
      <c r="L53" s="57" t="inlineStr">
        <is>
          <t>Nam</t>
        </is>
      </c>
    </row>
    <row r="54" ht="25" customHeight="1" s="55">
      <c r="A54" s="57" t="n">
        <v>53</v>
      </c>
      <c r="B54" s="57" t="inlineStr">
        <is>
          <t>UKYT-26-012</t>
        </is>
      </c>
      <c r="C54" s="57" t="inlineStr">
        <is>
          <t>South Farm</t>
        </is>
      </c>
      <c r="D54" s="59" t="n">
        <v>46253</v>
      </c>
      <c r="E54" s="57" t="inlineStr">
        <is>
          <t>Fourth</t>
        </is>
      </c>
      <c r="F54" s="57" t="inlineStr">
        <is>
          <t>Advanced breeding</t>
        </is>
      </c>
      <c r="G54" s="57" t="n"/>
      <c r="H54" s="57" t="n">
        <v>2852</v>
      </c>
      <c r="I54" s="57" t="inlineStr">
        <is>
          <t>9 counts</t>
        </is>
      </c>
      <c r="J54" s="57" t="inlineStr">
        <is>
          <t>UKY-26-012</t>
        </is>
      </c>
      <c r="K54" s="58" t="inlineStr">
        <is>
          <t>N/A</t>
        </is>
      </c>
      <c r="L54" s="57" t="inlineStr">
        <is>
          <t>Nam</t>
        </is>
      </c>
    </row>
    <row r="55" ht="25" customHeight="1" s="55">
      <c r="A55" s="57" t="n">
        <v>54</v>
      </c>
      <c r="B55" s="57" t="inlineStr">
        <is>
          <t>UKYT-25-008</t>
        </is>
      </c>
      <c r="C55" s="57" t="inlineStr">
        <is>
          <t>South Farm</t>
        </is>
      </c>
      <c r="D55" s="59" t="n">
        <v>46253</v>
      </c>
      <c r="E55" s="57" t="inlineStr">
        <is>
          <t>Fourth</t>
        </is>
      </c>
      <c r="F55" s="57" t="inlineStr">
        <is>
          <t>Advanced breeding</t>
        </is>
      </c>
      <c r="G55" s="57" t="n">
        <v>318</v>
      </c>
      <c r="H55" s="57" t="n">
        <v>1306</v>
      </c>
      <c r="I55" s="58" t="inlineStr">
        <is>
          <t>N/A</t>
        </is>
      </c>
      <c r="J55" s="57" t="inlineStr">
        <is>
          <t>UKY-25-008</t>
        </is>
      </c>
      <c r="K55" s="58" t="inlineStr">
        <is>
          <t>N/A</t>
        </is>
      </c>
      <c r="L55" s="57" t="inlineStr">
        <is>
          <t>Nam</t>
        </is>
      </c>
    </row>
    <row r="56" ht="25" customHeight="1" s="55">
      <c r="A56" s="57" t="n">
        <v>55</v>
      </c>
      <c r="B56" s="57" t="inlineStr">
        <is>
          <t>UKYT-25-007</t>
        </is>
      </c>
      <c r="C56" s="57" t="inlineStr">
        <is>
          <t>South Farm</t>
        </is>
      </c>
      <c r="D56" s="59" t="n">
        <v>46253</v>
      </c>
      <c r="E56" s="57" t="inlineStr">
        <is>
          <t>Fourth</t>
        </is>
      </c>
      <c r="F56" s="57" t="inlineStr">
        <is>
          <t>Advanced breeding</t>
        </is>
      </c>
      <c r="G56" s="57" t="n">
        <v>329</v>
      </c>
      <c r="H56" s="57" t="n">
        <v>1707</v>
      </c>
      <c r="I56" s="58" t="inlineStr">
        <is>
          <t>N/A</t>
        </is>
      </c>
      <c r="J56" s="57" t="inlineStr">
        <is>
          <t>UKY-25-007</t>
        </is>
      </c>
      <c r="K56" s="58" t="inlineStr">
        <is>
          <t>N/A</t>
        </is>
      </c>
      <c r="L56" s="57" t="inlineStr">
        <is>
          <t>Nam</t>
        </is>
      </c>
    </row>
    <row r="57" ht="25" customHeight="1" s="55">
      <c r="A57" s="57" t="n">
        <v>56</v>
      </c>
      <c r="B57" s="57" t="inlineStr">
        <is>
          <t>UKYT-25-009</t>
        </is>
      </c>
      <c r="C57" s="57" t="inlineStr">
        <is>
          <t>South Farm</t>
        </is>
      </c>
      <c r="D57" s="59" t="n">
        <v>46253</v>
      </c>
      <c r="E57" s="57" t="inlineStr">
        <is>
          <t>Fourth</t>
        </is>
      </c>
      <c r="F57" s="57" t="inlineStr">
        <is>
          <t>Advanced breeding</t>
        </is>
      </c>
      <c r="G57" s="57" t="n">
        <v>359</v>
      </c>
      <c r="H57" s="57" t="n">
        <v>1139</v>
      </c>
      <c r="I57" s="58" t="inlineStr">
        <is>
          <t>N/A</t>
        </is>
      </c>
      <c r="J57" s="57" t="inlineStr">
        <is>
          <t>UKY-25-009</t>
        </is>
      </c>
      <c r="K57" s="58" t="inlineStr">
        <is>
          <t>N/A</t>
        </is>
      </c>
      <c r="L57" s="57" t="inlineStr">
        <is>
          <t>Nam</t>
        </is>
      </c>
    </row>
    <row r="58" ht="25" customHeight="1" s="55">
      <c r="A58" s="57" t="n">
        <v>57</v>
      </c>
      <c r="B58" s="57" t="inlineStr">
        <is>
          <t>UKYT-25-006</t>
        </is>
      </c>
      <c r="C58" s="57" t="inlineStr">
        <is>
          <t>South Farm</t>
        </is>
      </c>
      <c r="D58" s="59" t="n">
        <v>46253</v>
      </c>
      <c r="E58" s="57" t="inlineStr">
        <is>
          <t>Fourth</t>
        </is>
      </c>
      <c r="F58" s="57" t="inlineStr">
        <is>
          <t>Advanced breeding</t>
        </is>
      </c>
      <c r="G58" s="57" t="n">
        <v>359</v>
      </c>
      <c r="H58" s="57" t="n">
        <v>3137</v>
      </c>
      <c r="I58" s="57" t="inlineStr">
        <is>
          <t>Mixed with orange and red fruits</t>
        </is>
      </c>
      <c r="J58" s="57" t="inlineStr">
        <is>
          <t>UKY-25-006</t>
        </is>
      </c>
      <c r="K58" s="58" t="inlineStr">
        <is>
          <t>N/A</t>
        </is>
      </c>
      <c r="L58" s="57" t="inlineStr">
        <is>
          <t>Nam</t>
        </is>
      </c>
    </row>
    <row r="59" ht="25" customHeight="1" s="55">
      <c r="A59" s="57" t="n">
        <v>58</v>
      </c>
      <c r="B59" s="58" t="inlineStr">
        <is>
          <t>N/A</t>
        </is>
      </c>
      <c r="C59" s="57" t="inlineStr">
        <is>
          <t>South Farm</t>
        </is>
      </c>
      <c r="D59" s="59" t="n">
        <v>46253</v>
      </c>
      <c r="E59" s="57" t="inlineStr">
        <is>
          <t>Fourth</t>
        </is>
      </c>
      <c r="F59" s="58" t="inlineStr">
        <is>
          <t>N/A</t>
        </is>
      </c>
      <c r="G59" s="57" t="n">
        <v>4432</v>
      </c>
      <c r="H59" s="57" t="n">
        <v>5186</v>
      </c>
      <c r="I59" s="57" t="inlineStr">
        <is>
          <t>No sample taken; Orange fruits close to peace vine cherry and Cherokee purple</t>
        </is>
      </c>
      <c r="J59" s="57" t="inlineStr">
        <is>
          <t>Orange fruits close to peace vine cherry and Cherokee purple</t>
        </is>
      </c>
      <c r="K59" s="58" t="inlineStr">
        <is>
          <t>N/A</t>
        </is>
      </c>
      <c r="L59" s="57" t="inlineStr">
        <is>
          <t>Nam</t>
        </is>
      </c>
    </row>
  </sheetData>
  <autoFilter ref="A1:L59"/>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O39"/>
  <sheetViews>
    <sheetView showGridLines="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17" customWidth="1" style="55" min="2" max="2"/>
    <col width="12" customWidth="1" style="55" min="3" max="3"/>
    <col width="17" customWidth="1" style="55" min="4" max="4"/>
    <col width="9" bestFit="1" customWidth="1" style="55" min="5" max="5"/>
    <col width="19" bestFit="1" customWidth="1" style="55" min="6" max="6"/>
    <col width="29" bestFit="1" customWidth="1" style="55" min="7" max="7"/>
    <col width="29" customWidth="1" style="55" min="8" max="8"/>
    <col width="24" customWidth="1" style="55" min="9" max="9"/>
    <col width="24" customWidth="1" style="55" min="10" max="10"/>
    <col width="18" customWidth="1" style="55" min="11" max="11"/>
    <col width="19" customWidth="1" style="55" min="12" max="12"/>
    <col width="8" bestFit="1" customWidth="1" style="55" min="13" max="13"/>
    <col width="17" customWidth="1" style="55" min="14" max="14"/>
    <col width="11" customWidth="1" style="55" min="15" max="15"/>
  </cols>
  <sheetData>
    <row r="1" ht="18" customHeight="1" s="55">
      <c r="A1" s="56" t="inlineStr">
        <is>
          <t>SN</t>
        </is>
      </c>
      <c r="B1" s="56" t="inlineStr">
        <is>
          <t>Genotypes</t>
        </is>
      </c>
      <c r="C1" s="56" t="inlineStr">
        <is>
          <t>Location</t>
        </is>
      </c>
      <c r="D1" s="56" t="inlineStr">
        <is>
          <t>Date of harvest</t>
        </is>
      </c>
      <c r="E1" s="56" t="inlineStr">
        <is>
          <t>Harvest</t>
        </is>
      </c>
      <c r="F1" s="56" t="inlineStr">
        <is>
          <t>Experiment</t>
        </is>
      </c>
      <c r="G1" s="56" t="inlineStr">
        <is>
          <t>Grade 1 Marketable (weight)</t>
        </is>
      </c>
      <c r="H1" s="56" t="inlineStr">
        <is>
          <t>Grade 1 Marketable (counts)</t>
        </is>
      </c>
      <c r="I1" s="56" t="inlineStr">
        <is>
          <t>Unmarketables (weight)</t>
        </is>
      </c>
      <c r="J1" s="56" t="inlineStr">
        <is>
          <t>Unmarketables (counts)</t>
        </is>
      </c>
      <c r="K1" s="56" t="inlineStr">
        <is>
          <t>Total Weight (g)</t>
        </is>
      </c>
      <c r="L1" s="56" t="inlineStr">
        <is>
          <t>Total Weight (kg)</t>
        </is>
      </c>
      <c r="M1" s="56" t="inlineStr">
        <is>
          <t>Note</t>
        </is>
      </c>
      <c r="N1" s="56" t="inlineStr">
        <is>
          <t>Genotype_raw</t>
        </is>
      </c>
      <c r="O1" s="56" t="inlineStr">
        <is>
          <t>Replicate</t>
        </is>
      </c>
    </row>
    <row r="2" ht="25" customHeight="1" s="55">
      <c r="A2" s="57" t="n">
        <v>1</v>
      </c>
      <c r="B2" s="57" t="inlineStr">
        <is>
          <t>NC25208G</t>
        </is>
      </c>
      <c r="C2" s="57" t="inlineStr">
        <is>
          <t>South Farm</t>
        </is>
      </c>
      <c r="D2" s="58" t="inlineStr">
        <is>
          <t>N/A</t>
        </is>
      </c>
      <c r="E2" s="58" t="inlineStr">
        <is>
          <t>N/A</t>
        </is>
      </c>
      <c r="F2" s="57" t="inlineStr">
        <is>
          <t>Hybrid evaluation</t>
        </is>
      </c>
      <c r="G2" s="57" t="n">
        <v>3163</v>
      </c>
      <c r="H2" s="57" t="n">
        <v>12</v>
      </c>
      <c r="I2" s="57" t="n">
        <v>6956</v>
      </c>
      <c r="J2" s="57" t="n">
        <v>23</v>
      </c>
      <c r="K2" s="57">
        <f>(G2+I2)</f>
        <v/>
      </c>
      <c r="L2" s="57">
        <f>K2/1000</f>
        <v/>
      </c>
      <c r="M2" s="58" t="inlineStr">
        <is>
          <t>N/A</t>
        </is>
      </c>
      <c r="N2" s="57" t="inlineStr">
        <is>
          <t>NC25208G</t>
        </is>
      </c>
      <c r="O2" s="58" t="inlineStr">
        <is>
          <t>N/A</t>
        </is>
      </c>
    </row>
    <row r="3" ht="25" customHeight="1" s="55">
      <c r="A3" s="57" t="n">
        <v>2</v>
      </c>
      <c r="B3" s="57" t="inlineStr">
        <is>
          <t>Mt. Heritage</t>
        </is>
      </c>
      <c r="C3" s="57" t="inlineStr">
        <is>
          <t>South Farm</t>
        </is>
      </c>
      <c r="D3" s="58" t="inlineStr">
        <is>
          <t>N/A</t>
        </is>
      </c>
      <c r="E3" s="58" t="inlineStr">
        <is>
          <t>N/A</t>
        </is>
      </c>
      <c r="F3" s="57" t="inlineStr">
        <is>
          <t>Hybrid evaluation</t>
        </is>
      </c>
      <c r="G3" s="57" t="n">
        <v>3117</v>
      </c>
      <c r="H3" s="57" t="n">
        <v>9</v>
      </c>
      <c r="I3" s="57" t="n">
        <v>3262</v>
      </c>
      <c r="J3" s="57" t="n">
        <v>9</v>
      </c>
      <c r="K3" s="57">
        <f>(G3+I3)</f>
        <v/>
      </c>
      <c r="L3" s="57">
        <f>K3/1000</f>
        <v/>
      </c>
      <c r="M3" s="58" t="inlineStr">
        <is>
          <t>N/A</t>
        </is>
      </c>
      <c r="N3" s="57" t="inlineStr">
        <is>
          <t>MT.HERITAGE</t>
        </is>
      </c>
      <c r="O3" s="58" t="inlineStr">
        <is>
          <t>N/A</t>
        </is>
      </c>
    </row>
    <row r="4" ht="25" customHeight="1" s="55">
      <c r="A4" s="57" t="n">
        <v>3</v>
      </c>
      <c r="B4" s="57" t="inlineStr">
        <is>
          <t>NC25304G</t>
        </is>
      </c>
      <c r="C4" s="57" t="inlineStr">
        <is>
          <t>South Farm</t>
        </is>
      </c>
      <c r="D4" s="58" t="inlineStr">
        <is>
          <t>N/A</t>
        </is>
      </c>
      <c r="E4" s="58" t="inlineStr">
        <is>
          <t>N/A</t>
        </is>
      </c>
      <c r="F4" s="57" t="inlineStr">
        <is>
          <t>Hybrid evaluation</t>
        </is>
      </c>
      <c r="G4" s="57" t="n">
        <v>6813</v>
      </c>
      <c r="H4" s="57" t="n">
        <v>25</v>
      </c>
      <c r="I4" s="57" t="n">
        <v>3977</v>
      </c>
      <c r="J4" s="57" t="n">
        <v>19</v>
      </c>
      <c r="K4" s="57">
        <f>(G4+I4)</f>
        <v/>
      </c>
      <c r="L4" s="57">
        <f>K4/1000</f>
        <v/>
      </c>
      <c r="M4" s="58" t="inlineStr">
        <is>
          <t>N/A</t>
        </is>
      </c>
      <c r="N4" s="57" t="inlineStr">
        <is>
          <t>25304G</t>
        </is>
      </c>
      <c r="O4" s="58" t="inlineStr">
        <is>
          <t>N/A</t>
        </is>
      </c>
    </row>
    <row r="5" ht="25" customHeight="1" s="55">
      <c r="A5" s="57" t="n">
        <v>4</v>
      </c>
      <c r="B5" s="57" t="inlineStr">
        <is>
          <t>Mt. Gem</t>
        </is>
      </c>
      <c r="C5" s="57" t="inlineStr">
        <is>
          <t>South Farm</t>
        </is>
      </c>
      <c r="D5" s="58" t="inlineStr">
        <is>
          <t>N/A</t>
        </is>
      </c>
      <c r="E5" s="58" t="inlineStr">
        <is>
          <t>N/A</t>
        </is>
      </c>
      <c r="F5" s="57" t="inlineStr">
        <is>
          <t>Hybrid evaluation</t>
        </is>
      </c>
      <c r="G5" s="57" t="n">
        <v>7673</v>
      </c>
      <c r="H5" s="57" t="n">
        <v>23</v>
      </c>
      <c r="I5" s="57" t="n">
        <v>2758</v>
      </c>
      <c r="J5" s="57" t="n">
        <v>10</v>
      </c>
      <c r="K5" s="57">
        <f>(G5+I5)</f>
        <v/>
      </c>
      <c r="L5" s="57">
        <f>K5/1000</f>
        <v/>
      </c>
      <c r="M5" s="58" t="inlineStr">
        <is>
          <t>N/A</t>
        </is>
      </c>
      <c r="N5" s="57" t="inlineStr">
        <is>
          <t>MT.GEM</t>
        </is>
      </c>
      <c r="O5" s="58" t="inlineStr">
        <is>
          <t>N/A</t>
        </is>
      </c>
    </row>
    <row r="6" ht="25" customHeight="1" s="55">
      <c r="A6" s="57" t="n">
        <v>5</v>
      </c>
      <c r="B6" s="57" t="inlineStr">
        <is>
          <t>NC25217G</t>
        </is>
      </c>
      <c r="C6" s="57" t="inlineStr">
        <is>
          <t>South Farm</t>
        </is>
      </c>
      <c r="D6" s="58" t="inlineStr">
        <is>
          <t>N/A</t>
        </is>
      </c>
      <c r="E6" s="58" t="inlineStr">
        <is>
          <t>N/A</t>
        </is>
      </c>
      <c r="F6" s="57" t="inlineStr">
        <is>
          <t>Hybrid evaluation</t>
        </is>
      </c>
      <c r="G6" s="57" t="n">
        <v>3633</v>
      </c>
      <c r="H6" s="57" t="n">
        <v>10</v>
      </c>
      <c r="I6" s="57" t="n">
        <v>4224</v>
      </c>
      <c r="J6" s="57" t="n">
        <v>19</v>
      </c>
      <c r="K6" s="57">
        <f>(G6+I6)</f>
        <v/>
      </c>
      <c r="L6" s="57">
        <f>K6/1000</f>
        <v/>
      </c>
      <c r="M6" s="58" t="inlineStr">
        <is>
          <t>N/A</t>
        </is>
      </c>
      <c r="N6" s="57" t="inlineStr">
        <is>
          <t>25217G</t>
        </is>
      </c>
      <c r="O6" s="58" t="inlineStr">
        <is>
          <t>N/A</t>
        </is>
      </c>
    </row>
    <row r="7" ht="25" customHeight="1" s="55">
      <c r="A7" s="57" t="n">
        <v>6</v>
      </c>
      <c r="B7" s="57" t="inlineStr">
        <is>
          <t>NC25231G</t>
        </is>
      </c>
      <c r="C7" s="57" t="inlineStr">
        <is>
          <t>South Farm</t>
        </is>
      </c>
      <c r="D7" s="58" t="inlineStr">
        <is>
          <t>N/A</t>
        </is>
      </c>
      <c r="E7" s="58" t="inlineStr">
        <is>
          <t>N/A</t>
        </is>
      </c>
      <c r="F7" s="57" t="inlineStr">
        <is>
          <t>Hybrid evaluation</t>
        </is>
      </c>
      <c r="G7" s="57" t="n">
        <v>2930</v>
      </c>
      <c r="H7" s="57" t="n">
        <v>10</v>
      </c>
      <c r="I7" s="57" t="n">
        <v>3273</v>
      </c>
      <c r="J7" s="57" t="n">
        <v>11</v>
      </c>
      <c r="K7" s="57">
        <f>(G7+I7)</f>
        <v/>
      </c>
      <c r="L7" s="57">
        <f>K7/1000</f>
        <v/>
      </c>
      <c r="M7" s="58" t="inlineStr">
        <is>
          <t>N/A</t>
        </is>
      </c>
      <c r="N7" s="57" t="inlineStr">
        <is>
          <t>25231G</t>
        </is>
      </c>
      <c r="O7" s="58" t="inlineStr">
        <is>
          <t>N/A</t>
        </is>
      </c>
    </row>
    <row r="8" ht="25" customHeight="1" s="55">
      <c r="A8" s="57" t="n">
        <v>7</v>
      </c>
      <c r="B8" s="57" t="inlineStr">
        <is>
          <t>NC25209G</t>
        </is>
      </c>
      <c r="C8" s="57" t="inlineStr">
        <is>
          <t>South Farm</t>
        </is>
      </c>
      <c r="D8" s="58" t="inlineStr">
        <is>
          <t>N/A</t>
        </is>
      </c>
      <c r="E8" s="58" t="inlineStr">
        <is>
          <t>N/A</t>
        </is>
      </c>
      <c r="F8" s="57" t="inlineStr">
        <is>
          <t>Hybrid evaluation</t>
        </is>
      </c>
      <c r="G8" s="57" t="n">
        <v>2483</v>
      </c>
      <c r="H8" s="57" t="n">
        <v>7</v>
      </c>
      <c r="I8" s="57" t="n">
        <v>4262</v>
      </c>
      <c r="J8" s="57" t="n">
        <v>14</v>
      </c>
      <c r="K8" s="57">
        <f>(G8+I8)</f>
        <v/>
      </c>
      <c r="L8" s="57">
        <f>K8/1000</f>
        <v/>
      </c>
      <c r="M8" s="58" t="inlineStr">
        <is>
          <t>N/A</t>
        </is>
      </c>
      <c r="N8" s="57" t="inlineStr">
        <is>
          <t>NC25209G</t>
        </is>
      </c>
      <c r="O8" s="58" t="inlineStr">
        <is>
          <t>N/A</t>
        </is>
      </c>
    </row>
    <row r="9" ht="25" customHeight="1" s="55">
      <c r="A9" s="57" t="n">
        <v>8</v>
      </c>
      <c r="B9" s="57" t="inlineStr">
        <is>
          <t>NC23706G</t>
        </is>
      </c>
      <c r="C9" s="57" t="inlineStr">
        <is>
          <t>South Farm</t>
        </is>
      </c>
      <c r="D9" s="58" t="inlineStr">
        <is>
          <t>N/A</t>
        </is>
      </c>
      <c r="E9" s="58" t="inlineStr">
        <is>
          <t>N/A</t>
        </is>
      </c>
      <c r="F9" s="57" t="inlineStr">
        <is>
          <t>Hybrid evaluation</t>
        </is>
      </c>
      <c r="G9" s="57" t="n">
        <v>3443</v>
      </c>
      <c r="H9" s="57" t="n">
        <v>9</v>
      </c>
      <c r="I9" s="57" t="n">
        <v>4592</v>
      </c>
      <c r="J9" s="57" t="n">
        <v>12</v>
      </c>
      <c r="K9" s="57">
        <f>(G9+I9)</f>
        <v/>
      </c>
      <c r="L9" s="57">
        <f>K9/1000</f>
        <v/>
      </c>
      <c r="M9" s="58" t="inlineStr">
        <is>
          <t>N/A</t>
        </is>
      </c>
      <c r="N9" s="57" t="inlineStr">
        <is>
          <t>23706G</t>
        </is>
      </c>
      <c r="O9" s="58" t="inlineStr">
        <is>
          <t>N/A</t>
        </is>
      </c>
    </row>
    <row r="10" ht="25" customHeight="1" s="55">
      <c r="A10" s="57" t="n">
        <v>9</v>
      </c>
      <c r="B10" s="57" t="inlineStr">
        <is>
          <t>NC263G</t>
        </is>
      </c>
      <c r="C10" s="57" t="inlineStr">
        <is>
          <t>South Farm</t>
        </is>
      </c>
      <c r="D10" s="58" t="inlineStr">
        <is>
          <t>N/A</t>
        </is>
      </c>
      <c r="E10" s="58" t="inlineStr">
        <is>
          <t>N/A</t>
        </is>
      </c>
      <c r="F10" s="57" t="inlineStr">
        <is>
          <t>Hybrid evaluation</t>
        </is>
      </c>
      <c r="G10" s="57" t="n">
        <v>5442</v>
      </c>
      <c r="H10" s="57" t="n">
        <v>12</v>
      </c>
      <c r="I10" s="57" t="n">
        <v>7010</v>
      </c>
      <c r="J10" s="57" t="n">
        <v>17</v>
      </c>
      <c r="K10" s="57">
        <f>(G10+I10)</f>
        <v/>
      </c>
      <c r="L10" s="57">
        <f>K10/1000</f>
        <v/>
      </c>
      <c r="M10" s="57" t="inlineStr">
        <is>
          <t>263G</t>
        </is>
      </c>
      <c r="N10" s="57" t="inlineStr">
        <is>
          <t>NC 263G</t>
        </is>
      </c>
      <c r="O10" s="58" t="inlineStr">
        <is>
          <t>N/A</t>
        </is>
      </c>
    </row>
    <row r="11" ht="25" customHeight="1" s="55">
      <c r="A11" s="57" t="n">
        <v>10</v>
      </c>
      <c r="B11" s="57" t="inlineStr">
        <is>
          <t>NC25207G</t>
        </is>
      </c>
      <c r="C11" s="57" t="inlineStr">
        <is>
          <t>South Farm</t>
        </is>
      </c>
      <c r="D11" s="58" t="inlineStr">
        <is>
          <t>N/A</t>
        </is>
      </c>
      <c r="E11" s="58" t="inlineStr">
        <is>
          <t>N/A</t>
        </is>
      </c>
      <c r="F11" s="57" t="inlineStr">
        <is>
          <t>Hybrid evaluation</t>
        </is>
      </c>
      <c r="G11" s="57" t="n">
        <v>1827</v>
      </c>
      <c r="H11" s="57" t="n">
        <v>6</v>
      </c>
      <c r="I11" s="57" t="n">
        <v>941</v>
      </c>
      <c r="J11" s="57" t="n">
        <v>4</v>
      </c>
      <c r="K11" s="57">
        <f>(G11+I11)</f>
        <v/>
      </c>
      <c r="L11" s="57">
        <f>K11/1000</f>
        <v/>
      </c>
      <c r="M11" s="58" t="inlineStr">
        <is>
          <t>N/A</t>
        </is>
      </c>
      <c r="N11" s="57" t="inlineStr">
        <is>
          <t>NC25207G</t>
        </is>
      </c>
      <c r="O11" s="58" t="inlineStr">
        <is>
          <t>N/A</t>
        </is>
      </c>
    </row>
    <row r="12" ht="25" customHeight="1" s="55">
      <c r="A12" s="57" t="n">
        <v>11</v>
      </c>
      <c r="B12" s="57" t="inlineStr">
        <is>
          <t>NC25218G</t>
        </is>
      </c>
      <c r="C12" s="57" t="inlineStr">
        <is>
          <t>South Farm</t>
        </is>
      </c>
      <c r="D12" s="58" t="inlineStr">
        <is>
          <t>N/A</t>
        </is>
      </c>
      <c r="E12" s="58" t="inlineStr">
        <is>
          <t>N/A</t>
        </is>
      </c>
      <c r="F12" s="57" t="inlineStr">
        <is>
          <t>Hybrid evaluation</t>
        </is>
      </c>
      <c r="G12" s="57" t="n">
        <v>4747</v>
      </c>
      <c r="H12" s="57" t="n">
        <v>23</v>
      </c>
      <c r="I12" s="57" t="n">
        <v>4382</v>
      </c>
      <c r="J12" s="57" t="n">
        <v>18</v>
      </c>
      <c r="K12" s="57">
        <f>(G12+I12)</f>
        <v/>
      </c>
      <c r="L12" s="57">
        <f>K12/1000</f>
        <v/>
      </c>
      <c r="M12" s="58" t="inlineStr">
        <is>
          <t>N/A</t>
        </is>
      </c>
      <c r="N12" s="57" t="inlineStr">
        <is>
          <t>25218G</t>
        </is>
      </c>
      <c r="O12" s="58" t="inlineStr">
        <is>
          <t>N/A</t>
        </is>
      </c>
    </row>
    <row r="13" ht="25" customHeight="1" s="55">
      <c r="A13" s="57" t="n">
        <v>12</v>
      </c>
      <c r="B13" s="57" t="inlineStr">
        <is>
          <t>NC25203G</t>
        </is>
      </c>
      <c r="C13" s="57" t="inlineStr">
        <is>
          <t>South Farm</t>
        </is>
      </c>
      <c r="D13" s="58" t="inlineStr">
        <is>
          <t>N/A</t>
        </is>
      </c>
      <c r="E13" s="58" t="inlineStr">
        <is>
          <t>N/A</t>
        </is>
      </c>
      <c r="F13" s="57" t="inlineStr">
        <is>
          <t>Hybrid evaluation</t>
        </is>
      </c>
      <c r="G13" s="57" t="n">
        <v>7625</v>
      </c>
      <c r="H13" s="57" t="n">
        <v>26</v>
      </c>
      <c r="I13" s="57" t="n">
        <v>3106</v>
      </c>
      <c r="J13" s="57" t="n">
        <v>12</v>
      </c>
      <c r="K13" s="57">
        <f>(G13+I13)</f>
        <v/>
      </c>
      <c r="L13" s="57">
        <f>K13/1000</f>
        <v/>
      </c>
      <c r="M13" s="58" t="inlineStr">
        <is>
          <t>N/A</t>
        </is>
      </c>
      <c r="N13" s="57" t="inlineStr">
        <is>
          <t>NC25203G</t>
        </is>
      </c>
      <c r="O13" s="58" t="inlineStr">
        <is>
          <t>N/A</t>
        </is>
      </c>
    </row>
    <row r="14" ht="25" customHeight="1" s="55">
      <c r="A14" s="57" t="n">
        <v>13</v>
      </c>
      <c r="B14" s="57" t="inlineStr">
        <is>
          <t>UKYT-25-311</t>
        </is>
      </c>
      <c r="C14" s="57" t="inlineStr">
        <is>
          <t>South Farm</t>
        </is>
      </c>
      <c r="D14" s="58" t="inlineStr">
        <is>
          <t>N/A</t>
        </is>
      </c>
      <c r="E14" s="58" t="inlineStr">
        <is>
          <t>N/A</t>
        </is>
      </c>
      <c r="F14" s="58" t="inlineStr">
        <is>
          <t>N/A</t>
        </is>
      </c>
      <c r="G14" s="57" t="n">
        <v>4433</v>
      </c>
      <c r="H14" s="57" t="n">
        <v>12</v>
      </c>
      <c r="I14" s="57" t="n">
        <v>3601</v>
      </c>
      <c r="J14" s="57" t="n">
        <v>13</v>
      </c>
      <c r="K14" s="57">
        <f>(G14+I14)</f>
        <v/>
      </c>
      <c r="L14" s="57">
        <f>K14/1000</f>
        <v/>
      </c>
      <c r="M14" s="58" t="inlineStr">
        <is>
          <t>N/A</t>
        </is>
      </c>
      <c r="N14" s="57" t="inlineStr">
        <is>
          <t>25311</t>
        </is>
      </c>
      <c r="O14" s="58" t="inlineStr">
        <is>
          <t>N/A</t>
        </is>
      </c>
    </row>
    <row r="15" ht="25" customHeight="1" s="55">
      <c r="A15" s="57" t="n">
        <v>14</v>
      </c>
      <c r="B15" s="57" t="inlineStr">
        <is>
          <t>NC25205</t>
        </is>
      </c>
      <c r="C15" s="57" t="inlineStr">
        <is>
          <t>South Farm</t>
        </is>
      </c>
      <c r="D15" s="58" t="inlineStr">
        <is>
          <t>N/A</t>
        </is>
      </c>
      <c r="E15" s="58" t="inlineStr">
        <is>
          <t>N/A</t>
        </is>
      </c>
      <c r="F15" s="58" t="inlineStr">
        <is>
          <t>N/A</t>
        </is>
      </c>
      <c r="G15" s="57" t="n">
        <v>5854</v>
      </c>
      <c r="H15" s="57" t="n">
        <v>17</v>
      </c>
      <c r="I15" s="57" t="n">
        <v>2014</v>
      </c>
      <c r="J15" s="57" t="n">
        <v>7</v>
      </c>
      <c r="K15" s="57">
        <f>(G15+I15)</f>
        <v/>
      </c>
      <c r="L15" s="57">
        <f>K15/1000</f>
        <v/>
      </c>
      <c r="M15" s="58" t="inlineStr">
        <is>
          <t>N/A</t>
        </is>
      </c>
      <c r="N15" s="57" t="inlineStr">
        <is>
          <t>NC25205</t>
        </is>
      </c>
      <c r="O15" s="58" t="inlineStr">
        <is>
          <t>N/A</t>
        </is>
      </c>
    </row>
    <row r="16" ht="25" customHeight="1" s="55">
      <c r="A16" s="57" t="n">
        <v>15</v>
      </c>
      <c r="B16" s="57" t="inlineStr">
        <is>
          <t>NC257G</t>
        </is>
      </c>
      <c r="C16" s="57" t="inlineStr">
        <is>
          <t>South Farm</t>
        </is>
      </c>
      <c r="D16" s="58" t="inlineStr">
        <is>
          <t>N/A</t>
        </is>
      </c>
      <c r="E16" s="58" t="inlineStr">
        <is>
          <t>N/A</t>
        </is>
      </c>
      <c r="F16" s="58" t="inlineStr">
        <is>
          <t>N/A</t>
        </is>
      </c>
      <c r="G16" s="57" t="n">
        <v>4331</v>
      </c>
      <c r="H16" s="57" t="n">
        <v>16</v>
      </c>
      <c r="I16" s="57" t="n">
        <v>2418</v>
      </c>
      <c r="J16" s="57" t="n">
        <v>11</v>
      </c>
      <c r="K16" s="57">
        <f>(G16+I16)</f>
        <v/>
      </c>
      <c r="L16" s="57">
        <f>K16/1000</f>
        <v/>
      </c>
      <c r="M16" s="57" t="inlineStr">
        <is>
          <t>MIX</t>
        </is>
      </c>
      <c r="N16" s="57" t="inlineStr">
        <is>
          <t>257G</t>
        </is>
      </c>
      <c r="O16" s="58" t="inlineStr">
        <is>
          <t>N/A</t>
        </is>
      </c>
    </row>
    <row r="17" ht="25" customHeight="1" s="55">
      <c r="A17" s="57" t="n">
        <v>16</v>
      </c>
      <c r="B17" s="57" t="inlineStr">
        <is>
          <t>NC25202G</t>
        </is>
      </c>
      <c r="C17" s="57" t="inlineStr">
        <is>
          <t>South Farm</t>
        </is>
      </c>
      <c r="D17" s="58" t="inlineStr">
        <is>
          <t>N/A</t>
        </is>
      </c>
      <c r="E17" s="58" t="inlineStr">
        <is>
          <t>N/A</t>
        </is>
      </c>
      <c r="F17" s="57" t="inlineStr">
        <is>
          <t>Hybrid evaluation</t>
        </is>
      </c>
      <c r="G17" s="57" t="n">
        <v>1893</v>
      </c>
      <c r="H17" s="57" t="n">
        <v>7</v>
      </c>
      <c r="I17" s="57" t="n">
        <v>2992</v>
      </c>
      <c r="J17" s="57" t="n">
        <v>12</v>
      </c>
      <c r="K17" s="57">
        <f>(G17+I17)</f>
        <v/>
      </c>
      <c r="L17" s="57">
        <f>K17/1000</f>
        <v/>
      </c>
      <c r="M17" s="58" t="inlineStr">
        <is>
          <t>N/A</t>
        </is>
      </c>
      <c r="N17" s="57" t="inlineStr">
        <is>
          <t>NC25202G</t>
        </is>
      </c>
      <c r="O17" s="58" t="inlineStr">
        <is>
          <t>N/A</t>
        </is>
      </c>
    </row>
    <row r="18" ht="25" customHeight="1" s="55">
      <c r="A18" s="57" t="n">
        <v>17</v>
      </c>
      <c r="B18" s="57" t="inlineStr">
        <is>
          <t>NC262G</t>
        </is>
      </c>
      <c r="C18" s="57" t="inlineStr">
        <is>
          <t>South Farm</t>
        </is>
      </c>
      <c r="D18" s="58" t="inlineStr">
        <is>
          <t>N/A</t>
        </is>
      </c>
      <c r="E18" s="58" t="inlineStr">
        <is>
          <t>N/A</t>
        </is>
      </c>
      <c r="F18" s="57" t="inlineStr">
        <is>
          <t>Hybrid evaluation</t>
        </is>
      </c>
      <c r="G18" s="57" t="n">
        <v>4385</v>
      </c>
      <c r="H18" s="57" t="n">
        <v>11</v>
      </c>
      <c r="I18" s="57" t="n">
        <v>997</v>
      </c>
      <c r="J18" s="57" t="n">
        <v>3</v>
      </c>
      <c r="K18" s="57">
        <f>(G18+I18)</f>
        <v/>
      </c>
      <c r="L18" s="57">
        <f>K18/1000</f>
        <v/>
      </c>
      <c r="M18" s="58" t="inlineStr">
        <is>
          <t>N/A</t>
        </is>
      </c>
      <c r="N18" s="57" t="inlineStr">
        <is>
          <t>NC262G</t>
        </is>
      </c>
      <c r="O18" s="58" t="inlineStr">
        <is>
          <t>N/A</t>
        </is>
      </c>
    </row>
    <row r="19" ht="25" customHeight="1" s="55">
      <c r="A19" s="57" t="n">
        <v>18</v>
      </c>
      <c r="B19" s="57" t="inlineStr">
        <is>
          <t>NC25315G</t>
        </is>
      </c>
      <c r="C19" s="57" t="inlineStr">
        <is>
          <t>South Farm</t>
        </is>
      </c>
      <c r="D19" s="58" t="inlineStr">
        <is>
          <t>N/A</t>
        </is>
      </c>
      <c r="E19" s="58" t="inlineStr">
        <is>
          <t>N/A</t>
        </is>
      </c>
      <c r="F19" s="57" t="inlineStr">
        <is>
          <t>Hybrid evaluation</t>
        </is>
      </c>
      <c r="G19" s="57" t="n">
        <v>2676</v>
      </c>
      <c r="H19" s="57" t="n">
        <v>8</v>
      </c>
      <c r="I19" s="57" t="n">
        <v>2181</v>
      </c>
      <c r="J19" s="57" t="n">
        <v>7</v>
      </c>
      <c r="K19" s="57">
        <f>(G19+I19)</f>
        <v/>
      </c>
      <c r="L19" s="57">
        <f>K19/1000</f>
        <v/>
      </c>
      <c r="M19" s="58" t="inlineStr">
        <is>
          <t>N/A</t>
        </is>
      </c>
      <c r="N19" s="57" t="inlineStr">
        <is>
          <t>25315G</t>
        </is>
      </c>
      <c r="O19" s="58" t="inlineStr">
        <is>
          <t>N/A</t>
        </is>
      </c>
    </row>
    <row r="20" ht="25" customHeight="1" s="55">
      <c r="A20" s="57" t="n">
        <v>19</v>
      </c>
      <c r="B20" s="57" t="inlineStr">
        <is>
          <t>NC25210G</t>
        </is>
      </c>
      <c r="C20" s="57" t="inlineStr">
        <is>
          <t>South Farm</t>
        </is>
      </c>
      <c r="D20" s="58" t="inlineStr">
        <is>
          <t>N/A</t>
        </is>
      </c>
      <c r="E20" s="58" t="inlineStr">
        <is>
          <t>N/A</t>
        </is>
      </c>
      <c r="F20" s="57" t="inlineStr">
        <is>
          <t>Hybrid evaluation</t>
        </is>
      </c>
      <c r="G20" s="57" t="n">
        <v>4349</v>
      </c>
      <c r="H20" s="57" t="n">
        <v>8</v>
      </c>
      <c r="I20" s="57" t="n">
        <v>6189</v>
      </c>
      <c r="J20" s="57" t="n">
        <v>16</v>
      </c>
      <c r="K20" s="57">
        <f>(G20+I20)</f>
        <v/>
      </c>
      <c r="L20" s="57">
        <f>K20/1000</f>
        <v/>
      </c>
      <c r="M20" s="58" t="inlineStr">
        <is>
          <t>N/A</t>
        </is>
      </c>
      <c r="N20" s="57" t="inlineStr">
        <is>
          <t>25210G</t>
        </is>
      </c>
      <c r="O20" s="58" t="inlineStr">
        <is>
          <t>N/A</t>
        </is>
      </c>
    </row>
    <row r="21" ht="25" customHeight="1" s="55">
      <c r="A21" s="57" t="n">
        <v>20</v>
      </c>
      <c r="B21" s="57" t="inlineStr">
        <is>
          <t>NC25317G</t>
        </is>
      </c>
      <c r="C21" s="57" t="inlineStr">
        <is>
          <t>South Farm</t>
        </is>
      </c>
      <c r="D21" s="58" t="inlineStr">
        <is>
          <t>N/A</t>
        </is>
      </c>
      <c r="E21" s="58" t="inlineStr">
        <is>
          <t>N/A</t>
        </is>
      </c>
      <c r="F21" s="57" t="inlineStr">
        <is>
          <t>Hybrid evaluation</t>
        </is>
      </c>
      <c r="G21" s="57" t="n">
        <v>7423</v>
      </c>
      <c r="H21" s="57" t="n">
        <v>23</v>
      </c>
      <c r="I21" s="57" t="n">
        <v>5310</v>
      </c>
      <c r="J21" s="57" t="n">
        <v>24</v>
      </c>
      <c r="K21" s="57">
        <f>(G21+I21)</f>
        <v/>
      </c>
      <c r="L21" s="57">
        <f>K21/1000</f>
        <v/>
      </c>
      <c r="M21" s="58" t="inlineStr">
        <is>
          <t>N/A</t>
        </is>
      </c>
      <c r="N21" s="57" t="inlineStr">
        <is>
          <t>25317G</t>
        </is>
      </c>
      <c r="O21" s="58" t="inlineStr">
        <is>
          <t>N/A</t>
        </is>
      </c>
    </row>
    <row r="22" ht="25" customHeight="1" s="55">
      <c r="A22" s="57" t="n">
        <v>21</v>
      </c>
      <c r="B22" s="57" t="inlineStr">
        <is>
          <t>Mt. Gem</t>
        </is>
      </c>
      <c r="C22" s="57" t="inlineStr">
        <is>
          <t>South Farm</t>
        </is>
      </c>
      <c r="D22" s="58" t="inlineStr">
        <is>
          <t>N/A</t>
        </is>
      </c>
      <c r="E22" s="58" t="inlineStr">
        <is>
          <t>N/A</t>
        </is>
      </c>
      <c r="F22" s="57" t="inlineStr">
        <is>
          <t>Hybrid evaluation</t>
        </is>
      </c>
      <c r="G22" s="57" t="n">
        <v>9915</v>
      </c>
      <c r="H22" s="57" t="n">
        <v>22</v>
      </c>
      <c r="I22" s="57" t="n">
        <v>4335</v>
      </c>
      <c r="J22" s="57" t="n">
        <v>15</v>
      </c>
      <c r="K22" s="57">
        <f>(G22+I22)</f>
        <v/>
      </c>
      <c r="L22" s="57">
        <f>K22/1000</f>
        <v/>
      </c>
      <c r="M22" s="58" t="inlineStr">
        <is>
          <t>N/A</t>
        </is>
      </c>
      <c r="N22" s="57" t="inlineStr">
        <is>
          <t>MT.GEM</t>
        </is>
      </c>
      <c r="O22" s="58" t="inlineStr">
        <is>
          <t>N/A</t>
        </is>
      </c>
    </row>
    <row r="23" ht="25" customHeight="1" s="55">
      <c r="A23" s="57" t="n">
        <v>22</v>
      </c>
      <c r="B23" s="57" t="inlineStr">
        <is>
          <t>NC23926G</t>
        </is>
      </c>
      <c r="C23" s="57" t="inlineStr">
        <is>
          <t>South Farm</t>
        </is>
      </c>
      <c r="D23" s="58" t="inlineStr">
        <is>
          <t>N/A</t>
        </is>
      </c>
      <c r="E23" s="58" t="inlineStr">
        <is>
          <t>N/A</t>
        </is>
      </c>
      <c r="F23" s="57" t="inlineStr">
        <is>
          <t>Hybrid evaluation</t>
        </is>
      </c>
      <c r="G23" s="57" t="n">
        <v>1084</v>
      </c>
      <c r="H23" s="57" t="n">
        <v>2</v>
      </c>
      <c r="I23" s="57" t="n">
        <v>3098</v>
      </c>
      <c r="J23" s="57" t="n">
        <v>8</v>
      </c>
      <c r="K23" s="57">
        <f>(G23+I23)</f>
        <v/>
      </c>
      <c r="L23" s="57">
        <f>K23/1000</f>
        <v/>
      </c>
      <c r="M23" s="58" t="inlineStr">
        <is>
          <t>N/A</t>
        </is>
      </c>
      <c r="N23" s="57" t="inlineStr">
        <is>
          <t>23926G</t>
        </is>
      </c>
      <c r="O23" s="58" t="inlineStr">
        <is>
          <t>N/A</t>
        </is>
      </c>
    </row>
    <row r="24" ht="25" customHeight="1" s="55">
      <c r="A24" s="57" t="n">
        <v>23</v>
      </c>
      <c r="B24" s="57" t="inlineStr">
        <is>
          <t>NC252G</t>
        </is>
      </c>
      <c r="C24" s="57" t="inlineStr">
        <is>
          <t>South Farm</t>
        </is>
      </c>
      <c r="D24" s="58" t="inlineStr">
        <is>
          <t>N/A</t>
        </is>
      </c>
      <c r="E24" s="58" t="inlineStr">
        <is>
          <t>N/A</t>
        </is>
      </c>
      <c r="F24" s="57" t="inlineStr">
        <is>
          <t>Hybrid evaluation</t>
        </is>
      </c>
      <c r="G24" s="57" t="n">
        <v>2402</v>
      </c>
      <c r="H24" s="57" t="n">
        <v>9</v>
      </c>
      <c r="I24" s="57" t="n">
        <v>2530</v>
      </c>
      <c r="J24" s="57" t="n">
        <v>10</v>
      </c>
      <c r="K24" s="57">
        <f>(G24+I24)</f>
        <v/>
      </c>
      <c r="L24" s="57">
        <f>K24/1000</f>
        <v/>
      </c>
      <c r="M24" s="58" t="inlineStr">
        <is>
          <t>N/A</t>
        </is>
      </c>
      <c r="N24" s="57" t="inlineStr">
        <is>
          <t>252G</t>
        </is>
      </c>
      <c r="O24" s="58" t="inlineStr">
        <is>
          <t>N/A</t>
        </is>
      </c>
    </row>
    <row r="25" ht="25" customHeight="1" s="55">
      <c r="A25" s="57" t="n">
        <v>24</v>
      </c>
      <c r="B25" s="57" t="inlineStr">
        <is>
          <t>Cherokee Purple</t>
        </is>
      </c>
      <c r="C25" s="57" t="inlineStr">
        <is>
          <t>South Farm</t>
        </is>
      </c>
      <c r="D25" s="58" t="inlineStr">
        <is>
          <t>N/A</t>
        </is>
      </c>
      <c r="E25" s="58" t="inlineStr">
        <is>
          <t>N/A</t>
        </is>
      </c>
      <c r="F25" s="57" t="inlineStr">
        <is>
          <t>Advanced breeding</t>
        </is>
      </c>
      <c r="G25" s="57" t="n">
        <v>1334</v>
      </c>
      <c r="H25" s="57" t="n">
        <v>4</v>
      </c>
      <c r="I25" s="57" t="n">
        <v>1406</v>
      </c>
      <c r="J25" s="57" t="n">
        <v>5</v>
      </c>
      <c r="K25" s="57">
        <f>(G25+I25)</f>
        <v/>
      </c>
      <c r="L25" s="57">
        <f>K25/1000</f>
        <v/>
      </c>
      <c r="M25" s="57" t="inlineStr">
        <is>
          <t>purple</t>
        </is>
      </c>
      <c r="N25" s="57" t="inlineStr">
        <is>
          <t>Cherokee purple</t>
        </is>
      </c>
      <c r="O25" s="58" t="inlineStr">
        <is>
          <t>N/A</t>
        </is>
      </c>
    </row>
    <row r="26" ht="25" customHeight="1" s="55">
      <c r="A26" s="57" t="n">
        <v>25</v>
      </c>
      <c r="B26" s="57" t="inlineStr">
        <is>
          <t>NC261G</t>
        </is>
      </c>
      <c r="C26" s="57" t="inlineStr">
        <is>
          <t>South Farm</t>
        </is>
      </c>
      <c r="D26" s="58" t="inlineStr">
        <is>
          <t>N/A</t>
        </is>
      </c>
      <c r="E26" s="58" t="inlineStr">
        <is>
          <t>N/A</t>
        </is>
      </c>
      <c r="F26" s="57" t="inlineStr">
        <is>
          <t>Hybrid evaluation</t>
        </is>
      </c>
      <c r="G26" s="57" t="n">
        <v>4581</v>
      </c>
      <c r="H26" s="57" t="n">
        <v>15</v>
      </c>
      <c r="I26" s="57" t="n">
        <v>1344</v>
      </c>
      <c r="J26" s="57" t="n">
        <v>4</v>
      </c>
      <c r="K26" s="57">
        <f>(G26+I26)</f>
        <v/>
      </c>
      <c r="L26" s="57">
        <f>K26/1000</f>
        <v/>
      </c>
      <c r="M26" s="58" t="inlineStr">
        <is>
          <t>N/A</t>
        </is>
      </c>
      <c r="N26" s="57" t="inlineStr">
        <is>
          <t>261G</t>
        </is>
      </c>
      <c r="O26" s="58" t="inlineStr">
        <is>
          <t>N/A</t>
        </is>
      </c>
    </row>
    <row r="27" ht="25" customHeight="1" s="55">
      <c r="A27" s="57" t="n">
        <v>26</v>
      </c>
      <c r="B27" s="57" t="inlineStr">
        <is>
          <t>NC263G</t>
        </is>
      </c>
      <c r="C27" s="57" t="inlineStr">
        <is>
          <t>South Farm</t>
        </is>
      </c>
      <c r="D27" s="58" t="inlineStr">
        <is>
          <t>N/A</t>
        </is>
      </c>
      <c r="E27" s="58" t="inlineStr">
        <is>
          <t>N/A</t>
        </is>
      </c>
      <c r="F27" s="57" t="inlineStr">
        <is>
          <t>Hybrid evaluation</t>
        </is>
      </c>
      <c r="G27" s="57" t="n">
        <v>2646</v>
      </c>
      <c r="H27" s="57" t="n">
        <v>5</v>
      </c>
      <c r="I27" s="57" t="n">
        <v>4725</v>
      </c>
      <c r="J27" s="57" t="n">
        <v>12</v>
      </c>
      <c r="K27" s="57">
        <f>(G27+I27)</f>
        <v/>
      </c>
      <c r="L27" s="57">
        <f>K27/1000</f>
        <v/>
      </c>
      <c r="M27" s="58" t="inlineStr">
        <is>
          <t>N/A</t>
        </is>
      </c>
      <c r="N27" s="57" t="inlineStr">
        <is>
          <t>263G</t>
        </is>
      </c>
      <c r="O27" s="58" t="inlineStr">
        <is>
          <t>N/A</t>
        </is>
      </c>
    </row>
    <row r="28" ht="25" customHeight="1" s="55">
      <c r="A28" s="57" t="n">
        <v>27</v>
      </c>
      <c r="B28" s="57" t="inlineStr">
        <is>
          <t>NC255G</t>
        </is>
      </c>
      <c r="C28" s="57" t="inlineStr">
        <is>
          <t>South Farm</t>
        </is>
      </c>
      <c r="D28" s="58" t="inlineStr">
        <is>
          <t>N/A</t>
        </is>
      </c>
      <c r="E28" s="58" t="inlineStr">
        <is>
          <t>N/A</t>
        </is>
      </c>
      <c r="F28" s="57" t="inlineStr">
        <is>
          <t>Hybrid evaluation</t>
        </is>
      </c>
      <c r="G28" s="57" t="n">
        <v>6355</v>
      </c>
      <c r="H28" s="57" t="n">
        <v>20</v>
      </c>
      <c r="I28" s="57" t="n">
        <v>4778</v>
      </c>
      <c r="J28" s="57" t="n">
        <v>17</v>
      </c>
      <c r="K28" s="57">
        <f>(G28+I28)</f>
        <v/>
      </c>
      <c r="L28" s="57">
        <f>K28/1000</f>
        <v/>
      </c>
      <c r="M28" s="58" t="inlineStr">
        <is>
          <t>N/A</t>
        </is>
      </c>
      <c r="N28" s="57" t="inlineStr">
        <is>
          <t>255G</t>
        </is>
      </c>
      <c r="O28" s="58" t="inlineStr">
        <is>
          <t>N/A</t>
        </is>
      </c>
    </row>
    <row r="29" ht="25" customHeight="1" s="55">
      <c r="A29" s="57" t="n">
        <v>28</v>
      </c>
      <c r="B29" s="57" t="inlineStr">
        <is>
          <t>NC23926G</t>
        </is>
      </c>
      <c r="C29" s="57" t="inlineStr">
        <is>
          <t>South Farm</t>
        </is>
      </c>
      <c r="D29" s="58" t="inlineStr">
        <is>
          <t>N/A</t>
        </is>
      </c>
      <c r="E29" s="58" t="inlineStr">
        <is>
          <t>N/A</t>
        </is>
      </c>
      <c r="F29" s="57" t="inlineStr">
        <is>
          <t>Hybrid evaluation</t>
        </is>
      </c>
      <c r="G29" s="57" t="n">
        <v>3096</v>
      </c>
      <c r="H29" s="57" t="n">
        <v>6</v>
      </c>
      <c r="I29" s="57" t="n">
        <v>3449</v>
      </c>
      <c r="J29" s="57" t="n">
        <v>6</v>
      </c>
      <c r="K29" s="57">
        <f>(G29+I29)</f>
        <v/>
      </c>
      <c r="L29" s="57">
        <f>K29/1000</f>
        <v/>
      </c>
      <c r="M29" s="58" t="inlineStr">
        <is>
          <t>N/A</t>
        </is>
      </c>
      <c r="N29" s="57" t="inlineStr">
        <is>
          <t>23926G</t>
        </is>
      </c>
      <c r="O29" s="58" t="inlineStr">
        <is>
          <t>N/A</t>
        </is>
      </c>
    </row>
    <row r="30" ht="25" customHeight="1" s="55">
      <c r="A30" s="57" t="n">
        <v>29</v>
      </c>
      <c r="B30" s="57" t="inlineStr">
        <is>
          <t>NC237060</t>
        </is>
      </c>
      <c r="C30" s="57" t="inlineStr">
        <is>
          <t>South Farm</t>
        </is>
      </c>
      <c r="D30" s="58" t="inlineStr">
        <is>
          <t>N/A</t>
        </is>
      </c>
      <c r="E30" s="58" t="inlineStr">
        <is>
          <t>N/A</t>
        </is>
      </c>
      <c r="F30" s="58" t="inlineStr">
        <is>
          <t>N/A</t>
        </is>
      </c>
      <c r="G30" s="57" t="n">
        <v>4801</v>
      </c>
      <c r="H30" s="57" t="n">
        <v>8</v>
      </c>
      <c r="I30" s="57" t="n">
        <v>1356</v>
      </c>
      <c r="J30" s="57" t="n">
        <v>3</v>
      </c>
      <c r="K30" s="57">
        <f>(G30+I30)</f>
        <v/>
      </c>
      <c r="L30" s="57">
        <f>K30/1000</f>
        <v/>
      </c>
      <c r="M30" s="58" t="inlineStr">
        <is>
          <t>N/A</t>
        </is>
      </c>
      <c r="N30" s="57" t="inlineStr">
        <is>
          <t>NC237060</t>
        </is>
      </c>
      <c r="O30" s="58" t="inlineStr">
        <is>
          <t>N/A</t>
        </is>
      </c>
    </row>
    <row r="31" ht="25" customHeight="1" s="55">
      <c r="A31" s="57" t="n">
        <v>30</v>
      </c>
      <c r="B31" s="57" t="inlineStr">
        <is>
          <t>NC23706G</t>
        </is>
      </c>
      <c r="C31" s="57" t="inlineStr">
        <is>
          <t>South Farm</t>
        </is>
      </c>
      <c r="D31" s="58" t="inlineStr">
        <is>
          <t>N/A</t>
        </is>
      </c>
      <c r="E31" s="58" t="inlineStr">
        <is>
          <t>N/A</t>
        </is>
      </c>
      <c r="F31" s="57" t="inlineStr">
        <is>
          <t>Hybrid evaluation</t>
        </is>
      </c>
      <c r="G31" s="57" t="n">
        <v>2603</v>
      </c>
      <c r="H31" s="57" t="n">
        <v>7</v>
      </c>
      <c r="I31" s="57" t="n">
        <v>3663</v>
      </c>
      <c r="J31" s="57" t="n">
        <v>9</v>
      </c>
      <c r="K31" s="57">
        <f>(G31+I31)</f>
        <v/>
      </c>
      <c r="L31" s="57">
        <f>K31/1000</f>
        <v/>
      </c>
      <c r="M31" s="58" t="inlineStr">
        <is>
          <t>N/A</t>
        </is>
      </c>
      <c r="N31" s="57" t="inlineStr">
        <is>
          <t>23706G</t>
        </is>
      </c>
      <c r="O31" s="58" t="inlineStr">
        <is>
          <t>N/A</t>
        </is>
      </c>
    </row>
    <row r="32" ht="25" customHeight="1" s="55">
      <c r="A32" s="57" t="n">
        <v>31</v>
      </c>
      <c r="B32" s="57" t="inlineStr">
        <is>
          <t>NC25240G</t>
        </is>
      </c>
      <c r="C32" s="57" t="inlineStr">
        <is>
          <t>South Farm</t>
        </is>
      </c>
      <c r="D32" s="58" t="inlineStr">
        <is>
          <t>N/A</t>
        </is>
      </c>
      <c r="E32" s="58" t="inlineStr">
        <is>
          <t>N/A</t>
        </is>
      </c>
      <c r="F32" s="57" t="inlineStr">
        <is>
          <t>Hybrid evaluation</t>
        </is>
      </c>
      <c r="G32" s="57" t="n">
        <v>8721</v>
      </c>
      <c r="H32" s="57" t="n">
        <v>27</v>
      </c>
      <c r="I32" s="57" t="n">
        <v>2488</v>
      </c>
      <c r="J32" s="57" t="n">
        <v>9</v>
      </c>
      <c r="K32" s="57">
        <f>(G32+I32)</f>
        <v/>
      </c>
      <c r="L32" s="57">
        <f>K32/1000</f>
        <v/>
      </c>
      <c r="M32" s="58" t="inlineStr">
        <is>
          <t>N/A</t>
        </is>
      </c>
      <c r="N32" s="57" t="inlineStr">
        <is>
          <t>25240G</t>
        </is>
      </c>
      <c r="O32" s="58" t="inlineStr">
        <is>
          <t>N/A</t>
        </is>
      </c>
    </row>
    <row r="33" ht="25" customHeight="1" s="55">
      <c r="A33" s="57" t="n">
        <v>32</v>
      </c>
      <c r="B33" s="57" t="inlineStr">
        <is>
          <t>UKYT-25-231</t>
        </is>
      </c>
      <c r="C33" s="57" t="inlineStr">
        <is>
          <t>South Farm</t>
        </is>
      </c>
      <c r="D33" s="58" t="inlineStr">
        <is>
          <t>N/A</t>
        </is>
      </c>
      <c r="E33" s="58" t="inlineStr">
        <is>
          <t>N/A</t>
        </is>
      </c>
      <c r="F33" s="58" t="inlineStr">
        <is>
          <t>N/A</t>
        </is>
      </c>
      <c r="G33" s="57" t="n">
        <v>3269</v>
      </c>
      <c r="H33" s="57" t="n">
        <v>8</v>
      </c>
      <c r="I33" s="57" t="n">
        <v>4671</v>
      </c>
      <c r="J33" s="57" t="n">
        <v>15</v>
      </c>
      <c r="K33" s="57">
        <f>(G33+I33)</f>
        <v/>
      </c>
      <c r="L33" s="57">
        <f>K33/1000</f>
        <v/>
      </c>
      <c r="M33" s="58" t="inlineStr">
        <is>
          <t>N/A</t>
        </is>
      </c>
      <c r="N33" s="57" t="inlineStr">
        <is>
          <t xml:space="preserve">25231 G </t>
        </is>
      </c>
      <c r="O33" s="58" t="inlineStr">
        <is>
          <t>N/A</t>
        </is>
      </c>
    </row>
    <row r="34" ht="25" customHeight="1" s="55">
      <c r="A34" s="57" t="n">
        <v>33</v>
      </c>
      <c r="B34" s="57" t="inlineStr">
        <is>
          <t>NC255G</t>
        </is>
      </c>
      <c r="C34" s="57" t="inlineStr">
        <is>
          <t>South Farm</t>
        </is>
      </c>
      <c r="D34" s="58" t="inlineStr">
        <is>
          <t>N/A</t>
        </is>
      </c>
      <c r="E34" s="58" t="inlineStr">
        <is>
          <t>N/A</t>
        </is>
      </c>
      <c r="F34" s="57" t="inlineStr">
        <is>
          <t>Hybrid evaluation</t>
        </is>
      </c>
      <c r="G34" s="57" t="n">
        <v>2466</v>
      </c>
      <c r="H34" s="57" t="n">
        <v>11</v>
      </c>
      <c r="I34" s="57" t="n">
        <v>4275</v>
      </c>
      <c r="J34" s="57" t="n">
        <v>18</v>
      </c>
      <c r="K34" s="57">
        <f>(G34+I34)</f>
        <v/>
      </c>
      <c r="L34" s="57">
        <f>K34/1000</f>
        <v/>
      </c>
      <c r="M34" s="58" t="inlineStr">
        <is>
          <t>N/A</t>
        </is>
      </c>
      <c r="N34" s="57" t="inlineStr">
        <is>
          <t>NC255G</t>
        </is>
      </c>
      <c r="O34" s="58" t="inlineStr">
        <is>
          <t>N/A</t>
        </is>
      </c>
    </row>
    <row r="35" ht="25" customHeight="1" s="55">
      <c r="A35" s="57" t="n">
        <v>34</v>
      </c>
      <c r="B35" s="57" t="inlineStr">
        <is>
          <t>NC25311G</t>
        </is>
      </c>
      <c r="C35" s="57" t="inlineStr">
        <is>
          <t>South Farm</t>
        </is>
      </c>
      <c r="D35" s="58" t="inlineStr">
        <is>
          <t>N/A</t>
        </is>
      </c>
      <c r="E35" s="58" t="inlineStr">
        <is>
          <t>N/A</t>
        </is>
      </c>
      <c r="F35" s="57" t="inlineStr">
        <is>
          <t>Hybrid evaluation</t>
        </is>
      </c>
      <c r="G35" s="57" t="n">
        <v>2927</v>
      </c>
      <c r="H35" s="57" t="n">
        <v>9</v>
      </c>
      <c r="I35" s="57" t="n">
        <v>3620</v>
      </c>
      <c r="J35" s="57" t="n">
        <v>12</v>
      </c>
      <c r="K35" s="57">
        <f>(G35+I35)</f>
        <v/>
      </c>
      <c r="L35" s="57">
        <f>K35/1000</f>
        <v/>
      </c>
      <c r="M35" s="58" t="inlineStr">
        <is>
          <t>N/A</t>
        </is>
      </c>
      <c r="N35" s="57" t="inlineStr">
        <is>
          <t>25311G</t>
        </is>
      </c>
      <c r="O35" s="58" t="inlineStr">
        <is>
          <t>N/A</t>
        </is>
      </c>
    </row>
    <row r="36" ht="25" customHeight="1" s="55">
      <c r="A36" s="57" t="n">
        <v>35</v>
      </c>
      <c r="B36" s="57" t="inlineStr">
        <is>
          <t>NC25218G</t>
        </is>
      </c>
      <c r="C36" s="57" t="inlineStr">
        <is>
          <t>South Farm</t>
        </is>
      </c>
      <c r="D36" s="58" t="inlineStr">
        <is>
          <t>N/A</t>
        </is>
      </c>
      <c r="E36" s="58" t="inlineStr">
        <is>
          <t>N/A</t>
        </is>
      </c>
      <c r="F36" s="57" t="inlineStr">
        <is>
          <t>Hybrid evaluation</t>
        </is>
      </c>
      <c r="G36" s="57" t="n">
        <v>8840</v>
      </c>
      <c r="H36" s="57" t="n">
        <v>29</v>
      </c>
      <c r="I36" s="57" t="n">
        <v>2875</v>
      </c>
      <c r="J36" s="57" t="n">
        <v>13</v>
      </c>
      <c r="K36" s="57">
        <f>(G36+I36)</f>
        <v/>
      </c>
      <c r="L36" s="57">
        <f>K36/1000</f>
        <v/>
      </c>
      <c r="M36" s="58" t="inlineStr">
        <is>
          <t>N/A</t>
        </is>
      </c>
      <c r="N36" s="57" t="inlineStr">
        <is>
          <t>25218G</t>
        </is>
      </c>
      <c r="O36" s="58" t="inlineStr">
        <is>
          <t>N/A</t>
        </is>
      </c>
    </row>
    <row r="37" ht="25" customHeight="1" s="55">
      <c r="A37" s="57" t="n">
        <v>36</v>
      </c>
      <c r="B37" s="57" t="inlineStr">
        <is>
          <t>NC25209G</t>
        </is>
      </c>
      <c r="C37" s="57" t="inlineStr">
        <is>
          <t>South Farm</t>
        </is>
      </c>
      <c r="D37" s="58" t="inlineStr">
        <is>
          <t>N/A</t>
        </is>
      </c>
      <c r="E37" s="58" t="inlineStr">
        <is>
          <t>N/A</t>
        </is>
      </c>
      <c r="F37" s="57" t="inlineStr">
        <is>
          <t>Hybrid evaluation</t>
        </is>
      </c>
      <c r="G37" s="57" t="n">
        <v>3891</v>
      </c>
      <c r="H37" s="57" t="n">
        <v>12</v>
      </c>
      <c r="I37" s="57" t="n">
        <v>3344</v>
      </c>
      <c r="J37" s="57" t="n">
        <v>14</v>
      </c>
      <c r="K37" s="57">
        <f>(G37+I37)</f>
        <v/>
      </c>
      <c r="L37" s="57">
        <f>K37/1000</f>
        <v/>
      </c>
      <c r="M37" s="58" t="inlineStr">
        <is>
          <t>N/A</t>
        </is>
      </c>
      <c r="N37" s="57" t="inlineStr">
        <is>
          <t>25209G</t>
        </is>
      </c>
      <c r="O37" s="58" t="inlineStr">
        <is>
          <t>N/A</t>
        </is>
      </c>
    </row>
    <row r="38" ht="25" customHeight="1" s="55">
      <c r="A38" s="57" t="n">
        <v>37</v>
      </c>
      <c r="B38" s="57" t="inlineStr">
        <is>
          <t>NC25207G</t>
        </is>
      </c>
      <c r="C38" s="57" t="inlineStr">
        <is>
          <t>South Farm</t>
        </is>
      </c>
      <c r="D38" s="58" t="inlineStr">
        <is>
          <t>N/A</t>
        </is>
      </c>
      <c r="E38" s="58" t="inlineStr">
        <is>
          <t>N/A</t>
        </is>
      </c>
      <c r="F38" s="57" t="inlineStr">
        <is>
          <t>Hybrid evaluation</t>
        </is>
      </c>
      <c r="G38" s="57" t="n">
        <v>3754</v>
      </c>
      <c r="H38" s="57" t="n">
        <v>12</v>
      </c>
      <c r="I38" s="57" t="n">
        <v>2794</v>
      </c>
      <c r="J38" s="57" t="n">
        <v>10</v>
      </c>
      <c r="K38" s="57">
        <f>(G38+I38)</f>
        <v/>
      </c>
      <c r="L38" s="57">
        <f>K38/1000</f>
        <v/>
      </c>
      <c r="M38" s="58" t="inlineStr">
        <is>
          <t>N/A</t>
        </is>
      </c>
      <c r="N38" s="57" t="inlineStr">
        <is>
          <t>25207G</t>
        </is>
      </c>
      <c r="O38" s="58" t="inlineStr">
        <is>
          <t>N/A</t>
        </is>
      </c>
    </row>
    <row r="39" ht="25" customHeight="1" s="55">
      <c r="A39" s="57" t="n">
        <v>38</v>
      </c>
      <c r="B39" s="57" t="inlineStr">
        <is>
          <t>NC25208G</t>
        </is>
      </c>
      <c r="C39" s="57" t="inlineStr">
        <is>
          <t>South Farm</t>
        </is>
      </c>
      <c r="D39" s="58" t="inlineStr">
        <is>
          <t>N/A</t>
        </is>
      </c>
      <c r="E39" s="58" t="inlineStr">
        <is>
          <t>N/A</t>
        </is>
      </c>
      <c r="F39" s="57" t="inlineStr">
        <is>
          <t>Hybrid evaluation</t>
        </is>
      </c>
      <c r="G39" s="57" t="n">
        <v>4280</v>
      </c>
      <c r="H39" s="57" t="n">
        <v>15</v>
      </c>
      <c r="I39" s="57" t="n">
        <v>6096</v>
      </c>
      <c r="J39" s="57" t="n">
        <v>21</v>
      </c>
      <c r="K39" s="57">
        <f>(G39+I39)</f>
        <v/>
      </c>
      <c r="L39" s="57">
        <f>K39/1000</f>
        <v/>
      </c>
      <c r="M39" s="58" t="inlineStr">
        <is>
          <t>N/A</t>
        </is>
      </c>
      <c r="N39" s="57" t="inlineStr">
        <is>
          <t>25208G</t>
        </is>
      </c>
      <c r="O39" s="58" t="inlineStr">
        <is>
          <t>N/A</t>
        </is>
      </c>
    </row>
  </sheetData>
  <autoFilter ref="A1:O39"/>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H261"/>
  <sheetViews>
    <sheetView showGridLines="1" topLeftCell="A1"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8" customWidth="1" style="55" min="2" max="2"/>
    <col width="13" customWidth="1" style="55" min="3" max="3"/>
    <col width="24" customWidth="1" style="55" min="4" max="4"/>
    <col width="20" customWidth="1" style="55" min="5" max="5"/>
    <col width="16" customWidth="1" style="55" min="6" max="6"/>
    <col width="18" customWidth="1" style="55" min="7" max="7"/>
    <col width="15" customWidth="1" style="55" min="8" max="8"/>
  </cols>
  <sheetData>
    <row r="1" ht="18" customHeight="1" s="55">
      <c r="A1" s="56" t="inlineStr">
        <is>
          <t>SN</t>
        </is>
      </c>
      <c r="B1" s="56" t="inlineStr">
        <is>
          <t>EN</t>
        </is>
      </c>
      <c r="C1" s="56" t="inlineStr">
        <is>
          <t>Genotypes</t>
        </is>
      </c>
      <c r="D1" s="56" t="inlineStr">
        <is>
          <t>Experiment</t>
        </is>
      </c>
      <c r="E1" s="56" t="inlineStr">
        <is>
          <t>Source / pedigree</t>
        </is>
      </c>
      <c r="F1" s="56" t="inlineStr">
        <is>
          <t>Note</t>
        </is>
      </c>
      <c r="G1" s="56" t="inlineStr">
        <is>
          <t>Plants per entry</t>
        </is>
      </c>
      <c r="H1" s="56" t="inlineStr">
        <is>
          <t>Designed reps</t>
        </is>
      </c>
    </row>
    <row r="2" ht="25" customHeight="1" s="55">
      <c r="A2" s="57" t="n">
        <v>1</v>
      </c>
      <c r="B2" s="57" t="n">
        <v>1</v>
      </c>
      <c r="C2" s="57" t="inlineStr">
        <is>
          <t>BGV004584</t>
        </is>
      </c>
      <c r="D2" s="57" t="inlineStr">
        <is>
          <t>Varitome seed increase</t>
        </is>
      </c>
      <c r="E2" s="57" t="inlineStr">
        <is>
          <t>BGV004584</t>
        </is>
      </c>
      <c r="F2" s="57" t="inlineStr">
        <is>
          <t>Seed increase</t>
        </is>
      </c>
      <c r="G2" s="57" t="n">
        <v>1</v>
      </c>
      <c r="H2" s="58" t="inlineStr">
        <is>
          <t>N/A</t>
        </is>
      </c>
    </row>
    <row r="3" ht="25" customHeight="1" s="55">
      <c r="A3" s="57" t="n">
        <v>2</v>
      </c>
      <c r="B3" s="57" t="n">
        <v>1</v>
      </c>
      <c r="C3" s="57" t="inlineStr">
        <is>
          <t>UKYT-25-001</t>
        </is>
      </c>
      <c r="D3" s="57" t="inlineStr">
        <is>
          <t>Advanced breeding</t>
        </is>
      </c>
      <c r="E3" s="57" t="inlineStr">
        <is>
          <t>1E-201-1W(2022)</t>
        </is>
      </c>
      <c r="F3" s="57" t="inlineStr">
        <is>
          <t>Breeding Trial</t>
        </is>
      </c>
      <c r="G3" s="57" t="n">
        <v>12</v>
      </c>
      <c r="H3" s="57" t="inlineStr">
        <is>
          <t>1, 2, 3</t>
        </is>
      </c>
    </row>
    <row r="4" ht="25" customHeight="1" s="55">
      <c r="A4" s="57" t="n">
        <v>3</v>
      </c>
      <c r="B4" s="57" t="n">
        <v>2</v>
      </c>
      <c r="C4" s="57" t="inlineStr">
        <is>
          <t>BGV005895</t>
        </is>
      </c>
      <c r="D4" s="57" t="inlineStr">
        <is>
          <t>Varitome seed increase</t>
        </is>
      </c>
      <c r="E4" s="57" t="inlineStr">
        <is>
          <t>BGV005895</t>
        </is>
      </c>
      <c r="F4" s="57" t="inlineStr">
        <is>
          <t>Seed increase</t>
        </is>
      </c>
      <c r="G4" s="57" t="n">
        <v>1</v>
      </c>
      <c r="H4" s="58" t="inlineStr">
        <is>
          <t>N/A</t>
        </is>
      </c>
    </row>
    <row r="5" ht="25" customHeight="1" s="55">
      <c r="A5" s="57" t="n">
        <v>4</v>
      </c>
      <c r="B5" s="57" t="n">
        <v>2</v>
      </c>
      <c r="C5" s="57" t="inlineStr">
        <is>
          <t>UKYT-25-002</t>
        </is>
      </c>
      <c r="D5" s="57" t="inlineStr">
        <is>
          <t>Advanced breeding</t>
        </is>
      </c>
      <c r="E5" s="57" t="inlineStr">
        <is>
          <t>2E-202-1W(2022)</t>
        </is>
      </c>
      <c r="F5" s="57" t="inlineStr">
        <is>
          <t>Breeding Trial</t>
        </is>
      </c>
      <c r="G5" s="57" t="n">
        <v>12</v>
      </c>
      <c r="H5" s="57" t="inlineStr">
        <is>
          <t>1, 2, 3</t>
        </is>
      </c>
    </row>
    <row r="6" ht="25" customHeight="1" s="55">
      <c r="A6" s="57" t="n">
        <v>5</v>
      </c>
      <c r="B6" s="57" t="n">
        <v>3</v>
      </c>
      <c r="C6" s="57" t="inlineStr">
        <is>
          <t>BGV005912</t>
        </is>
      </c>
      <c r="D6" s="57" t="inlineStr">
        <is>
          <t>Varitome seed increase</t>
        </is>
      </c>
      <c r="E6" s="57" t="inlineStr">
        <is>
          <t>BGV005912</t>
        </is>
      </c>
      <c r="F6" s="57" t="inlineStr">
        <is>
          <t>Seed increase</t>
        </is>
      </c>
      <c r="G6" s="57" t="n">
        <v>1</v>
      </c>
      <c r="H6" s="58" t="inlineStr">
        <is>
          <t>N/A</t>
        </is>
      </c>
    </row>
    <row r="7" ht="25" customHeight="1" s="55">
      <c r="A7" s="57" t="n">
        <v>6</v>
      </c>
      <c r="B7" s="57" t="n">
        <v>3</v>
      </c>
      <c r="C7" s="57" t="inlineStr">
        <is>
          <t>UKYT-25-003</t>
        </is>
      </c>
      <c r="D7" s="57" t="inlineStr">
        <is>
          <t>Advanced breeding</t>
        </is>
      </c>
      <c r="E7" s="57" t="inlineStr">
        <is>
          <t>3E-203-1W(2022)</t>
        </is>
      </c>
      <c r="F7" s="57" t="inlineStr">
        <is>
          <t>Breeding Trial</t>
        </is>
      </c>
      <c r="G7" s="57" t="n">
        <v>12</v>
      </c>
      <c r="H7" s="57" t="inlineStr">
        <is>
          <t>1, 2, 3</t>
        </is>
      </c>
    </row>
    <row r="8" ht="25" customHeight="1" s="55">
      <c r="A8" s="57" t="n">
        <v>7</v>
      </c>
      <c r="B8" s="57" t="n">
        <v>4</v>
      </c>
      <c r="C8" s="57" t="inlineStr">
        <is>
          <t>BGV006148</t>
        </is>
      </c>
      <c r="D8" s="57" t="inlineStr">
        <is>
          <t>Varitome seed increase</t>
        </is>
      </c>
      <c r="E8" s="57" t="inlineStr">
        <is>
          <t>BGV006148</t>
        </is>
      </c>
      <c r="F8" s="57" t="inlineStr">
        <is>
          <t>Seed increase</t>
        </is>
      </c>
      <c r="G8" s="57" t="n">
        <v>1</v>
      </c>
      <c r="H8" s="58" t="inlineStr">
        <is>
          <t>N/A</t>
        </is>
      </c>
    </row>
    <row r="9" ht="25" customHeight="1" s="55">
      <c r="A9" s="57" t="n">
        <v>8</v>
      </c>
      <c r="B9" s="57" t="n">
        <v>4</v>
      </c>
      <c r="C9" s="57" t="inlineStr">
        <is>
          <t>UKYT-25-004</t>
        </is>
      </c>
      <c r="D9" s="57" t="inlineStr">
        <is>
          <t>Advanced breeding</t>
        </is>
      </c>
      <c r="E9" s="57" t="inlineStr">
        <is>
          <t>4E-205-1W(2022)</t>
        </is>
      </c>
      <c r="F9" s="57" t="inlineStr">
        <is>
          <t>Breeding Trial</t>
        </is>
      </c>
      <c r="G9" s="57" t="n">
        <v>12</v>
      </c>
      <c r="H9" s="57" t="inlineStr">
        <is>
          <t>1, 2, 3</t>
        </is>
      </c>
    </row>
    <row r="10" ht="25" customHeight="1" s="55">
      <c r="A10" s="57" t="n">
        <v>9</v>
      </c>
      <c r="B10" s="57" t="n">
        <v>5</v>
      </c>
      <c r="C10" s="57" t="inlineStr">
        <is>
          <t>BGV006175</t>
        </is>
      </c>
      <c r="D10" s="57" t="inlineStr">
        <is>
          <t>Varitome seed increase</t>
        </is>
      </c>
      <c r="E10" s="57" t="inlineStr">
        <is>
          <t>BGV006175</t>
        </is>
      </c>
      <c r="F10" s="57" t="inlineStr">
        <is>
          <t>Seed increase</t>
        </is>
      </c>
      <c r="G10" s="57" t="n">
        <v>1</v>
      </c>
      <c r="H10" s="58" t="inlineStr">
        <is>
          <t>N/A</t>
        </is>
      </c>
    </row>
    <row r="11" ht="25" customHeight="1" s="55">
      <c r="A11" s="57" t="n">
        <v>10</v>
      </c>
      <c r="B11" s="57" t="n">
        <v>5</v>
      </c>
      <c r="C11" s="57" t="inlineStr">
        <is>
          <t>UKYT-25-005</t>
        </is>
      </c>
      <c r="D11" s="57" t="inlineStr">
        <is>
          <t>Advanced breeding</t>
        </is>
      </c>
      <c r="E11" s="57" t="inlineStr">
        <is>
          <t>5E-206-1W(2022)</t>
        </is>
      </c>
      <c r="F11" s="57" t="inlineStr">
        <is>
          <t>Breeding Trial</t>
        </is>
      </c>
      <c r="G11" s="57" t="n">
        <v>12</v>
      </c>
      <c r="H11" s="57" t="inlineStr">
        <is>
          <t>1, 2, 3</t>
        </is>
      </c>
    </row>
    <row r="12" ht="25" customHeight="1" s="55">
      <c r="A12" s="57" t="n">
        <v>11</v>
      </c>
      <c r="B12" s="57" t="n">
        <v>6</v>
      </c>
      <c r="C12" s="57" t="inlineStr">
        <is>
          <t>BGV006208</t>
        </is>
      </c>
      <c r="D12" s="57" t="inlineStr">
        <is>
          <t>Varitome seed increase</t>
        </is>
      </c>
      <c r="E12" s="57" t="inlineStr">
        <is>
          <t>BGV006208</t>
        </is>
      </c>
      <c r="F12" s="57" t="inlineStr">
        <is>
          <t>Seed increase</t>
        </is>
      </c>
      <c r="G12" s="57" t="n">
        <v>1</v>
      </c>
      <c r="H12" s="58" t="inlineStr">
        <is>
          <t>N/A</t>
        </is>
      </c>
    </row>
    <row r="13" ht="25" customHeight="1" s="55">
      <c r="A13" s="57" t="n">
        <v>12</v>
      </c>
      <c r="B13" s="57" t="n">
        <v>6</v>
      </c>
      <c r="C13" s="57" t="inlineStr">
        <is>
          <t>UKYT-25-006</t>
        </is>
      </c>
      <c r="D13" s="57" t="inlineStr">
        <is>
          <t>Advanced breeding</t>
        </is>
      </c>
      <c r="E13" s="57" t="inlineStr">
        <is>
          <t>6E-208-1W(2022)</t>
        </is>
      </c>
      <c r="F13" s="57" t="inlineStr">
        <is>
          <t>Breeding Trial</t>
        </is>
      </c>
      <c r="G13" s="57" t="n">
        <v>12</v>
      </c>
      <c r="H13" s="57" t="inlineStr">
        <is>
          <t>1, 2, 3</t>
        </is>
      </c>
    </row>
    <row r="14" ht="25" customHeight="1" s="55">
      <c r="A14" s="57" t="n">
        <v>13</v>
      </c>
      <c r="B14" s="57" t="n">
        <v>7</v>
      </c>
      <c r="C14" s="57" t="inlineStr">
        <is>
          <t>BGV006225</t>
        </is>
      </c>
      <c r="D14" s="57" t="inlineStr">
        <is>
          <t>Varitome seed increase</t>
        </is>
      </c>
      <c r="E14" s="57" t="inlineStr">
        <is>
          <t>BGV006225</t>
        </is>
      </c>
      <c r="F14" s="57" t="inlineStr">
        <is>
          <t>Seed increase</t>
        </is>
      </c>
      <c r="G14" s="57" t="n">
        <v>1</v>
      </c>
      <c r="H14" s="58" t="inlineStr">
        <is>
          <t>N/A</t>
        </is>
      </c>
    </row>
    <row r="15" ht="25" customHeight="1" s="55">
      <c r="A15" s="57" t="n">
        <v>14</v>
      </c>
      <c r="B15" s="57" t="n">
        <v>7</v>
      </c>
      <c r="C15" s="57" t="inlineStr">
        <is>
          <t>UKYT-25-007</t>
        </is>
      </c>
      <c r="D15" s="57" t="inlineStr">
        <is>
          <t>Advanced breeding</t>
        </is>
      </c>
      <c r="E15" s="57" t="inlineStr">
        <is>
          <t>7E-217-1W(2022)</t>
        </is>
      </c>
      <c r="F15" s="57" t="inlineStr">
        <is>
          <t>Breeding Trial</t>
        </is>
      </c>
      <c r="G15" s="57" t="n">
        <v>12</v>
      </c>
      <c r="H15" s="57" t="inlineStr">
        <is>
          <t>1, 2, 3</t>
        </is>
      </c>
    </row>
    <row r="16" ht="25" customHeight="1" s="55">
      <c r="A16" s="57" t="n">
        <v>15</v>
      </c>
      <c r="B16" s="57" t="n">
        <v>8</v>
      </c>
      <c r="C16" s="57" t="inlineStr">
        <is>
          <t>BGV006229</t>
        </is>
      </c>
      <c r="D16" s="57" t="inlineStr">
        <is>
          <t>Varitome seed increase</t>
        </is>
      </c>
      <c r="E16" s="57" t="inlineStr">
        <is>
          <t>BGV006229</t>
        </is>
      </c>
      <c r="F16" s="57" t="inlineStr">
        <is>
          <t>Seed increase</t>
        </is>
      </c>
      <c r="G16" s="57" t="n">
        <v>1</v>
      </c>
      <c r="H16" s="58" t="inlineStr">
        <is>
          <t>N/A</t>
        </is>
      </c>
    </row>
    <row r="17" ht="25" customHeight="1" s="55">
      <c r="A17" s="57" t="n">
        <v>16</v>
      </c>
      <c r="B17" s="57" t="n">
        <v>8</v>
      </c>
      <c r="C17" s="57" t="inlineStr">
        <is>
          <t>UKYT-25-008</t>
        </is>
      </c>
      <c r="D17" s="57" t="inlineStr">
        <is>
          <t>Advanced breeding</t>
        </is>
      </c>
      <c r="E17" s="57" t="inlineStr">
        <is>
          <t>8E-219-1W(2022)</t>
        </is>
      </c>
      <c r="F17" s="57" t="inlineStr">
        <is>
          <t>Breeding Trial</t>
        </is>
      </c>
      <c r="G17" s="57" t="n">
        <v>12</v>
      </c>
      <c r="H17" s="57" t="inlineStr">
        <is>
          <t>1, 2, 3</t>
        </is>
      </c>
    </row>
    <row r="18" ht="25" customHeight="1" s="55">
      <c r="A18" s="57" t="n">
        <v>17</v>
      </c>
      <c r="B18" s="57" t="n">
        <v>9</v>
      </c>
      <c r="C18" s="57" t="inlineStr">
        <is>
          <t>BGV006230</t>
        </is>
      </c>
      <c r="D18" s="57" t="inlineStr">
        <is>
          <t>Varitome seed increase</t>
        </is>
      </c>
      <c r="E18" s="57" t="inlineStr">
        <is>
          <t>BGV006230</t>
        </is>
      </c>
      <c r="F18" s="57" t="inlineStr">
        <is>
          <t>Seed increase</t>
        </is>
      </c>
      <c r="G18" s="57" t="n">
        <v>1</v>
      </c>
      <c r="H18" s="58" t="inlineStr">
        <is>
          <t>N/A</t>
        </is>
      </c>
    </row>
    <row r="19" ht="25" customHeight="1" s="55">
      <c r="A19" s="57" t="n">
        <v>18</v>
      </c>
      <c r="B19" s="57" t="n">
        <v>9</v>
      </c>
      <c r="C19" s="57" t="inlineStr">
        <is>
          <t>UKYT-25-009</t>
        </is>
      </c>
      <c r="D19" s="57" t="inlineStr">
        <is>
          <t>Advanced breeding</t>
        </is>
      </c>
      <c r="E19" s="57" t="inlineStr">
        <is>
          <t>9E-220-1W(2022)</t>
        </is>
      </c>
      <c r="F19" s="57" t="inlineStr">
        <is>
          <t>Breeding Trial</t>
        </is>
      </c>
      <c r="G19" s="57" t="n">
        <v>12</v>
      </c>
      <c r="H19" s="57" t="inlineStr">
        <is>
          <t>1, 2, 3</t>
        </is>
      </c>
    </row>
    <row r="20" ht="25" customHeight="1" s="55">
      <c r="A20" s="57" t="n">
        <v>19</v>
      </c>
      <c r="B20" s="57" t="n">
        <v>10</v>
      </c>
      <c r="C20" s="57" t="inlineStr">
        <is>
          <t>BGV006231</t>
        </is>
      </c>
      <c r="D20" s="57" t="inlineStr">
        <is>
          <t>Varitome seed increase</t>
        </is>
      </c>
      <c r="E20" s="57" t="inlineStr">
        <is>
          <t>BGV006231</t>
        </is>
      </c>
      <c r="F20" s="57" t="inlineStr">
        <is>
          <t>Seed increase</t>
        </is>
      </c>
      <c r="G20" s="57" t="n">
        <v>1</v>
      </c>
      <c r="H20" s="58" t="inlineStr">
        <is>
          <t>N/A</t>
        </is>
      </c>
    </row>
    <row r="21" ht="25" customHeight="1" s="55">
      <c r="A21" s="57" t="n">
        <v>20</v>
      </c>
      <c r="B21" s="57" t="n">
        <v>10</v>
      </c>
      <c r="C21" s="57" t="inlineStr">
        <is>
          <t>UKYT-25-010</t>
        </is>
      </c>
      <c r="D21" s="57" t="inlineStr">
        <is>
          <t>Advanced breeding</t>
        </is>
      </c>
      <c r="E21" s="57" t="inlineStr">
        <is>
          <t>10E-223-1W(2022)</t>
        </is>
      </c>
      <c r="F21" s="57" t="inlineStr">
        <is>
          <t>Breeding Trial</t>
        </is>
      </c>
      <c r="G21" s="57" t="n">
        <v>12</v>
      </c>
      <c r="H21" s="57" t="inlineStr">
        <is>
          <t>1, 2, 3</t>
        </is>
      </c>
    </row>
    <row r="22" ht="25" customHeight="1" s="55">
      <c r="A22" s="57" t="n">
        <v>21</v>
      </c>
      <c r="B22" s="57" t="n">
        <v>11</v>
      </c>
      <c r="C22" s="57" t="inlineStr">
        <is>
          <t>BGV006232</t>
        </is>
      </c>
      <c r="D22" s="57" t="inlineStr">
        <is>
          <t>Varitome seed increase</t>
        </is>
      </c>
      <c r="E22" s="57" t="inlineStr">
        <is>
          <t>BGV006232</t>
        </is>
      </c>
      <c r="F22" s="57" t="inlineStr">
        <is>
          <t>Seed increase</t>
        </is>
      </c>
      <c r="G22" s="57" t="n">
        <v>1</v>
      </c>
      <c r="H22" s="58" t="inlineStr">
        <is>
          <t>N/A</t>
        </is>
      </c>
    </row>
    <row r="23" ht="25" customHeight="1" s="55">
      <c r="A23" s="57" t="n">
        <v>22</v>
      </c>
      <c r="B23" s="57" t="n">
        <v>11</v>
      </c>
      <c r="C23" s="57" t="inlineStr">
        <is>
          <t>UKYT-25-011</t>
        </is>
      </c>
      <c r="D23" s="57" t="inlineStr">
        <is>
          <t>Advanced breeding</t>
        </is>
      </c>
      <c r="E23" s="57" t="inlineStr">
        <is>
          <t>11E-224-1W(2022)</t>
        </is>
      </c>
      <c r="F23" s="57" t="inlineStr">
        <is>
          <t>Breeding Trial</t>
        </is>
      </c>
      <c r="G23" s="57" t="n">
        <v>12</v>
      </c>
      <c r="H23" s="57" t="inlineStr">
        <is>
          <t>1, 2, 3</t>
        </is>
      </c>
    </row>
    <row r="24" ht="25" customHeight="1" s="55">
      <c r="A24" s="57" t="n">
        <v>23</v>
      </c>
      <c r="B24" s="57" t="n">
        <v>12</v>
      </c>
      <c r="C24" s="57" t="inlineStr">
        <is>
          <t>BGV006234</t>
        </is>
      </c>
      <c r="D24" s="57" t="inlineStr">
        <is>
          <t>Varitome seed increase</t>
        </is>
      </c>
      <c r="E24" s="57" t="inlineStr">
        <is>
          <t>BGV006234</t>
        </is>
      </c>
      <c r="F24" s="57" t="inlineStr">
        <is>
          <t>Seed increase</t>
        </is>
      </c>
      <c r="G24" s="57" t="n">
        <v>1</v>
      </c>
      <c r="H24" s="58" t="inlineStr">
        <is>
          <t>N/A</t>
        </is>
      </c>
    </row>
    <row r="25" ht="25" customHeight="1" s="55">
      <c r="A25" s="57" t="n">
        <v>24</v>
      </c>
      <c r="B25" s="57" t="n">
        <v>12</v>
      </c>
      <c r="C25" s="57" t="inlineStr">
        <is>
          <t>UKYT-25-012</t>
        </is>
      </c>
      <c r="D25" s="57" t="inlineStr">
        <is>
          <t>Advanced breeding</t>
        </is>
      </c>
      <c r="E25" s="57" t="inlineStr">
        <is>
          <t>12E-225-1W(2022)</t>
        </is>
      </c>
      <c r="F25" s="57" t="inlineStr">
        <is>
          <t>Breeding Trial</t>
        </is>
      </c>
      <c r="G25" s="57" t="n">
        <v>12</v>
      </c>
      <c r="H25" s="57" t="inlineStr">
        <is>
          <t>1, 2, 3</t>
        </is>
      </c>
    </row>
    <row r="26" ht="25" customHeight="1" s="55">
      <c r="A26" s="57" t="n">
        <v>25</v>
      </c>
      <c r="B26" s="57" t="n">
        <v>13</v>
      </c>
      <c r="C26" s="57" t="inlineStr">
        <is>
          <t>BGV006235</t>
        </is>
      </c>
      <c r="D26" s="57" t="inlineStr">
        <is>
          <t>Varitome seed increase</t>
        </is>
      </c>
      <c r="E26" s="57" t="inlineStr">
        <is>
          <t>BGV006235</t>
        </is>
      </c>
      <c r="F26" s="57" t="inlineStr">
        <is>
          <t>Seed increase</t>
        </is>
      </c>
      <c r="G26" s="57" t="n">
        <v>1</v>
      </c>
      <c r="H26" s="58" t="inlineStr">
        <is>
          <t>N/A</t>
        </is>
      </c>
    </row>
    <row r="27" ht="25" customHeight="1" s="55">
      <c r="A27" s="57" t="n">
        <v>26</v>
      </c>
      <c r="B27" s="57" t="n">
        <v>13</v>
      </c>
      <c r="C27" s="57" t="inlineStr">
        <is>
          <t>UKYT-25-013</t>
        </is>
      </c>
      <c r="D27" s="57" t="inlineStr">
        <is>
          <t>Advanced breeding</t>
        </is>
      </c>
      <c r="E27" s="57" t="inlineStr">
        <is>
          <t>13E-228-1W(2022)</t>
        </is>
      </c>
      <c r="F27" s="57" t="inlineStr">
        <is>
          <t>Breeding Trial</t>
        </is>
      </c>
      <c r="G27" s="57" t="n">
        <v>12</v>
      </c>
      <c r="H27" s="57" t="inlineStr">
        <is>
          <t>1, 2, 3</t>
        </is>
      </c>
    </row>
    <row r="28" ht="25" customHeight="1" s="55">
      <c r="A28" s="57" t="n">
        <v>27</v>
      </c>
      <c r="B28" s="57" t="n">
        <v>14</v>
      </c>
      <c r="C28" s="57" t="inlineStr">
        <is>
          <t>BGV006327</t>
        </is>
      </c>
      <c r="D28" s="57" t="inlineStr">
        <is>
          <t>Varitome seed increase</t>
        </is>
      </c>
      <c r="E28" s="57" t="inlineStr">
        <is>
          <t>BGV006327</t>
        </is>
      </c>
      <c r="F28" s="57" t="inlineStr">
        <is>
          <t>Seed increase</t>
        </is>
      </c>
      <c r="G28" s="57" t="n">
        <v>1</v>
      </c>
      <c r="H28" s="58" t="inlineStr">
        <is>
          <t>N/A</t>
        </is>
      </c>
    </row>
    <row r="29" ht="25" customHeight="1" s="55">
      <c r="A29" s="57" t="n">
        <v>28</v>
      </c>
      <c r="B29" s="57" t="n">
        <v>14</v>
      </c>
      <c r="C29" s="57" t="inlineStr">
        <is>
          <t>UKYT-25-014</t>
        </is>
      </c>
      <c r="D29" s="57" t="inlineStr">
        <is>
          <t>Advanced breeding</t>
        </is>
      </c>
      <c r="E29" s="57" t="inlineStr">
        <is>
          <t>14E-230-1W(2022)</t>
        </is>
      </c>
      <c r="F29" s="57" t="inlineStr">
        <is>
          <t>Breeding Trial</t>
        </is>
      </c>
      <c r="G29" s="57" t="n">
        <v>12</v>
      </c>
      <c r="H29" s="57" t="inlineStr">
        <is>
          <t>1, 2, 3</t>
        </is>
      </c>
    </row>
    <row r="30" ht="25" customHeight="1" s="55">
      <c r="A30" s="57" t="n">
        <v>29</v>
      </c>
      <c r="B30" s="57" t="n">
        <v>15</v>
      </c>
      <c r="C30" s="57" t="inlineStr">
        <is>
          <t>BGV006336</t>
        </is>
      </c>
      <c r="D30" s="57" t="inlineStr">
        <is>
          <t>Varitome seed increase</t>
        </is>
      </c>
      <c r="E30" s="57" t="inlineStr">
        <is>
          <t>BGV006336</t>
        </is>
      </c>
      <c r="F30" s="57" t="inlineStr">
        <is>
          <t>Seed increase</t>
        </is>
      </c>
      <c r="G30" s="57" t="n">
        <v>1</v>
      </c>
      <c r="H30" s="58" t="inlineStr">
        <is>
          <t>N/A</t>
        </is>
      </c>
    </row>
    <row r="31" ht="25" customHeight="1" s="55">
      <c r="A31" s="57" t="n">
        <v>30</v>
      </c>
      <c r="B31" s="57" t="n">
        <v>15</v>
      </c>
      <c r="C31" s="57" t="inlineStr">
        <is>
          <t>UKYT-25-015</t>
        </is>
      </c>
      <c r="D31" s="57" t="inlineStr">
        <is>
          <t>Advanced breeding</t>
        </is>
      </c>
      <c r="E31" s="57" t="inlineStr">
        <is>
          <t>15E-232-2W(2022)</t>
        </is>
      </c>
      <c r="F31" s="57" t="inlineStr">
        <is>
          <t>Breeding Trial</t>
        </is>
      </c>
      <c r="G31" s="57" t="n">
        <v>12</v>
      </c>
      <c r="H31" s="57" t="inlineStr">
        <is>
          <t>1, 2, 3</t>
        </is>
      </c>
    </row>
    <row r="32" ht="25" customHeight="1" s="55">
      <c r="A32" s="57" t="n">
        <v>31</v>
      </c>
      <c r="B32" s="57" t="n">
        <v>16</v>
      </c>
      <c r="C32" s="57" t="inlineStr">
        <is>
          <t>BGV006347</t>
        </is>
      </c>
      <c r="D32" s="57" t="inlineStr">
        <is>
          <t>Varitome seed increase</t>
        </is>
      </c>
      <c r="E32" s="57" t="inlineStr">
        <is>
          <t>BGV006347</t>
        </is>
      </c>
      <c r="F32" s="57" t="inlineStr">
        <is>
          <t>Seed increase</t>
        </is>
      </c>
      <c r="G32" s="57" t="n">
        <v>1</v>
      </c>
      <c r="H32" s="58" t="inlineStr">
        <is>
          <t>N/A</t>
        </is>
      </c>
    </row>
    <row r="33" ht="25" customHeight="1" s="55">
      <c r="A33" s="57" t="n">
        <v>32</v>
      </c>
      <c r="B33" s="57" t="n">
        <v>16</v>
      </c>
      <c r="C33" s="57" t="inlineStr">
        <is>
          <t>UKYT-25-016</t>
        </is>
      </c>
      <c r="D33" s="57" t="inlineStr">
        <is>
          <t>Advanced breeding</t>
        </is>
      </c>
      <c r="E33" s="57" t="inlineStr">
        <is>
          <t>16E-233-1W(2022)</t>
        </is>
      </c>
      <c r="F33" s="57" t="inlineStr">
        <is>
          <t>Breeding Trial</t>
        </is>
      </c>
      <c r="G33" s="57" t="n">
        <v>12</v>
      </c>
      <c r="H33" s="57" t="inlineStr">
        <is>
          <t>1, 2, 3</t>
        </is>
      </c>
    </row>
    <row r="34" ht="25" customHeight="1" s="55">
      <c r="A34" s="57" t="n">
        <v>33</v>
      </c>
      <c r="B34" s="57" t="n">
        <v>17</v>
      </c>
      <c r="C34" s="57" t="inlineStr">
        <is>
          <t>BGV006353</t>
        </is>
      </c>
      <c r="D34" s="57" t="inlineStr">
        <is>
          <t>Varitome seed increase</t>
        </is>
      </c>
      <c r="E34" s="57" t="inlineStr">
        <is>
          <t>BGV006353</t>
        </is>
      </c>
      <c r="F34" s="57" t="inlineStr">
        <is>
          <t>Seed increase</t>
        </is>
      </c>
      <c r="G34" s="57" t="n">
        <v>1</v>
      </c>
      <c r="H34" s="58" t="inlineStr">
        <is>
          <t>N/A</t>
        </is>
      </c>
    </row>
    <row r="35" ht="25" customHeight="1" s="55">
      <c r="A35" s="57" t="n">
        <v>34</v>
      </c>
      <c r="B35" s="57" t="n">
        <v>17</v>
      </c>
      <c r="C35" s="57" t="inlineStr">
        <is>
          <t>UKYT-25-017</t>
        </is>
      </c>
      <c r="D35" s="57" t="inlineStr">
        <is>
          <t>Advanced breeding</t>
        </is>
      </c>
      <c r="E35" s="57" t="inlineStr">
        <is>
          <t>17E-238-1W(2022)</t>
        </is>
      </c>
      <c r="F35" s="57" t="inlineStr">
        <is>
          <t>Breeding Trial</t>
        </is>
      </c>
      <c r="G35" s="57" t="n">
        <v>12</v>
      </c>
      <c r="H35" s="57" t="inlineStr">
        <is>
          <t>1, 2, 3</t>
        </is>
      </c>
    </row>
    <row r="36" ht="25" customHeight="1" s="55">
      <c r="A36" s="57" t="n">
        <v>35</v>
      </c>
      <c r="B36" s="57" t="n">
        <v>18</v>
      </c>
      <c r="C36" s="57" t="inlineStr">
        <is>
          <t>BGV006363</t>
        </is>
      </c>
      <c r="D36" s="57" t="inlineStr">
        <is>
          <t>Varitome seed increase</t>
        </is>
      </c>
      <c r="E36" s="57" t="inlineStr">
        <is>
          <t>BGV006363</t>
        </is>
      </c>
      <c r="F36" s="57" t="inlineStr">
        <is>
          <t>Seed increase</t>
        </is>
      </c>
      <c r="G36" s="57" t="n">
        <v>1</v>
      </c>
      <c r="H36" s="58" t="inlineStr">
        <is>
          <t>N/A</t>
        </is>
      </c>
    </row>
    <row r="37" ht="25" customHeight="1" s="55">
      <c r="A37" s="57" t="n">
        <v>36</v>
      </c>
      <c r="B37" s="57" t="n">
        <v>18</v>
      </c>
      <c r="C37" s="57" t="inlineStr">
        <is>
          <t>UKYT-25-018</t>
        </is>
      </c>
      <c r="D37" s="57" t="inlineStr">
        <is>
          <t>Advanced breeding</t>
        </is>
      </c>
      <c r="E37" s="57" t="inlineStr">
        <is>
          <t>18E-Chiquita (x)-1</t>
        </is>
      </c>
      <c r="F37" s="57" t="inlineStr">
        <is>
          <t>Breeding Trial</t>
        </is>
      </c>
      <c r="G37" s="57" t="n">
        <v>12</v>
      </c>
      <c r="H37" s="57" t="inlineStr">
        <is>
          <t>1, 2, 3</t>
        </is>
      </c>
    </row>
    <row r="38" ht="25" customHeight="1" s="55">
      <c r="A38" s="57" t="n">
        <v>37</v>
      </c>
      <c r="B38" s="57" t="n">
        <v>19</v>
      </c>
      <c r="C38" s="57" t="inlineStr">
        <is>
          <t>BGV006370</t>
        </is>
      </c>
      <c r="D38" s="57" t="inlineStr">
        <is>
          <t>Varitome seed increase</t>
        </is>
      </c>
      <c r="E38" s="57" t="inlineStr">
        <is>
          <t>BGV006370</t>
        </is>
      </c>
      <c r="F38" s="57" t="inlineStr">
        <is>
          <t>Seed increase</t>
        </is>
      </c>
      <c r="G38" s="57" t="n">
        <v>1</v>
      </c>
      <c r="H38" s="58" t="inlineStr">
        <is>
          <t>N/A</t>
        </is>
      </c>
    </row>
    <row r="39" ht="25" customHeight="1" s="55">
      <c r="A39" s="57" t="n">
        <v>38</v>
      </c>
      <c r="B39" s="57" t="n">
        <v>19</v>
      </c>
      <c r="C39" s="57" t="inlineStr">
        <is>
          <t>UKYT-26-001</t>
        </is>
      </c>
      <c r="D39" s="57" t="inlineStr">
        <is>
          <t>Advanced breeding</t>
        </is>
      </c>
      <c r="E39" s="57" t="inlineStr">
        <is>
          <t>AVTO1906-CLN4066F</t>
        </is>
      </c>
      <c r="F39" s="57" t="inlineStr">
        <is>
          <t>Breeding Trial</t>
        </is>
      </c>
      <c r="G39" s="57" t="n">
        <v>12</v>
      </c>
      <c r="H39" s="57" t="inlineStr">
        <is>
          <t>1, 2, 3</t>
        </is>
      </c>
    </row>
    <row r="40" ht="25" customHeight="1" s="55">
      <c r="A40" s="57" t="n">
        <v>39</v>
      </c>
      <c r="B40" s="57" t="n">
        <v>20</v>
      </c>
      <c r="C40" s="57" t="inlineStr">
        <is>
          <t>BGV006454</t>
        </is>
      </c>
      <c r="D40" s="57" t="inlineStr">
        <is>
          <t>Varitome seed increase</t>
        </is>
      </c>
      <c r="E40" s="57" t="inlineStr">
        <is>
          <t>BGV006454</t>
        </is>
      </c>
      <c r="F40" s="57" t="inlineStr">
        <is>
          <t>Seed increase</t>
        </is>
      </c>
      <c r="G40" s="57" t="n">
        <v>1</v>
      </c>
      <c r="H40" s="58" t="inlineStr">
        <is>
          <t>N/A</t>
        </is>
      </c>
    </row>
    <row r="41" ht="25" customHeight="1" s="55">
      <c r="A41" s="57" t="n">
        <v>40</v>
      </c>
      <c r="B41" s="57" t="n">
        <v>20</v>
      </c>
      <c r="C41" s="57" t="inlineStr">
        <is>
          <t>UKYT-26-002</t>
        </is>
      </c>
      <c r="D41" s="57" t="inlineStr">
        <is>
          <t>Advanced breeding</t>
        </is>
      </c>
      <c r="E41" s="57" t="inlineStr">
        <is>
          <t>AVTO2116-CLN4270D</t>
        </is>
      </c>
      <c r="F41" s="57" t="inlineStr">
        <is>
          <t>Breeding Trial</t>
        </is>
      </c>
      <c r="G41" s="57" t="n">
        <v>12</v>
      </c>
      <c r="H41" s="57" t="inlineStr">
        <is>
          <t>1, 2, 3</t>
        </is>
      </c>
    </row>
    <row r="42" ht="25" customHeight="1" s="55">
      <c r="A42" s="57" t="n">
        <v>41</v>
      </c>
      <c r="B42" s="57" t="n">
        <v>21</v>
      </c>
      <c r="C42" s="57" t="inlineStr">
        <is>
          <t>BGV006457</t>
        </is>
      </c>
      <c r="D42" s="57" t="inlineStr">
        <is>
          <t>Varitome seed increase</t>
        </is>
      </c>
      <c r="E42" s="57" t="inlineStr">
        <is>
          <t>BGV006457</t>
        </is>
      </c>
      <c r="F42" s="57" t="inlineStr">
        <is>
          <t>Seed increase</t>
        </is>
      </c>
      <c r="G42" s="57" t="n">
        <v>1</v>
      </c>
      <c r="H42" s="58" t="inlineStr">
        <is>
          <t>N/A</t>
        </is>
      </c>
    </row>
    <row r="43" ht="25" customHeight="1" s="55">
      <c r="A43" s="57" t="n">
        <v>42</v>
      </c>
      <c r="B43" s="57" t="n">
        <v>21</v>
      </c>
      <c r="C43" s="57" t="inlineStr">
        <is>
          <t>UKYT-26-003</t>
        </is>
      </c>
      <c r="D43" s="57" t="inlineStr">
        <is>
          <t>Advanced breeding</t>
        </is>
      </c>
      <c r="E43" s="57" t="inlineStr">
        <is>
          <t>AVTO1914-CLN4079L</t>
        </is>
      </c>
      <c r="F43" s="57" t="inlineStr">
        <is>
          <t>Breeding Trial</t>
        </is>
      </c>
      <c r="G43" s="57" t="n">
        <v>12</v>
      </c>
      <c r="H43" s="57" t="inlineStr">
        <is>
          <t>1, 2, 3</t>
        </is>
      </c>
    </row>
    <row r="44" ht="25" customHeight="1" s="55">
      <c r="A44" s="57" t="n">
        <v>43</v>
      </c>
      <c r="B44" s="57" t="n">
        <v>22</v>
      </c>
      <c r="C44" s="57" t="inlineStr">
        <is>
          <t>BGV006478</t>
        </is>
      </c>
      <c r="D44" s="57" t="inlineStr">
        <is>
          <t>Varitome seed increase</t>
        </is>
      </c>
      <c r="E44" s="57" t="inlineStr">
        <is>
          <t>BGV006478</t>
        </is>
      </c>
      <c r="F44" s="57" t="inlineStr">
        <is>
          <t>Seed increase</t>
        </is>
      </c>
      <c r="G44" s="57" t="n">
        <v>1</v>
      </c>
      <c r="H44" s="58" t="inlineStr">
        <is>
          <t>N/A</t>
        </is>
      </c>
    </row>
    <row r="45" ht="25" customHeight="1" s="55">
      <c r="A45" s="57" t="n">
        <v>44</v>
      </c>
      <c r="B45" s="57" t="n">
        <v>22</v>
      </c>
      <c r="C45" s="57" t="inlineStr">
        <is>
          <t>UKYT-26-004</t>
        </is>
      </c>
      <c r="D45" s="57" t="inlineStr">
        <is>
          <t>Advanced breeding</t>
        </is>
      </c>
      <c r="E45" s="57" t="inlineStr">
        <is>
          <t>AVTO1911-CLN4079K</t>
        </is>
      </c>
      <c r="F45" s="57" t="inlineStr">
        <is>
          <t>Breeding Trial</t>
        </is>
      </c>
      <c r="G45" s="57" t="n">
        <v>12</v>
      </c>
      <c r="H45" s="57" t="inlineStr">
        <is>
          <t>1, 2, 3</t>
        </is>
      </c>
    </row>
    <row r="46" ht="25" customHeight="1" s="55">
      <c r="A46" s="57" t="n">
        <v>45</v>
      </c>
      <c r="B46" s="57" t="n">
        <v>23</v>
      </c>
      <c r="C46" s="57" t="inlineStr">
        <is>
          <t>BGV006753</t>
        </is>
      </c>
      <c r="D46" s="57" t="inlineStr">
        <is>
          <t>Varitome seed increase</t>
        </is>
      </c>
      <c r="E46" s="57" t="inlineStr">
        <is>
          <t>BGV006753</t>
        </is>
      </c>
      <c r="F46" s="57" t="inlineStr">
        <is>
          <t>Seed increase</t>
        </is>
      </c>
      <c r="G46" s="57" t="n">
        <v>1</v>
      </c>
      <c r="H46" s="58" t="inlineStr">
        <is>
          <t>N/A</t>
        </is>
      </c>
    </row>
    <row r="47" ht="25" customHeight="1" s="55">
      <c r="A47" s="57" t="n">
        <v>46</v>
      </c>
      <c r="B47" s="57" t="n">
        <v>23</v>
      </c>
      <c r="C47" s="57" t="inlineStr">
        <is>
          <t>UKYT-26-005</t>
        </is>
      </c>
      <c r="D47" s="57" t="inlineStr">
        <is>
          <t>Advanced breeding</t>
        </is>
      </c>
      <c r="E47" s="57" t="inlineStr">
        <is>
          <t>AVTO1010-CLN3070J</t>
        </is>
      </c>
      <c r="F47" s="57" t="inlineStr">
        <is>
          <t>Breeding Trial</t>
        </is>
      </c>
      <c r="G47" s="57" t="n">
        <v>12</v>
      </c>
      <c r="H47" s="57" t="inlineStr">
        <is>
          <t>1, 2, 3</t>
        </is>
      </c>
    </row>
    <row r="48" ht="25" customHeight="1" s="55">
      <c r="A48" s="57" t="n">
        <v>47</v>
      </c>
      <c r="B48" s="57" t="n">
        <v>24</v>
      </c>
      <c r="C48" s="57" t="inlineStr">
        <is>
          <t>BGV006767</t>
        </is>
      </c>
      <c r="D48" s="57" t="inlineStr">
        <is>
          <t>Varitome seed increase</t>
        </is>
      </c>
      <c r="E48" s="57" t="inlineStr">
        <is>
          <t>BGV006767</t>
        </is>
      </c>
      <c r="F48" s="57" t="inlineStr">
        <is>
          <t>Seed increase</t>
        </is>
      </c>
      <c r="G48" s="57" t="n">
        <v>1</v>
      </c>
      <c r="H48" s="58" t="inlineStr">
        <is>
          <t>N/A</t>
        </is>
      </c>
    </row>
    <row r="49" ht="25" customHeight="1" s="55">
      <c r="A49" s="57" t="n">
        <v>48</v>
      </c>
      <c r="B49" s="57" t="n">
        <v>24</v>
      </c>
      <c r="C49" s="57" t="inlineStr">
        <is>
          <t>UKYT-26-006</t>
        </is>
      </c>
      <c r="D49" s="57" t="inlineStr">
        <is>
          <t>Advanced breeding</t>
        </is>
      </c>
      <c r="E49" s="57" t="inlineStr">
        <is>
          <t>AVTO2036-CLN4123C</t>
        </is>
      </c>
      <c r="F49" s="57" t="inlineStr">
        <is>
          <t>Breeding Trial</t>
        </is>
      </c>
      <c r="G49" s="57" t="n">
        <v>12</v>
      </c>
      <c r="H49" s="57" t="inlineStr">
        <is>
          <t>1, 2, 3</t>
        </is>
      </c>
    </row>
    <row r="50" ht="25" customHeight="1" s="55">
      <c r="A50" s="57" t="n">
        <v>49</v>
      </c>
      <c r="B50" s="57" t="n">
        <v>25</v>
      </c>
      <c r="C50" s="57" t="inlineStr">
        <is>
          <t>BGV006768</t>
        </is>
      </c>
      <c r="D50" s="57" t="inlineStr">
        <is>
          <t>Varitome seed increase</t>
        </is>
      </c>
      <c r="E50" s="57" t="inlineStr">
        <is>
          <t>BGV006768</t>
        </is>
      </c>
      <c r="F50" s="57" t="inlineStr">
        <is>
          <t>Seed increase</t>
        </is>
      </c>
      <c r="G50" s="57" t="n">
        <v>1</v>
      </c>
      <c r="H50" s="58" t="inlineStr">
        <is>
          <t>N/A</t>
        </is>
      </c>
    </row>
    <row r="51" ht="25" customHeight="1" s="55">
      <c r="A51" s="57" t="n">
        <v>50</v>
      </c>
      <c r="B51" s="57" t="n">
        <v>25</v>
      </c>
      <c r="C51" s="57" t="inlineStr">
        <is>
          <t>UKYT-26-007</t>
        </is>
      </c>
      <c r="D51" s="57" t="inlineStr">
        <is>
          <t>Advanced breeding</t>
        </is>
      </c>
      <c r="E51" s="57" t="inlineStr">
        <is>
          <t>AVTO2037-CLN4201F</t>
        </is>
      </c>
      <c r="F51" s="57" t="inlineStr">
        <is>
          <t>Breeding Trial</t>
        </is>
      </c>
      <c r="G51" s="57" t="n">
        <v>12</v>
      </c>
      <c r="H51" s="57" t="inlineStr">
        <is>
          <t>1, 2, 3</t>
        </is>
      </c>
    </row>
    <row r="52" ht="25" customHeight="1" s="55">
      <c r="A52" s="57" t="n">
        <v>51</v>
      </c>
      <c r="B52" s="57" t="n">
        <v>26</v>
      </c>
      <c r="C52" s="57" t="inlineStr">
        <is>
          <t>BGV006775</t>
        </is>
      </c>
      <c r="D52" s="57" t="inlineStr">
        <is>
          <t>Varitome seed increase</t>
        </is>
      </c>
      <c r="E52" s="57" t="inlineStr">
        <is>
          <t>BGV006775</t>
        </is>
      </c>
      <c r="F52" s="57" t="inlineStr">
        <is>
          <t>Seed increase</t>
        </is>
      </c>
      <c r="G52" s="57" t="n">
        <v>1</v>
      </c>
      <c r="H52" s="58" t="inlineStr">
        <is>
          <t>N/A</t>
        </is>
      </c>
    </row>
    <row r="53" ht="25" customHeight="1" s="55">
      <c r="A53" s="57" t="n">
        <v>52</v>
      </c>
      <c r="B53" s="57" t="n">
        <v>26</v>
      </c>
      <c r="C53" s="57" t="inlineStr">
        <is>
          <t>UKYT-26-008</t>
        </is>
      </c>
      <c r="D53" s="57" t="inlineStr">
        <is>
          <t>Advanced breeding</t>
        </is>
      </c>
      <c r="E53" s="57" t="inlineStr">
        <is>
          <t>AVTO2101-CLN4018G</t>
        </is>
      </c>
      <c r="F53" s="57" t="inlineStr">
        <is>
          <t>Breeding Trial</t>
        </is>
      </c>
      <c r="G53" s="57" t="n">
        <v>12</v>
      </c>
      <c r="H53" s="57" t="inlineStr">
        <is>
          <t>1, 2, 3</t>
        </is>
      </c>
    </row>
    <row r="54" ht="25" customHeight="1" s="55">
      <c r="A54" s="57" t="n">
        <v>53</v>
      </c>
      <c r="B54" s="57" t="n">
        <v>27</v>
      </c>
      <c r="C54" s="57" t="inlineStr">
        <is>
          <t>BGV006777</t>
        </is>
      </c>
      <c r="D54" s="57" t="inlineStr">
        <is>
          <t>Varitome seed increase</t>
        </is>
      </c>
      <c r="E54" s="57" t="inlineStr">
        <is>
          <t>BGV006777</t>
        </is>
      </c>
      <c r="F54" s="57" t="inlineStr">
        <is>
          <t>Seed increase</t>
        </is>
      </c>
      <c r="G54" s="57" t="n">
        <v>1</v>
      </c>
      <c r="H54" s="58" t="inlineStr">
        <is>
          <t>N/A</t>
        </is>
      </c>
    </row>
    <row r="55" ht="25" customHeight="1" s="55">
      <c r="A55" s="57" t="n">
        <v>54</v>
      </c>
      <c r="B55" s="57" t="n">
        <v>27</v>
      </c>
      <c r="C55" s="57" t="inlineStr">
        <is>
          <t>UKYT-26-009</t>
        </is>
      </c>
      <c r="D55" s="57" t="inlineStr">
        <is>
          <t>Advanced breeding</t>
        </is>
      </c>
      <c r="E55" s="57" t="inlineStr">
        <is>
          <t>AVTO2302-CLN4196C</t>
        </is>
      </c>
      <c r="F55" s="57" t="inlineStr">
        <is>
          <t>Breeding Trial</t>
        </is>
      </c>
      <c r="G55" s="57" t="n">
        <v>12</v>
      </c>
      <c r="H55" s="57" t="inlineStr">
        <is>
          <t>1, 2, 3</t>
        </is>
      </c>
    </row>
    <row r="56" ht="25" customHeight="1" s="55">
      <c r="A56" s="57" t="n">
        <v>55</v>
      </c>
      <c r="B56" s="57" t="n">
        <v>28</v>
      </c>
      <c r="C56" s="57" t="inlineStr">
        <is>
          <t>BGV006779</t>
        </is>
      </c>
      <c r="D56" s="57" t="inlineStr">
        <is>
          <t>Varitome seed increase</t>
        </is>
      </c>
      <c r="E56" s="57" t="inlineStr">
        <is>
          <t>BGV006779</t>
        </is>
      </c>
      <c r="F56" s="57" t="inlineStr">
        <is>
          <t>Seed increase</t>
        </is>
      </c>
      <c r="G56" s="57" t="n">
        <v>1</v>
      </c>
      <c r="H56" s="58" t="inlineStr">
        <is>
          <t>N/A</t>
        </is>
      </c>
    </row>
    <row r="57" ht="25" customHeight="1" s="55">
      <c r="A57" s="57" t="n">
        <v>56</v>
      </c>
      <c r="B57" s="57" t="n">
        <v>28</v>
      </c>
      <c r="C57" s="57" t="inlineStr">
        <is>
          <t>UKYT-26-010</t>
        </is>
      </c>
      <c r="D57" s="57" t="inlineStr">
        <is>
          <t>Advanced breeding</t>
        </is>
      </c>
      <c r="E57" s="57" t="inlineStr">
        <is>
          <t>AVTO2425-CLN4196F</t>
        </is>
      </c>
      <c r="F57" s="57" t="inlineStr">
        <is>
          <t>Breeding Trial</t>
        </is>
      </c>
      <c r="G57" s="57" t="n">
        <v>12</v>
      </c>
      <c r="H57" s="57" t="inlineStr">
        <is>
          <t>1, 2, 3</t>
        </is>
      </c>
    </row>
    <row r="58" ht="25" customHeight="1" s="55">
      <c r="A58" s="57" t="n">
        <v>57</v>
      </c>
      <c r="B58" s="57" t="n">
        <v>29</v>
      </c>
      <c r="C58" s="57" t="inlineStr">
        <is>
          <t>BGV006792</t>
        </is>
      </c>
      <c r="D58" s="57" t="inlineStr">
        <is>
          <t>Varitome seed increase</t>
        </is>
      </c>
      <c r="E58" s="57" t="inlineStr">
        <is>
          <t>BGV006792</t>
        </is>
      </c>
      <c r="F58" s="57" t="inlineStr">
        <is>
          <t>Seed increase</t>
        </is>
      </c>
      <c r="G58" s="57" t="n">
        <v>1</v>
      </c>
      <c r="H58" s="58" t="inlineStr">
        <is>
          <t>N/A</t>
        </is>
      </c>
    </row>
    <row r="59" ht="25" customHeight="1" s="55">
      <c r="A59" s="57" t="n">
        <v>58</v>
      </c>
      <c r="B59" s="57" t="n">
        <v>29</v>
      </c>
      <c r="C59" s="57" t="inlineStr">
        <is>
          <t>UKYT-26-011</t>
        </is>
      </c>
      <c r="D59" s="57" t="inlineStr">
        <is>
          <t>Advanced breeding</t>
        </is>
      </c>
      <c r="E59" s="57" t="inlineStr">
        <is>
          <t>228-BKW (2025)</t>
        </is>
      </c>
      <c r="F59" s="57" t="inlineStr">
        <is>
          <t>Breeding Trial</t>
        </is>
      </c>
      <c r="G59" s="57" t="n">
        <v>12</v>
      </c>
      <c r="H59" s="57" t="inlineStr">
        <is>
          <t>1, 2, 3</t>
        </is>
      </c>
    </row>
    <row r="60" ht="25" customHeight="1" s="55">
      <c r="A60" s="57" t="n">
        <v>59</v>
      </c>
      <c r="B60" s="57" t="n">
        <v>30</v>
      </c>
      <c r="C60" s="57" t="inlineStr">
        <is>
          <t>BGV006806</t>
        </is>
      </c>
      <c r="D60" s="57" t="inlineStr">
        <is>
          <t>Varitome seed increase</t>
        </is>
      </c>
      <c r="E60" s="57" t="inlineStr">
        <is>
          <t>BGV006806</t>
        </is>
      </c>
      <c r="F60" s="57" t="inlineStr">
        <is>
          <t>Seed increase</t>
        </is>
      </c>
      <c r="G60" s="57" t="n">
        <v>1</v>
      </c>
      <c r="H60" s="58" t="inlineStr">
        <is>
          <t>N/A</t>
        </is>
      </c>
    </row>
    <row r="61" ht="25" customHeight="1" s="55">
      <c r="A61" s="57" t="n">
        <v>60</v>
      </c>
      <c r="B61" s="57" t="n">
        <v>30</v>
      </c>
      <c r="C61" s="57" t="inlineStr">
        <is>
          <t>UKYT-26-012</t>
        </is>
      </c>
      <c r="D61" s="57" t="inlineStr">
        <is>
          <t>Advanced breeding</t>
        </is>
      </c>
      <c r="E61" s="57" t="inlineStr">
        <is>
          <t>226-BKW (2024)</t>
        </is>
      </c>
      <c r="F61" s="57" t="inlineStr">
        <is>
          <t>Breeding Trial</t>
        </is>
      </c>
      <c r="G61" s="57" t="n">
        <v>12</v>
      </c>
      <c r="H61" s="57" t="inlineStr">
        <is>
          <t>1, 2, 3</t>
        </is>
      </c>
    </row>
    <row r="62" ht="25" customHeight="1" s="55">
      <c r="A62" s="57" t="n">
        <v>61</v>
      </c>
      <c r="B62" s="57" t="n">
        <v>31</v>
      </c>
      <c r="C62" s="57" t="inlineStr">
        <is>
          <t>BGV006825</t>
        </is>
      </c>
      <c r="D62" s="57" t="inlineStr">
        <is>
          <t>Varitome seed increase</t>
        </is>
      </c>
      <c r="E62" s="57" t="inlineStr">
        <is>
          <t>BGV006825</t>
        </is>
      </c>
      <c r="F62" s="57" t="inlineStr">
        <is>
          <t>Seed increase</t>
        </is>
      </c>
      <c r="G62" s="57" t="n">
        <v>1</v>
      </c>
      <c r="H62" s="58" t="inlineStr">
        <is>
          <t>N/A</t>
        </is>
      </c>
    </row>
    <row r="63" ht="25" customHeight="1" s="55">
      <c r="A63" s="57" t="n">
        <v>62</v>
      </c>
      <c r="B63" s="57" t="n">
        <v>31</v>
      </c>
      <c r="C63" s="57" t="inlineStr">
        <is>
          <t>UKYT-26-013</t>
        </is>
      </c>
      <c r="D63" s="57" t="inlineStr">
        <is>
          <t>Advanced breeding</t>
        </is>
      </c>
      <c r="E63" s="57" t="inlineStr">
        <is>
          <t>17-Bksp25</t>
        </is>
      </c>
      <c r="F63" s="57" t="inlineStr">
        <is>
          <t>Breeding Trial</t>
        </is>
      </c>
      <c r="G63" s="57" t="n">
        <v>12</v>
      </c>
      <c r="H63" s="57" t="inlineStr">
        <is>
          <t>1, 2, 3</t>
        </is>
      </c>
    </row>
    <row r="64" ht="25" customHeight="1" s="55">
      <c r="A64" s="57" t="n">
        <v>63</v>
      </c>
      <c r="B64" s="57" t="n">
        <v>32</v>
      </c>
      <c r="C64" s="57" t="inlineStr">
        <is>
          <t>BGV006828</t>
        </is>
      </c>
      <c r="D64" s="57" t="inlineStr">
        <is>
          <t>Varitome seed increase</t>
        </is>
      </c>
      <c r="E64" s="57" t="inlineStr">
        <is>
          <t>BGV006828</t>
        </is>
      </c>
      <c r="F64" s="57" t="inlineStr">
        <is>
          <t>Seed increase</t>
        </is>
      </c>
      <c r="G64" s="57" t="n">
        <v>1</v>
      </c>
      <c r="H64" s="58" t="inlineStr">
        <is>
          <t>N/A</t>
        </is>
      </c>
    </row>
    <row r="65" ht="25" customHeight="1" s="55">
      <c r="A65" s="57" t="n">
        <v>64</v>
      </c>
      <c r="B65" s="57" t="n">
        <v>32</v>
      </c>
      <c r="C65" s="57" t="inlineStr">
        <is>
          <t>UKYT-26-014</t>
        </is>
      </c>
      <c r="D65" s="57" t="inlineStr">
        <is>
          <t>Advanced breeding</t>
        </is>
      </c>
      <c r="E65" s="57" t="inlineStr">
        <is>
          <t>242-Bkw (2025)</t>
        </is>
      </c>
      <c r="F65" s="57" t="inlineStr">
        <is>
          <t>Breeding Trial</t>
        </is>
      </c>
      <c r="G65" s="57" t="n">
        <v>12</v>
      </c>
      <c r="H65" s="57" t="inlineStr">
        <is>
          <t>1, 2, 3</t>
        </is>
      </c>
    </row>
    <row r="66" ht="25" customHeight="1" s="55">
      <c r="A66" s="57" t="n">
        <v>65</v>
      </c>
      <c r="B66" s="57" t="n">
        <v>33</v>
      </c>
      <c r="C66" s="57" t="inlineStr">
        <is>
          <t>BGV006852</t>
        </is>
      </c>
      <c r="D66" s="57" t="inlineStr">
        <is>
          <t>Varitome seed increase</t>
        </is>
      </c>
      <c r="E66" s="57" t="inlineStr">
        <is>
          <t>BGV006852</t>
        </is>
      </c>
      <c r="F66" s="57" t="inlineStr">
        <is>
          <t>Seed increase</t>
        </is>
      </c>
      <c r="G66" s="57" t="n">
        <v>1</v>
      </c>
      <c r="H66" s="58" t="inlineStr">
        <is>
          <t>N/A</t>
        </is>
      </c>
    </row>
    <row r="67" ht="25" customHeight="1" s="55">
      <c r="A67" s="57" t="n">
        <v>66</v>
      </c>
      <c r="B67" s="57" t="n">
        <v>33</v>
      </c>
      <c r="C67" s="57" t="inlineStr">
        <is>
          <t>UKYT-26-015</t>
        </is>
      </c>
      <c r="D67" s="57" t="inlineStr">
        <is>
          <t>Advanced breeding</t>
        </is>
      </c>
      <c r="E67" s="57" t="inlineStr">
        <is>
          <t>249-BkW (2024)</t>
        </is>
      </c>
      <c r="F67" s="57" t="inlineStr">
        <is>
          <t>Breeding Trial</t>
        </is>
      </c>
      <c r="G67" s="57" t="n">
        <v>12</v>
      </c>
      <c r="H67" s="57" t="inlineStr">
        <is>
          <t>1, 2, 3</t>
        </is>
      </c>
    </row>
    <row r="68" ht="25" customHeight="1" s="55">
      <c r="A68" s="57" t="n">
        <v>67</v>
      </c>
      <c r="B68" s="57" t="n">
        <v>34</v>
      </c>
      <c r="C68" s="57" t="inlineStr">
        <is>
          <t>BGV006859</t>
        </is>
      </c>
      <c r="D68" s="57" t="inlineStr">
        <is>
          <t>Varitome seed increase</t>
        </is>
      </c>
      <c r="E68" s="57" t="inlineStr">
        <is>
          <t>BGV006859</t>
        </is>
      </c>
      <c r="F68" s="57" t="inlineStr">
        <is>
          <t>Seed increase</t>
        </is>
      </c>
      <c r="G68" s="57" t="n">
        <v>1</v>
      </c>
      <c r="H68" s="58" t="inlineStr">
        <is>
          <t>N/A</t>
        </is>
      </c>
    </row>
    <row r="69" ht="25" customHeight="1" s="55">
      <c r="A69" s="57" t="n">
        <v>68</v>
      </c>
      <c r="B69" s="57" t="n">
        <v>34</v>
      </c>
      <c r="C69" s="57" t="inlineStr">
        <is>
          <t>UKYT-26-016</t>
        </is>
      </c>
      <c r="D69" s="57" t="inlineStr">
        <is>
          <t>Advanced breeding</t>
        </is>
      </c>
      <c r="E69" s="57" t="inlineStr">
        <is>
          <t>28-1sp25</t>
        </is>
      </c>
      <c r="F69" s="57" t="inlineStr">
        <is>
          <t>Breeding Trial</t>
        </is>
      </c>
      <c r="G69" s="57" t="n">
        <v>12</v>
      </c>
      <c r="H69" s="57" t="inlineStr">
        <is>
          <t>1, 2, 3</t>
        </is>
      </c>
    </row>
    <row r="70" ht="25" customHeight="1" s="55">
      <c r="A70" s="57" t="n">
        <v>69</v>
      </c>
      <c r="B70" s="57" t="n">
        <v>35</v>
      </c>
      <c r="C70" s="57" t="inlineStr">
        <is>
          <t>BGV006865</t>
        </is>
      </c>
      <c r="D70" s="57" t="inlineStr">
        <is>
          <t>Varitome seed increase</t>
        </is>
      </c>
      <c r="E70" s="57" t="inlineStr">
        <is>
          <t>BGV006865</t>
        </is>
      </c>
      <c r="F70" s="57" t="inlineStr">
        <is>
          <t>Seed increase</t>
        </is>
      </c>
      <c r="G70" s="57" t="n">
        <v>1</v>
      </c>
      <c r="H70" s="58" t="inlineStr">
        <is>
          <t>N/A</t>
        </is>
      </c>
    </row>
    <row r="71" ht="25" customHeight="1" s="55">
      <c r="A71" s="57" t="n">
        <v>70</v>
      </c>
      <c r="B71" s="57" t="n">
        <v>35</v>
      </c>
      <c r="C71" s="57" t="inlineStr">
        <is>
          <t>UKYT-26-017</t>
        </is>
      </c>
      <c r="D71" s="57" t="inlineStr">
        <is>
          <t>Advanced breeding</t>
        </is>
      </c>
      <c r="E71" s="57" t="inlineStr">
        <is>
          <t>20-Bksp25</t>
        </is>
      </c>
      <c r="F71" s="57" t="inlineStr">
        <is>
          <t>Breeding Trial</t>
        </is>
      </c>
      <c r="G71" s="57" t="n">
        <v>12</v>
      </c>
      <c r="H71" s="57" t="inlineStr">
        <is>
          <t>1, 2, 3</t>
        </is>
      </c>
    </row>
    <row r="72" ht="25" customHeight="1" s="55">
      <c r="A72" s="57" t="n">
        <v>71</v>
      </c>
      <c r="B72" s="57" t="n">
        <v>36</v>
      </c>
      <c r="C72" s="57" t="inlineStr">
        <is>
          <t>BGV006867</t>
        </is>
      </c>
      <c r="D72" s="57" t="inlineStr">
        <is>
          <t>Varitome seed increase</t>
        </is>
      </c>
      <c r="E72" s="57" t="inlineStr">
        <is>
          <t>BGV006867</t>
        </is>
      </c>
      <c r="F72" s="57" t="inlineStr">
        <is>
          <t>Seed increase</t>
        </is>
      </c>
      <c r="G72" s="57" t="n">
        <v>1</v>
      </c>
      <c r="H72" s="58" t="inlineStr">
        <is>
          <t>N/A</t>
        </is>
      </c>
    </row>
    <row r="73" ht="25" customHeight="1" s="55">
      <c r="A73" s="57" t="n">
        <v>72</v>
      </c>
      <c r="B73" s="57" t="n">
        <v>36</v>
      </c>
      <c r="C73" s="57" t="inlineStr">
        <is>
          <t>UKYT-26-018</t>
        </is>
      </c>
      <c r="D73" s="57" t="inlineStr">
        <is>
          <t>Advanced breeding</t>
        </is>
      </c>
      <c r="E73" s="57" t="inlineStr">
        <is>
          <t>52-Bksp24</t>
        </is>
      </c>
      <c r="F73" s="57" t="inlineStr">
        <is>
          <t>Breeding Trial</t>
        </is>
      </c>
      <c r="G73" s="57" t="n">
        <v>12</v>
      </c>
      <c r="H73" s="57" t="inlineStr">
        <is>
          <t>1, 2, 3</t>
        </is>
      </c>
    </row>
    <row r="74" ht="25" customHeight="1" s="55">
      <c r="A74" s="57" t="n">
        <v>73</v>
      </c>
      <c r="B74" s="57" t="n">
        <v>37</v>
      </c>
      <c r="C74" s="57" t="inlineStr">
        <is>
          <t>BGV006881</t>
        </is>
      </c>
      <c r="D74" s="57" t="inlineStr">
        <is>
          <t>Varitome seed increase</t>
        </is>
      </c>
      <c r="E74" s="57" t="inlineStr">
        <is>
          <t>BGV006881</t>
        </is>
      </c>
      <c r="F74" s="57" t="inlineStr">
        <is>
          <t>Seed increase</t>
        </is>
      </c>
      <c r="G74" s="57" t="n">
        <v>1</v>
      </c>
      <c r="H74" s="58" t="inlineStr">
        <is>
          <t>N/A</t>
        </is>
      </c>
    </row>
    <row r="75" ht="25" customHeight="1" s="55">
      <c r="A75" s="57" t="n">
        <v>74</v>
      </c>
      <c r="B75" s="57" t="n">
        <v>37</v>
      </c>
      <c r="C75" s="57" t="inlineStr">
        <is>
          <t>UKYT-26-019</t>
        </is>
      </c>
      <c r="D75" s="57" t="inlineStr">
        <is>
          <t>Advanced breeding</t>
        </is>
      </c>
      <c r="E75" s="57" t="inlineStr">
        <is>
          <t>86-Bksp23</t>
        </is>
      </c>
      <c r="F75" s="57" t="inlineStr">
        <is>
          <t>Breeding Trial</t>
        </is>
      </c>
      <c r="G75" s="57" t="n">
        <v>12</v>
      </c>
      <c r="H75" s="57" t="inlineStr">
        <is>
          <t>1, 2, 3</t>
        </is>
      </c>
    </row>
    <row r="76" ht="25" customHeight="1" s="55">
      <c r="A76" s="57" t="n">
        <v>75</v>
      </c>
      <c r="B76" s="57" t="n">
        <v>38</v>
      </c>
      <c r="C76" s="57" t="inlineStr">
        <is>
          <t>BGV006896</t>
        </is>
      </c>
      <c r="D76" s="57" t="inlineStr">
        <is>
          <t>Varitome seed increase</t>
        </is>
      </c>
      <c r="E76" s="57" t="inlineStr">
        <is>
          <t>BGV006896</t>
        </is>
      </c>
      <c r="F76" s="57" t="inlineStr">
        <is>
          <t>Seed increase</t>
        </is>
      </c>
      <c r="G76" s="57" t="n">
        <v>1</v>
      </c>
      <c r="H76" s="58" t="inlineStr">
        <is>
          <t>N/A</t>
        </is>
      </c>
    </row>
    <row r="77" ht="25" customHeight="1" s="55">
      <c r="A77" s="57" t="n">
        <v>76</v>
      </c>
      <c r="B77" s="57" t="n">
        <v>38</v>
      </c>
      <c r="C77" s="57" t="inlineStr">
        <is>
          <t>UKYT-26-020</t>
        </is>
      </c>
      <c r="D77" s="57" t="inlineStr">
        <is>
          <t>Advanced breeding</t>
        </is>
      </c>
      <c r="E77" s="57" t="inlineStr">
        <is>
          <t>401-BkW (2025)</t>
        </is>
      </c>
      <c r="F77" s="57" t="inlineStr">
        <is>
          <t>Breeding Trial</t>
        </is>
      </c>
      <c r="G77" s="57" t="n">
        <v>12</v>
      </c>
      <c r="H77" s="57" t="inlineStr">
        <is>
          <t>1, 2, 3</t>
        </is>
      </c>
    </row>
    <row r="78" ht="25" customHeight="1" s="55">
      <c r="A78" s="57" t="n">
        <v>77</v>
      </c>
      <c r="B78" s="57" t="n">
        <v>39</v>
      </c>
      <c r="C78" s="57" t="inlineStr">
        <is>
          <t>BGV006899</t>
        </is>
      </c>
      <c r="D78" s="57" t="inlineStr">
        <is>
          <t>Varitome seed increase</t>
        </is>
      </c>
      <c r="E78" s="57" t="inlineStr">
        <is>
          <t>BGV006899</t>
        </is>
      </c>
      <c r="F78" s="57" t="inlineStr">
        <is>
          <t>Seed increase</t>
        </is>
      </c>
      <c r="G78" s="57" t="n">
        <v>1</v>
      </c>
      <c r="H78" s="58" t="inlineStr">
        <is>
          <t>N/A</t>
        </is>
      </c>
    </row>
    <row r="79" ht="25" customHeight="1" s="55">
      <c r="A79" s="57" t="n">
        <v>78</v>
      </c>
      <c r="B79" s="57" t="n">
        <v>39</v>
      </c>
      <c r="C79" s="57" t="inlineStr">
        <is>
          <t>UKYT-26-021</t>
        </is>
      </c>
      <c r="D79" s="57" t="inlineStr">
        <is>
          <t>Advanced breeding</t>
        </is>
      </c>
      <c r="E79" s="57" t="inlineStr">
        <is>
          <t>402-BkW (2025)</t>
        </is>
      </c>
      <c r="F79" s="57" t="inlineStr">
        <is>
          <t>Breeding Trial</t>
        </is>
      </c>
      <c r="G79" s="57" t="n">
        <v>12</v>
      </c>
      <c r="H79" s="57" t="inlineStr">
        <is>
          <t>1, 2, 3</t>
        </is>
      </c>
    </row>
    <row r="80" ht="25" customHeight="1" s="55">
      <c r="A80" s="57" t="n">
        <v>79</v>
      </c>
      <c r="B80" s="57" t="n">
        <v>40</v>
      </c>
      <c r="C80" s="57" t="inlineStr">
        <is>
          <t>BGV006901</t>
        </is>
      </c>
      <c r="D80" s="57" t="inlineStr">
        <is>
          <t>Varitome seed increase</t>
        </is>
      </c>
      <c r="E80" s="57" t="inlineStr">
        <is>
          <t>BGV006901</t>
        </is>
      </c>
      <c r="F80" s="57" t="inlineStr">
        <is>
          <t>Seed increase</t>
        </is>
      </c>
      <c r="G80" s="57" t="n">
        <v>1</v>
      </c>
      <c r="H80" s="58" t="inlineStr">
        <is>
          <t>N/A</t>
        </is>
      </c>
    </row>
    <row r="81" ht="25" customHeight="1" s="55">
      <c r="A81" s="57" t="n">
        <v>80</v>
      </c>
      <c r="B81" s="57" t="n">
        <v>40</v>
      </c>
      <c r="C81" s="57" t="inlineStr">
        <is>
          <t>UKYT-26-022</t>
        </is>
      </c>
      <c r="D81" s="57" t="inlineStr">
        <is>
          <t>Advanced breeding</t>
        </is>
      </c>
      <c r="E81" s="57" t="inlineStr">
        <is>
          <t>403-BkW (2025)</t>
        </is>
      </c>
      <c r="F81" s="57" t="inlineStr">
        <is>
          <t>Breeding Trial</t>
        </is>
      </c>
      <c r="G81" s="57" t="n">
        <v>12</v>
      </c>
      <c r="H81" s="57" t="inlineStr">
        <is>
          <t>1, 2, 3</t>
        </is>
      </c>
    </row>
    <row r="82" ht="25" customHeight="1" s="55">
      <c r="A82" s="57" t="n">
        <v>81</v>
      </c>
      <c r="B82" s="57" t="n">
        <v>41</v>
      </c>
      <c r="C82" s="57" t="inlineStr">
        <is>
          <t>BGV006904</t>
        </is>
      </c>
      <c r="D82" s="57" t="inlineStr">
        <is>
          <t>Varitome seed increase</t>
        </is>
      </c>
      <c r="E82" s="57" t="inlineStr">
        <is>
          <t>BGV006904</t>
        </is>
      </c>
      <c r="F82" s="57" t="inlineStr">
        <is>
          <t>Seed increase</t>
        </is>
      </c>
      <c r="G82" s="57" t="n">
        <v>1</v>
      </c>
      <c r="H82" s="58" t="inlineStr">
        <is>
          <t>N/A</t>
        </is>
      </c>
    </row>
    <row r="83" ht="25" customHeight="1" s="55">
      <c r="A83" s="57" t="n">
        <v>82</v>
      </c>
      <c r="B83" s="57" t="n">
        <v>41</v>
      </c>
      <c r="C83" s="57" t="inlineStr">
        <is>
          <t>UKYT-26-023</t>
        </is>
      </c>
      <c r="D83" s="57" t="inlineStr">
        <is>
          <t>Advanced breeding</t>
        </is>
      </c>
      <c r="E83" s="57" t="inlineStr">
        <is>
          <t>404-BkW (2025)</t>
        </is>
      </c>
      <c r="F83" s="57" t="inlineStr">
        <is>
          <t>Breeding Trial</t>
        </is>
      </c>
      <c r="G83" s="57" t="n">
        <v>12</v>
      </c>
      <c r="H83" s="57" t="inlineStr">
        <is>
          <t>1, 2, 3</t>
        </is>
      </c>
    </row>
    <row r="84" ht="25" customHeight="1" s="55">
      <c r="A84" s="57" t="n">
        <v>83</v>
      </c>
      <c r="B84" s="57" t="n">
        <v>42</v>
      </c>
      <c r="C84" s="57" t="inlineStr">
        <is>
          <t>BGV006906</t>
        </is>
      </c>
      <c r="D84" s="57" t="inlineStr">
        <is>
          <t>Varitome seed increase</t>
        </is>
      </c>
      <c r="E84" s="57" t="inlineStr">
        <is>
          <t>BGV006906</t>
        </is>
      </c>
      <c r="F84" s="57" t="inlineStr">
        <is>
          <t>Seed increase</t>
        </is>
      </c>
      <c r="G84" s="57" t="n">
        <v>1</v>
      </c>
      <c r="H84" s="58" t="inlineStr">
        <is>
          <t>N/A</t>
        </is>
      </c>
    </row>
    <row r="85" ht="25" customHeight="1" s="55">
      <c r="A85" s="57" t="n">
        <v>84</v>
      </c>
      <c r="B85" s="57" t="n">
        <v>42</v>
      </c>
      <c r="C85" s="57" t="inlineStr">
        <is>
          <t>UKYT-26-024</t>
        </is>
      </c>
      <c r="D85" s="57" t="inlineStr">
        <is>
          <t>Advanced breeding</t>
        </is>
      </c>
      <c r="E85" s="57" t="inlineStr">
        <is>
          <t>406-BkW (2025)</t>
        </is>
      </c>
      <c r="F85" s="57" t="inlineStr">
        <is>
          <t>Breeding Trial</t>
        </is>
      </c>
      <c r="G85" s="57" t="n">
        <v>12</v>
      </c>
      <c r="H85" s="57" t="inlineStr">
        <is>
          <t>1, 2, 3</t>
        </is>
      </c>
    </row>
    <row r="86" ht="25" customHeight="1" s="55">
      <c r="A86" s="57" t="n">
        <v>85</v>
      </c>
      <c r="B86" s="57" t="n">
        <v>43</v>
      </c>
      <c r="C86" s="57" t="inlineStr">
        <is>
          <t>BGV006907</t>
        </is>
      </c>
      <c r="D86" s="57" t="inlineStr">
        <is>
          <t>Varitome seed increase</t>
        </is>
      </c>
      <c r="E86" s="57" t="inlineStr">
        <is>
          <t>BGV006907</t>
        </is>
      </c>
      <c r="F86" s="57" t="inlineStr">
        <is>
          <t>Seed increase</t>
        </is>
      </c>
      <c r="G86" s="57" t="n">
        <v>1</v>
      </c>
      <c r="H86" s="58" t="inlineStr">
        <is>
          <t>N/A</t>
        </is>
      </c>
    </row>
    <row r="87" ht="25" customHeight="1" s="55">
      <c r="A87" s="57" t="n">
        <v>86</v>
      </c>
      <c r="B87" s="57" t="n">
        <v>43</v>
      </c>
      <c r="C87" s="57" t="inlineStr">
        <is>
          <t>UKYT-26-025</t>
        </is>
      </c>
      <c r="D87" s="57" t="inlineStr">
        <is>
          <t>Advanced breeding</t>
        </is>
      </c>
      <c r="E87" s="57" t="inlineStr">
        <is>
          <t>407-BkW (2025)</t>
        </is>
      </c>
      <c r="F87" s="57" t="inlineStr">
        <is>
          <t>Breeding Trial</t>
        </is>
      </c>
      <c r="G87" s="57" t="n">
        <v>12</v>
      </c>
      <c r="H87" s="57" t="inlineStr">
        <is>
          <t>1, 2, 3</t>
        </is>
      </c>
    </row>
    <row r="88" ht="25" customHeight="1" s="55">
      <c r="A88" s="57" t="n">
        <v>87</v>
      </c>
      <c r="B88" s="57" t="n">
        <v>44</v>
      </c>
      <c r="C88" s="57" t="inlineStr">
        <is>
          <t>BGV006910</t>
        </is>
      </c>
      <c r="D88" s="57" t="inlineStr">
        <is>
          <t>Varitome seed increase</t>
        </is>
      </c>
      <c r="E88" s="57" t="inlineStr">
        <is>
          <t>BGV006910</t>
        </is>
      </c>
      <c r="F88" s="57" t="inlineStr">
        <is>
          <t>Seed increase</t>
        </is>
      </c>
      <c r="G88" s="57" t="n">
        <v>1</v>
      </c>
      <c r="H88" s="58" t="inlineStr">
        <is>
          <t>N/A</t>
        </is>
      </c>
    </row>
    <row r="89" ht="25" customHeight="1" s="55">
      <c r="A89" s="57" t="n">
        <v>88</v>
      </c>
      <c r="B89" s="57" t="n">
        <v>44</v>
      </c>
      <c r="C89" s="57" t="inlineStr">
        <is>
          <t>UKYT-26-026</t>
        </is>
      </c>
      <c r="D89" s="57" t="inlineStr">
        <is>
          <t>Advanced breeding</t>
        </is>
      </c>
      <c r="E89" s="57" t="inlineStr">
        <is>
          <t>408-BkW (2025)</t>
        </is>
      </c>
      <c r="F89" s="57" t="inlineStr">
        <is>
          <t>Breeding Trial</t>
        </is>
      </c>
      <c r="G89" s="57" t="n">
        <v>12</v>
      </c>
      <c r="H89" s="57" t="inlineStr">
        <is>
          <t>1, 2, 3</t>
        </is>
      </c>
    </row>
    <row r="90" ht="25" customHeight="1" s="55">
      <c r="A90" s="57" t="n">
        <v>89</v>
      </c>
      <c r="B90" s="57" t="n">
        <v>45</v>
      </c>
      <c r="C90" s="57" t="inlineStr">
        <is>
          <t>BGV006927</t>
        </is>
      </c>
      <c r="D90" s="57" t="inlineStr">
        <is>
          <t>Varitome seed increase</t>
        </is>
      </c>
      <c r="E90" s="57" t="inlineStr">
        <is>
          <t>BGV006927</t>
        </is>
      </c>
      <c r="F90" s="57" t="inlineStr">
        <is>
          <t>Seed increase</t>
        </is>
      </c>
      <c r="G90" s="57" t="n">
        <v>1</v>
      </c>
      <c r="H90" s="58" t="inlineStr">
        <is>
          <t>N/A</t>
        </is>
      </c>
    </row>
    <row r="91" ht="25" customHeight="1" s="55">
      <c r="A91" s="57" t="n">
        <v>90</v>
      </c>
      <c r="B91" s="57" t="n">
        <v>45</v>
      </c>
      <c r="C91" s="57" t="inlineStr">
        <is>
          <t>UKYT-26-027</t>
        </is>
      </c>
      <c r="D91" s="57" t="inlineStr">
        <is>
          <t>Advanced breeding</t>
        </is>
      </c>
      <c r="E91" s="57" t="inlineStr">
        <is>
          <t>409-BkW (2025)</t>
        </is>
      </c>
      <c r="F91" s="57" t="inlineStr">
        <is>
          <t>Breeding Trial</t>
        </is>
      </c>
      <c r="G91" s="57" t="n">
        <v>12</v>
      </c>
      <c r="H91" s="57" t="inlineStr">
        <is>
          <t>1, 2, 3</t>
        </is>
      </c>
    </row>
    <row r="92" ht="25" customHeight="1" s="55">
      <c r="A92" s="57" t="n">
        <v>91</v>
      </c>
      <c r="B92" s="57" t="n">
        <v>46</v>
      </c>
      <c r="C92" s="57" t="inlineStr">
        <is>
          <t>BGV006931</t>
        </is>
      </c>
      <c r="D92" s="57" t="inlineStr">
        <is>
          <t>Varitome seed increase</t>
        </is>
      </c>
      <c r="E92" s="57" t="inlineStr">
        <is>
          <t>BGV006931</t>
        </is>
      </c>
      <c r="F92" s="57" t="inlineStr">
        <is>
          <t>Seed increase</t>
        </is>
      </c>
      <c r="G92" s="57" t="n">
        <v>1</v>
      </c>
      <c r="H92" s="58" t="inlineStr">
        <is>
          <t>N/A</t>
        </is>
      </c>
    </row>
    <row r="93" ht="25" customHeight="1" s="55">
      <c r="A93" s="57" t="n">
        <v>92</v>
      </c>
      <c r="B93" s="57" t="n">
        <v>46</v>
      </c>
      <c r="C93" s="57" t="inlineStr">
        <is>
          <t>UKYT-26-028</t>
        </is>
      </c>
      <c r="D93" s="57" t="inlineStr">
        <is>
          <t>Advanced breeding</t>
        </is>
      </c>
      <c r="E93" s="57" t="inlineStr">
        <is>
          <t>20-Bk (2024)-2</t>
        </is>
      </c>
      <c r="F93" s="57" t="inlineStr">
        <is>
          <t>Breeding Trial</t>
        </is>
      </c>
      <c r="G93" s="57" t="n">
        <v>12</v>
      </c>
      <c r="H93" s="57" t="inlineStr">
        <is>
          <t>1, 2, 3</t>
        </is>
      </c>
    </row>
    <row r="94" ht="25" customHeight="1" s="55">
      <c r="A94" s="57" t="n">
        <v>93</v>
      </c>
      <c r="B94" s="57" t="n">
        <v>47</v>
      </c>
      <c r="C94" s="57" t="inlineStr">
        <is>
          <t>BGV006934</t>
        </is>
      </c>
      <c r="D94" s="57" t="inlineStr">
        <is>
          <t>Varitome seed increase</t>
        </is>
      </c>
      <c r="E94" s="57" t="inlineStr">
        <is>
          <t>BGV006934</t>
        </is>
      </c>
      <c r="F94" s="57" t="inlineStr">
        <is>
          <t>Seed increase</t>
        </is>
      </c>
      <c r="G94" s="57" t="n">
        <v>1</v>
      </c>
      <c r="H94" s="58" t="inlineStr">
        <is>
          <t>N/A</t>
        </is>
      </c>
    </row>
    <row r="95" ht="25" customHeight="1" s="55">
      <c r="A95" s="57" t="n">
        <v>94</v>
      </c>
      <c r="B95" s="57" t="n">
        <v>47</v>
      </c>
      <c r="C95" s="57" t="inlineStr">
        <is>
          <t>UKYT-26-029</t>
        </is>
      </c>
      <c r="D95" s="57" t="inlineStr">
        <is>
          <t>Advanced breeding</t>
        </is>
      </c>
      <c r="E95" s="57" t="inlineStr">
        <is>
          <t>82-1A (2024)</t>
        </is>
      </c>
      <c r="F95" s="57" t="inlineStr">
        <is>
          <t>Breeding Trial</t>
        </is>
      </c>
      <c r="G95" s="57" t="n">
        <v>12</v>
      </c>
      <c r="H95" s="57" t="inlineStr">
        <is>
          <t>1, 2, 3</t>
        </is>
      </c>
    </row>
    <row r="96" ht="25" customHeight="1" s="55">
      <c r="A96" s="57" t="n">
        <v>95</v>
      </c>
      <c r="B96" s="57" t="n">
        <v>48</v>
      </c>
      <c r="C96" s="57" t="inlineStr">
        <is>
          <t>BGV007015</t>
        </is>
      </c>
      <c r="D96" s="57" t="inlineStr">
        <is>
          <t>Varitome seed increase</t>
        </is>
      </c>
      <c r="E96" s="57" t="inlineStr">
        <is>
          <t>BGV007015</t>
        </is>
      </c>
      <c r="F96" s="57" t="inlineStr">
        <is>
          <t>Seed increase</t>
        </is>
      </c>
      <c r="G96" s="57" t="n">
        <v>1</v>
      </c>
      <c r="H96" s="58" t="inlineStr">
        <is>
          <t>N/A</t>
        </is>
      </c>
    </row>
    <row r="97" ht="25" customHeight="1" s="55">
      <c r="A97" s="57" t="n">
        <v>96</v>
      </c>
      <c r="B97" s="57" t="n">
        <v>48</v>
      </c>
      <c r="C97" s="57" t="inlineStr">
        <is>
          <t>UKYT-26-030</t>
        </is>
      </c>
      <c r="D97" s="57" t="inlineStr">
        <is>
          <t>Advanced breeding</t>
        </is>
      </c>
      <c r="E97" s="57" t="inlineStr">
        <is>
          <t>84-3A (2024)</t>
        </is>
      </c>
      <c r="F97" s="57" t="inlineStr">
        <is>
          <t>Breeding Trial</t>
        </is>
      </c>
      <c r="G97" s="57" t="n">
        <v>12</v>
      </c>
      <c r="H97" s="57" t="inlineStr">
        <is>
          <t>1, 2, 3</t>
        </is>
      </c>
    </row>
    <row r="98" ht="25" customHeight="1" s="55">
      <c r="A98" s="57" t="n">
        <v>97</v>
      </c>
      <c r="B98" s="57" t="n">
        <v>49</v>
      </c>
      <c r="C98" s="57" t="inlineStr">
        <is>
          <t>BGV007017</t>
        </is>
      </c>
      <c r="D98" s="57" t="inlineStr">
        <is>
          <t>Varitome seed increase</t>
        </is>
      </c>
      <c r="E98" s="57" t="inlineStr">
        <is>
          <t>BGV007017</t>
        </is>
      </c>
      <c r="F98" s="57" t="inlineStr">
        <is>
          <t>Seed increase</t>
        </is>
      </c>
      <c r="G98" s="57" t="n">
        <v>1</v>
      </c>
      <c r="H98" s="58" t="inlineStr">
        <is>
          <t>N/A</t>
        </is>
      </c>
    </row>
    <row r="99" ht="25" customHeight="1" s="55">
      <c r="A99" s="57" t="n">
        <v>98</v>
      </c>
      <c r="B99" s="57" t="n">
        <v>49</v>
      </c>
      <c r="C99" s="57" t="inlineStr">
        <is>
          <t>UKYT-26-031</t>
        </is>
      </c>
      <c r="D99" s="57" t="inlineStr">
        <is>
          <t>Advanced breeding</t>
        </is>
      </c>
      <c r="E99" s="57" t="inlineStr">
        <is>
          <t>85-1 (2024)</t>
        </is>
      </c>
      <c r="F99" s="57" t="inlineStr">
        <is>
          <t>Breeding Trial</t>
        </is>
      </c>
      <c r="G99" s="57" t="n">
        <v>12</v>
      </c>
      <c r="H99" s="57" t="inlineStr">
        <is>
          <t>1, 2, 3</t>
        </is>
      </c>
    </row>
    <row r="100" ht="25" customHeight="1" s="55">
      <c r="A100" s="57" t="n">
        <v>99</v>
      </c>
      <c r="B100" s="57" t="n">
        <v>50</v>
      </c>
      <c r="C100" s="57" t="inlineStr">
        <is>
          <t>BGV007023</t>
        </is>
      </c>
      <c r="D100" s="57" t="inlineStr">
        <is>
          <t>Varitome seed increase</t>
        </is>
      </c>
      <c r="E100" s="57" t="inlineStr">
        <is>
          <t>BGV007023</t>
        </is>
      </c>
      <c r="F100" s="57" t="inlineStr">
        <is>
          <t>Seed increase</t>
        </is>
      </c>
      <c r="G100" s="57" t="n">
        <v>1</v>
      </c>
      <c r="H100" s="58" t="inlineStr">
        <is>
          <t>N/A</t>
        </is>
      </c>
    </row>
    <row r="101" ht="25" customHeight="1" s="55">
      <c r="A101" s="57" t="n">
        <v>100</v>
      </c>
      <c r="B101" s="57" t="n">
        <v>50</v>
      </c>
      <c r="C101" s="57" t="inlineStr">
        <is>
          <t>UKYT-26-032</t>
        </is>
      </c>
      <c r="D101" s="57" t="inlineStr">
        <is>
          <t>Advanced breeding</t>
        </is>
      </c>
      <c r="E101" s="57" t="inlineStr">
        <is>
          <t>46-Bk (2025)</t>
        </is>
      </c>
      <c r="F101" s="57" t="inlineStr">
        <is>
          <t>Breeding Trial</t>
        </is>
      </c>
      <c r="G101" s="57" t="n">
        <v>12</v>
      </c>
      <c r="H101" s="57" t="inlineStr">
        <is>
          <t>1, 2, 3</t>
        </is>
      </c>
    </row>
    <row r="102" ht="25" customHeight="1" s="55">
      <c r="A102" s="57" t="n">
        <v>101</v>
      </c>
      <c r="B102" s="57" t="n">
        <v>51</v>
      </c>
      <c r="C102" s="57" t="inlineStr">
        <is>
          <t>BGV007109</t>
        </is>
      </c>
      <c r="D102" s="57" t="inlineStr">
        <is>
          <t>Varitome seed increase</t>
        </is>
      </c>
      <c r="E102" s="57" t="inlineStr">
        <is>
          <t>BGV007109</t>
        </is>
      </c>
      <c r="F102" s="57" t="inlineStr">
        <is>
          <t>Seed increase</t>
        </is>
      </c>
      <c r="G102" s="57" t="n">
        <v>1</v>
      </c>
      <c r="H102" s="58" t="inlineStr">
        <is>
          <t>N/A</t>
        </is>
      </c>
    </row>
    <row r="103" ht="25" customHeight="1" s="55">
      <c r="A103" s="57" t="n">
        <v>102</v>
      </c>
      <c r="B103" s="57" t="n">
        <v>51</v>
      </c>
      <c r="C103" s="57" t="inlineStr">
        <is>
          <t>UKYT-26-033</t>
        </is>
      </c>
      <c r="D103" s="57" t="inlineStr">
        <is>
          <t>Advanced breeding</t>
        </is>
      </c>
      <c r="E103" s="57" t="inlineStr">
        <is>
          <t>220-1W (2025)</t>
        </is>
      </c>
      <c r="F103" s="57" t="inlineStr">
        <is>
          <t>Breeding Trial</t>
        </is>
      </c>
      <c r="G103" s="57" t="n">
        <v>12</v>
      </c>
      <c r="H103" s="57" t="inlineStr">
        <is>
          <t>1, 2, 3</t>
        </is>
      </c>
    </row>
    <row r="104" ht="25" customHeight="1" s="55">
      <c r="A104" s="57" t="n">
        <v>103</v>
      </c>
      <c r="B104" s="57" t="n">
        <v>52</v>
      </c>
      <c r="C104" s="57" t="inlineStr">
        <is>
          <t>BGV007111</t>
        </is>
      </c>
      <c r="D104" s="57" t="inlineStr">
        <is>
          <t>Varitome seed increase</t>
        </is>
      </c>
      <c r="E104" s="57" t="inlineStr">
        <is>
          <t>BGV007111</t>
        </is>
      </c>
      <c r="F104" s="57" t="inlineStr">
        <is>
          <t>Seed increase</t>
        </is>
      </c>
      <c r="G104" s="57" t="n">
        <v>1</v>
      </c>
      <c r="H104" s="58" t="inlineStr">
        <is>
          <t>N/A</t>
        </is>
      </c>
    </row>
    <row r="105" ht="25" customHeight="1" s="55">
      <c r="A105" s="57" t="n">
        <v>104</v>
      </c>
      <c r="B105" s="57" t="n">
        <v>52</v>
      </c>
      <c r="C105" s="57" t="inlineStr">
        <is>
          <t>UKYT-26-034</t>
        </is>
      </c>
      <c r="D105" s="57" t="inlineStr">
        <is>
          <t>Advanced breeding</t>
        </is>
      </c>
      <c r="E105" s="57" t="inlineStr">
        <is>
          <t>221-BkW (2025)</t>
        </is>
      </c>
      <c r="F105" s="57" t="inlineStr">
        <is>
          <t>Breeding Trial</t>
        </is>
      </c>
      <c r="G105" s="57" t="n">
        <v>12</v>
      </c>
      <c r="H105" s="57" t="inlineStr">
        <is>
          <t>1, 2, 3</t>
        </is>
      </c>
    </row>
    <row r="106" ht="25" customHeight="1" s="55">
      <c r="A106" s="57" t="n">
        <v>105</v>
      </c>
      <c r="B106" s="57" t="n">
        <v>53</v>
      </c>
      <c r="C106" s="57" t="inlineStr">
        <is>
          <t>BGV007149</t>
        </is>
      </c>
      <c r="D106" s="57" t="inlineStr">
        <is>
          <t>Varitome seed increase</t>
        </is>
      </c>
      <c r="E106" s="57" t="inlineStr">
        <is>
          <t>BGV007149</t>
        </is>
      </c>
      <c r="F106" s="57" t="inlineStr">
        <is>
          <t>Seed increase</t>
        </is>
      </c>
      <c r="G106" s="57" t="n">
        <v>1</v>
      </c>
      <c r="H106" s="58" t="inlineStr">
        <is>
          <t>N/A</t>
        </is>
      </c>
    </row>
    <row r="107" ht="25" customHeight="1" s="55">
      <c r="A107" s="57" t="n">
        <v>106</v>
      </c>
      <c r="B107" s="57" t="n">
        <v>53</v>
      </c>
      <c r="C107" s="57" t="inlineStr">
        <is>
          <t>UKYT-26-035</t>
        </is>
      </c>
      <c r="D107" s="57" t="inlineStr">
        <is>
          <t>Advanced breeding</t>
        </is>
      </c>
      <c r="E107" s="57" t="inlineStr">
        <is>
          <t>225-BkW 2025)</t>
        </is>
      </c>
      <c r="F107" s="57" t="inlineStr">
        <is>
          <t>Breeding Trial</t>
        </is>
      </c>
      <c r="G107" s="57" t="n">
        <v>12</v>
      </c>
      <c r="H107" s="57" t="inlineStr">
        <is>
          <t>1, 2, 3</t>
        </is>
      </c>
    </row>
    <row r="108" ht="25" customHeight="1" s="55">
      <c r="A108" s="57" t="n">
        <v>107</v>
      </c>
      <c r="B108" s="57" t="n">
        <v>54</v>
      </c>
      <c r="C108" s="57" t="inlineStr">
        <is>
          <t>BGV007151</t>
        </is>
      </c>
      <c r="D108" s="57" t="inlineStr">
        <is>
          <t>Varitome seed increase</t>
        </is>
      </c>
      <c r="E108" s="57" t="inlineStr">
        <is>
          <t>BGV007151</t>
        </is>
      </c>
      <c r="F108" s="57" t="inlineStr">
        <is>
          <t>Seed increase</t>
        </is>
      </c>
      <c r="G108" s="57" t="n">
        <v>1</v>
      </c>
      <c r="H108" s="58" t="inlineStr">
        <is>
          <t>N/A</t>
        </is>
      </c>
    </row>
    <row r="109" ht="25" customHeight="1" s="55">
      <c r="A109" s="57" t="n">
        <v>108</v>
      </c>
      <c r="B109" s="57" t="n">
        <v>54</v>
      </c>
      <c r="C109" s="57" t="inlineStr">
        <is>
          <t>UKYT-26-036</t>
        </is>
      </c>
      <c r="D109" s="57" t="inlineStr">
        <is>
          <t>Advanced breeding</t>
        </is>
      </c>
      <c r="E109" s="57" t="inlineStr">
        <is>
          <t>308-BkW (2025)</t>
        </is>
      </c>
      <c r="F109" s="57" t="inlineStr">
        <is>
          <t>Breeding Trial</t>
        </is>
      </c>
      <c r="G109" s="57" t="n">
        <v>12</v>
      </c>
      <c r="H109" s="57" t="inlineStr">
        <is>
          <t>1, 2, 3</t>
        </is>
      </c>
    </row>
    <row r="110" ht="25" customHeight="1" s="55">
      <c r="A110" s="57" t="n">
        <v>109</v>
      </c>
      <c r="B110" s="57" t="n">
        <v>55</v>
      </c>
      <c r="C110" s="57" t="inlineStr">
        <is>
          <t>BGV007152</t>
        </is>
      </c>
      <c r="D110" s="57" t="inlineStr">
        <is>
          <t>Varitome seed increase</t>
        </is>
      </c>
      <c r="E110" s="57" t="inlineStr">
        <is>
          <t>BGV007152</t>
        </is>
      </c>
      <c r="F110" s="57" t="inlineStr">
        <is>
          <t>Seed increase</t>
        </is>
      </c>
      <c r="G110" s="57" t="n">
        <v>1</v>
      </c>
      <c r="H110" s="58" t="inlineStr">
        <is>
          <t>N/A</t>
        </is>
      </c>
    </row>
    <row r="111" ht="25" customHeight="1" s="55">
      <c r="A111" s="57" t="n">
        <v>110</v>
      </c>
      <c r="B111" s="57" t="n">
        <v>55</v>
      </c>
      <c r="C111" s="57" t="inlineStr">
        <is>
          <t>UKYT-26-037</t>
        </is>
      </c>
      <c r="D111" s="57" t="inlineStr">
        <is>
          <t>Advanced breeding</t>
        </is>
      </c>
      <c r="E111" s="57" t="inlineStr">
        <is>
          <t>410-BkW (2025)</t>
        </is>
      </c>
      <c r="F111" s="57" t="inlineStr">
        <is>
          <t>Breeding Trial</t>
        </is>
      </c>
      <c r="G111" s="57" t="n">
        <v>12</v>
      </c>
      <c r="H111" s="57" t="inlineStr">
        <is>
          <t>1, 2, 3</t>
        </is>
      </c>
    </row>
    <row r="112" ht="25" customHeight="1" s="55">
      <c r="A112" s="57" t="n">
        <v>111</v>
      </c>
      <c r="B112" s="57" t="n">
        <v>56</v>
      </c>
      <c r="C112" s="57" t="inlineStr">
        <is>
          <t>BGV007155</t>
        </is>
      </c>
      <c r="D112" s="57" t="inlineStr">
        <is>
          <t>Varitome seed increase</t>
        </is>
      </c>
      <c r="E112" s="57" t="inlineStr">
        <is>
          <t>BGV007155</t>
        </is>
      </c>
      <c r="F112" s="57" t="inlineStr">
        <is>
          <t>Seed increase</t>
        </is>
      </c>
      <c r="G112" s="57" t="n">
        <v>1</v>
      </c>
      <c r="H112" s="58" t="inlineStr">
        <is>
          <t>N/A</t>
        </is>
      </c>
    </row>
    <row r="113" ht="25" customHeight="1" s="55">
      <c r="A113" s="57" t="n">
        <v>112</v>
      </c>
      <c r="B113" s="57" t="n">
        <v>56</v>
      </c>
      <c r="C113" s="57" t="inlineStr">
        <is>
          <t>UKYT-26-038</t>
        </is>
      </c>
      <c r="D113" s="57" t="inlineStr">
        <is>
          <t>Advanced breeding</t>
        </is>
      </c>
      <c r="E113" s="57" t="inlineStr">
        <is>
          <t>413-1W (2025)</t>
        </is>
      </c>
      <c r="F113" s="57" t="inlineStr">
        <is>
          <t>Breeding Trial</t>
        </is>
      </c>
      <c r="G113" s="57" t="n">
        <v>12</v>
      </c>
      <c r="H113" s="57" t="inlineStr">
        <is>
          <t>1, 2, 3</t>
        </is>
      </c>
    </row>
    <row r="114" ht="25" customHeight="1" s="55">
      <c r="A114" s="57" t="n">
        <v>113</v>
      </c>
      <c r="B114" s="57" t="n">
        <v>57</v>
      </c>
      <c r="C114" s="57" t="inlineStr">
        <is>
          <t>BGV007158</t>
        </is>
      </c>
      <c r="D114" s="57" t="inlineStr">
        <is>
          <t>Varitome seed increase</t>
        </is>
      </c>
      <c r="E114" s="57" t="inlineStr">
        <is>
          <t>BGV007158</t>
        </is>
      </c>
      <c r="F114" s="57" t="inlineStr">
        <is>
          <t>Seed increase</t>
        </is>
      </c>
      <c r="G114" s="57" t="n">
        <v>1</v>
      </c>
      <c r="H114" s="58" t="inlineStr">
        <is>
          <t>N/A</t>
        </is>
      </c>
    </row>
    <row r="115" ht="25" customHeight="1" s="55">
      <c r="A115" s="57" t="n">
        <v>114</v>
      </c>
      <c r="B115" s="57" t="n">
        <v>57</v>
      </c>
      <c r="C115" s="57" t="inlineStr">
        <is>
          <t>UKYT-26-039</t>
        </is>
      </c>
      <c r="D115" s="57" t="inlineStr">
        <is>
          <t>Advanced breeding</t>
        </is>
      </c>
      <c r="E115" s="57" t="inlineStr">
        <is>
          <t>414-3AW (2025)</t>
        </is>
      </c>
      <c r="F115" s="57" t="inlineStr">
        <is>
          <t>Breeding Trial</t>
        </is>
      </c>
      <c r="G115" s="57" t="n">
        <v>12</v>
      </c>
      <c r="H115" s="57" t="inlineStr">
        <is>
          <t>1, 2, 3</t>
        </is>
      </c>
    </row>
    <row r="116" ht="25" customHeight="1" s="55">
      <c r="A116" s="57" t="n">
        <v>115</v>
      </c>
      <c r="B116" s="57" t="n">
        <v>58</v>
      </c>
      <c r="C116" s="57" t="inlineStr">
        <is>
          <t>BGV007161</t>
        </is>
      </c>
      <c r="D116" s="57" t="inlineStr">
        <is>
          <t>Varitome seed increase</t>
        </is>
      </c>
      <c r="E116" s="57" t="inlineStr">
        <is>
          <t>BGV007161</t>
        </is>
      </c>
      <c r="F116" s="57" t="inlineStr">
        <is>
          <t>Seed increase</t>
        </is>
      </c>
      <c r="G116" s="57" t="n">
        <v>1</v>
      </c>
      <c r="H116" s="58" t="inlineStr">
        <is>
          <t>N/A</t>
        </is>
      </c>
    </row>
    <row r="117" ht="25" customHeight="1" s="55">
      <c r="A117" s="57" t="n">
        <v>116</v>
      </c>
      <c r="B117" s="57" t="n">
        <v>58</v>
      </c>
      <c r="C117" s="57" t="inlineStr">
        <is>
          <t>Mountain Fresh Plus</t>
        </is>
      </c>
      <c r="D117" s="57" t="inlineStr">
        <is>
          <t>Advanced breeding</t>
        </is>
      </c>
      <c r="E117" s="57" t="inlineStr">
        <is>
          <t>Mountain fresh plus</t>
        </is>
      </c>
      <c r="F117" s="57" t="inlineStr">
        <is>
          <t>Breeding Trial</t>
        </is>
      </c>
      <c r="G117" s="57" t="n">
        <v>12</v>
      </c>
      <c r="H117" s="57" t="inlineStr">
        <is>
          <t>1, 2, 3</t>
        </is>
      </c>
    </row>
    <row r="118" ht="25" customHeight="1" s="55">
      <c r="A118" s="57" t="n">
        <v>117</v>
      </c>
      <c r="B118" s="57" t="n">
        <v>59</v>
      </c>
      <c r="C118" s="57" t="inlineStr">
        <is>
          <t>BGV007169</t>
        </is>
      </c>
      <c r="D118" s="57" t="inlineStr">
        <is>
          <t>Varitome seed increase</t>
        </is>
      </c>
      <c r="E118" s="57" t="inlineStr">
        <is>
          <t>BGV007169</t>
        </is>
      </c>
      <c r="F118" s="57" t="inlineStr">
        <is>
          <t>Seed increase</t>
        </is>
      </c>
      <c r="G118" s="57" t="n">
        <v>1</v>
      </c>
      <c r="H118" s="58" t="inlineStr">
        <is>
          <t>N/A</t>
        </is>
      </c>
    </row>
    <row r="119" ht="25" customHeight="1" s="55">
      <c r="A119" s="57" t="n">
        <v>118</v>
      </c>
      <c r="B119" s="57" t="n">
        <v>59</v>
      </c>
      <c r="C119" s="57" t="inlineStr">
        <is>
          <t>Cherokee Purple</t>
        </is>
      </c>
      <c r="D119" s="57" t="inlineStr">
        <is>
          <t>Advanced breeding</t>
        </is>
      </c>
      <c r="E119" s="57" t="inlineStr">
        <is>
          <t>Cherokee Purple</t>
        </is>
      </c>
      <c r="F119" s="57" t="inlineStr">
        <is>
          <t>Breeding Trial</t>
        </is>
      </c>
      <c r="G119" s="57" t="n">
        <v>12</v>
      </c>
      <c r="H119" s="57" t="inlineStr">
        <is>
          <t>1, 2, 3</t>
        </is>
      </c>
    </row>
    <row r="120" ht="25" customHeight="1" s="55">
      <c r="A120" s="57" t="n">
        <v>119</v>
      </c>
      <c r="B120" s="57" t="n">
        <v>60</v>
      </c>
      <c r="C120" s="57" t="inlineStr">
        <is>
          <t>BGV007181</t>
        </is>
      </c>
      <c r="D120" s="57" t="inlineStr">
        <is>
          <t>Varitome seed increase</t>
        </is>
      </c>
      <c r="E120" s="57" t="inlineStr">
        <is>
          <t>BGV007181</t>
        </is>
      </c>
      <c r="F120" s="57" t="inlineStr">
        <is>
          <t>Seed increase</t>
        </is>
      </c>
      <c r="G120" s="57" t="n">
        <v>1</v>
      </c>
      <c r="H120" s="58" t="inlineStr">
        <is>
          <t>N/A</t>
        </is>
      </c>
    </row>
    <row r="121" ht="25" customHeight="1" s="55">
      <c r="A121" s="57" t="n">
        <v>120</v>
      </c>
      <c r="B121" s="57" t="n">
        <v>60</v>
      </c>
      <c r="C121" s="57" t="inlineStr">
        <is>
          <t>Peace Vine</t>
        </is>
      </c>
      <c r="D121" s="57" t="inlineStr">
        <is>
          <t>Advanced breeding</t>
        </is>
      </c>
      <c r="E121" s="57" t="inlineStr">
        <is>
          <t>Peacevine Cherry</t>
        </is>
      </c>
      <c r="F121" s="57" t="inlineStr">
        <is>
          <t>Breeding Trial</t>
        </is>
      </c>
      <c r="G121" s="57" t="n">
        <v>12</v>
      </c>
      <c r="H121" s="57" t="inlineStr">
        <is>
          <t>1, 2, 3</t>
        </is>
      </c>
    </row>
    <row r="122" ht="25" customHeight="1" s="55">
      <c r="A122" s="57" t="n">
        <v>121</v>
      </c>
      <c r="B122" s="57" t="n">
        <v>61</v>
      </c>
      <c r="C122" s="57" t="inlineStr">
        <is>
          <t>BGV007194</t>
        </is>
      </c>
      <c r="D122" s="57" t="inlineStr">
        <is>
          <t>Varitome seed increase</t>
        </is>
      </c>
      <c r="E122" s="57" t="inlineStr">
        <is>
          <t>BGV007194</t>
        </is>
      </c>
      <c r="F122" s="57" t="inlineStr">
        <is>
          <t>Seed increase</t>
        </is>
      </c>
      <c r="G122" s="57" t="n">
        <v>1</v>
      </c>
      <c r="H122" s="58" t="inlineStr">
        <is>
          <t>N/A</t>
        </is>
      </c>
    </row>
    <row r="123" ht="25" customHeight="1" s="55">
      <c r="A123" s="57" t="n">
        <v>122</v>
      </c>
      <c r="B123" s="57" t="n">
        <v>61</v>
      </c>
      <c r="C123" s="57" t="inlineStr">
        <is>
          <t>NC25202G</t>
        </is>
      </c>
      <c r="D123" s="57" t="inlineStr">
        <is>
          <t>Hybrid evaluation</t>
        </is>
      </c>
      <c r="E123" s="57" t="inlineStr">
        <is>
          <t>NC 25202G</t>
        </is>
      </c>
      <c r="F123" s="57" t="inlineStr">
        <is>
          <t>Hybrid evaluation</t>
        </is>
      </c>
      <c r="G123" s="57" t="n">
        <v>8</v>
      </c>
      <c r="H123" s="57" t="inlineStr">
        <is>
          <t>1, 2</t>
        </is>
      </c>
    </row>
    <row r="124" ht="25" customHeight="1" s="55">
      <c r="A124" s="57" t="n">
        <v>123</v>
      </c>
      <c r="B124" s="57" t="n">
        <v>62</v>
      </c>
      <c r="C124" s="57" t="inlineStr">
        <is>
          <t>BGV007198</t>
        </is>
      </c>
      <c r="D124" s="57" t="inlineStr">
        <is>
          <t>Varitome seed increase</t>
        </is>
      </c>
      <c r="E124" s="57" t="inlineStr">
        <is>
          <t>BGV007198</t>
        </is>
      </c>
      <c r="F124" s="57" t="inlineStr">
        <is>
          <t>Seed increase</t>
        </is>
      </c>
      <c r="G124" s="57" t="n">
        <v>1</v>
      </c>
      <c r="H124" s="58" t="inlineStr">
        <is>
          <t>N/A</t>
        </is>
      </c>
    </row>
    <row r="125" ht="25" customHeight="1" s="55">
      <c r="A125" s="57" t="n">
        <v>124</v>
      </c>
      <c r="B125" s="57" t="n">
        <v>62</v>
      </c>
      <c r="C125" s="57" t="inlineStr">
        <is>
          <t>NC25203G</t>
        </is>
      </c>
      <c r="D125" s="57" t="inlineStr">
        <is>
          <t>Hybrid evaluation</t>
        </is>
      </c>
      <c r="E125" s="57" t="inlineStr">
        <is>
          <t>NC 25203G</t>
        </is>
      </c>
      <c r="F125" s="57" t="inlineStr">
        <is>
          <t>Hybrid evaluation</t>
        </is>
      </c>
      <c r="G125" s="57" t="n">
        <v>8</v>
      </c>
      <c r="H125" s="57" t="inlineStr">
        <is>
          <t>1, 2</t>
        </is>
      </c>
    </row>
    <row r="126" ht="25" customHeight="1" s="55">
      <c r="A126" s="57" t="n">
        <v>125</v>
      </c>
      <c r="B126" s="57" t="n">
        <v>63</v>
      </c>
      <c r="C126" s="57" t="inlineStr">
        <is>
          <t>BGV007339</t>
        </is>
      </c>
      <c r="D126" s="57" t="inlineStr">
        <is>
          <t>Varitome seed increase</t>
        </is>
      </c>
      <c r="E126" s="57" t="inlineStr">
        <is>
          <t>BGV007339</t>
        </is>
      </c>
      <c r="F126" s="57" t="inlineStr">
        <is>
          <t>Seed increase</t>
        </is>
      </c>
      <c r="G126" s="57" t="n">
        <v>1</v>
      </c>
      <c r="H126" s="58" t="inlineStr">
        <is>
          <t>N/A</t>
        </is>
      </c>
    </row>
    <row r="127" ht="25" customHeight="1" s="55">
      <c r="A127" s="57" t="n">
        <v>126</v>
      </c>
      <c r="B127" s="57" t="n">
        <v>63</v>
      </c>
      <c r="C127" s="57" t="inlineStr">
        <is>
          <t>NC25205G</t>
        </is>
      </c>
      <c r="D127" s="57" t="inlineStr">
        <is>
          <t>Hybrid evaluation</t>
        </is>
      </c>
      <c r="E127" s="57" t="inlineStr">
        <is>
          <t>NC 25205G</t>
        </is>
      </c>
      <c r="F127" s="57" t="inlineStr">
        <is>
          <t>Hybrid evaluation</t>
        </is>
      </c>
      <c r="G127" s="57" t="n">
        <v>8</v>
      </c>
      <c r="H127" s="57" t="inlineStr">
        <is>
          <t>1, 2</t>
        </is>
      </c>
    </row>
    <row r="128" ht="25" customHeight="1" s="55">
      <c r="A128" s="57" t="n">
        <v>127</v>
      </c>
      <c r="B128" s="57" t="n">
        <v>64</v>
      </c>
      <c r="C128" s="57" t="inlineStr">
        <is>
          <t>BGV007366</t>
        </is>
      </c>
      <c r="D128" s="57" t="inlineStr">
        <is>
          <t>Varitome seed increase</t>
        </is>
      </c>
      <c r="E128" s="57" t="inlineStr">
        <is>
          <t>BGV007366</t>
        </is>
      </c>
      <c r="F128" s="57" t="inlineStr">
        <is>
          <t>Seed increase</t>
        </is>
      </c>
      <c r="G128" s="57" t="n">
        <v>1</v>
      </c>
      <c r="H128" s="58" t="inlineStr">
        <is>
          <t>N/A</t>
        </is>
      </c>
    </row>
    <row r="129" ht="25" customHeight="1" s="55">
      <c r="A129" s="57" t="n">
        <v>128</v>
      </c>
      <c r="B129" s="57" t="n">
        <v>64</v>
      </c>
      <c r="C129" s="57" t="inlineStr">
        <is>
          <t>NC25207G</t>
        </is>
      </c>
      <c r="D129" s="57" t="inlineStr">
        <is>
          <t>Hybrid evaluation</t>
        </is>
      </c>
      <c r="E129" s="57" t="inlineStr">
        <is>
          <t>NC 25207G</t>
        </is>
      </c>
      <c r="F129" s="57" t="inlineStr">
        <is>
          <t>Hybrid evaluation</t>
        </is>
      </c>
      <c r="G129" s="57" t="n">
        <v>8</v>
      </c>
      <c r="H129" s="57" t="inlineStr">
        <is>
          <t>1, 2</t>
        </is>
      </c>
    </row>
    <row r="130" ht="25" customHeight="1" s="55">
      <c r="A130" s="57" t="n">
        <v>129</v>
      </c>
      <c r="B130" s="57" t="n">
        <v>65</v>
      </c>
      <c r="C130" s="57" t="inlineStr">
        <is>
          <t>BGV007854</t>
        </is>
      </c>
      <c r="D130" s="57" t="inlineStr">
        <is>
          <t>Varitome seed increase</t>
        </is>
      </c>
      <c r="E130" s="57" t="inlineStr">
        <is>
          <t>BGV007854</t>
        </is>
      </c>
      <c r="F130" s="57" t="inlineStr">
        <is>
          <t>Seed increase</t>
        </is>
      </c>
      <c r="G130" s="57" t="n">
        <v>1</v>
      </c>
      <c r="H130" s="58" t="inlineStr">
        <is>
          <t>N/A</t>
        </is>
      </c>
    </row>
    <row r="131" ht="25" customHeight="1" s="55">
      <c r="A131" s="57" t="n">
        <v>130</v>
      </c>
      <c r="B131" s="57" t="n">
        <v>65</v>
      </c>
      <c r="C131" s="57" t="inlineStr">
        <is>
          <t>NC25208G</t>
        </is>
      </c>
      <c r="D131" s="57" t="inlineStr">
        <is>
          <t>Hybrid evaluation</t>
        </is>
      </c>
      <c r="E131" s="57" t="inlineStr">
        <is>
          <t>NC 25208G</t>
        </is>
      </c>
      <c r="F131" s="57" t="inlineStr">
        <is>
          <t>Hybrid evaluation</t>
        </is>
      </c>
      <c r="G131" s="57" t="n">
        <v>8</v>
      </c>
      <c r="H131" s="57" t="inlineStr">
        <is>
          <t>1, 2</t>
        </is>
      </c>
    </row>
    <row r="132" ht="25" customHeight="1" s="55">
      <c r="A132" s="57" t="n">
        <v>131</v>
      </c>
      <c r="B132" s="57" t="n">
        <v>66</v>
      </c>
      <c r="C132" s="57" t="inlineStr">
        <is>
          <t>BGV007857</t>
        </is>
      </c>
      <c r="D132" s="57" t="inlineStr">
        <is>
          <t>Varitome seed increase</t>
        </is>
      </c>
      <c r="E132" s="57" t="inlineStr">
        <is>
          <t>BGV007857</t>
        </is>
      </c>
      <c r="F132" s="57" t="inlineStr">
        <is>
          <t>Seed increase</t>
        </is>
      </c>
      <c r="G132" s="57" t="n">
        <v>1</v>
      </c>
      <c r="H132" s="58" t="inlineStr">
        <is>
          <t>N/A</t>
        </is>
      </c>
    </row>
    <row r="133" ht="25" customHeight="1" s="55">
      <c r="A133" s="57" t="n">
        <v>132</v>
      </c>
      <c r="B133" s="57" t="n">
        <v>66</v>
      </c>
      <c r="C133" s="57" t="inlineStr">
        <is>
          <t>NC25209G</t>
        </is>
      </c>
      <c r="D133" s="57" t="inlineStr">
        <is>
          <t>Hybrid evaluation</t>
        </is>
      </c>
      <c r="E133" s="57" t="inlineStr">
        <is>
          <t>NC 25209G</t>
        </is>
      </c>
      <c r="F133" s="57" t="inlineStr">
        <is>
          <t>Hybrid evaluation</t>
        </is>
      </c>
      <c r="G133" s="57" t="n">
        <v>8</v>
      </c>
      <c r="H133" s="57" t="inlineStr">
        <is>
          <t>1, 2</t>
        </is>
      </c>
    </row>
    <row r="134" ht="25" customHeight="1" s="55">
      <c r="A134" s="57" t="n">
        <v>133</v>
      </c>
      <c r="B134" s="57" t="n">
        <v>67</v>
      </c>
      <c r="C134" s="57" t="inlineStr">
        <is>
          <t>BGV007860</t>
        </is>
      </c>
      <c r="D134" s="57" t="inlineStr">
        <is>
          <t>Varitome seed increase</t>
        </is>
      </c>
      <c r="E134" s="57" t="inlineStr">
        <is>
          <t>BGV007860</t>
        </is>
      </c>
      <c r="F134" s="57" t="inlineStr">
        <is>
          <t>Seed increase</t>
        </is>
      </c>
      <c r="G134" s="57" t="n">
        <v>1</v>
      </c>
      <c r="H134" s="58" t="inlineStr">
        <is>
          <t>N/A</t>
        </is>
      </c>
    </row>
    <row r="135" ht="25" customHeight="1" s="55">
      <c r="A135" s="57" t="n">
        <v>134</v>
      </c>
      <c r="B135" s="57" t="n">
        <v>67</v>
      </c>
      <c r="C135" s="57" t="inlineStr">
        <is>
          <t>NC25210G</t>
        </is>
      </c>
      <c r="D135" s="57" t="inlineStr">
        <is>
          <t>Hybrid evaluation</t>
        </is>
      </c>
      <c r="E135" s="57" t="inlineStr">
        <is>
          <t>NC 25210G</t>
        </is>
      </c>
      <c r="F135" s="57" t="inlineStr">
        <is>
          <t>Hybrid evaluation</t>
        </is>
      </c>
      <c r="G135" s="57" t="n">
        <v>8</v>
      </c>
      <c r="H135" s="57" t="inlineStr">
        <is>
          <t>1, 2</t>
        </is>
      </c>
    </row>
    <row r="136" ht="25" customHeight="1" s="55">
      <c r="A136" s="57" t="n">
        <v>135</v>
      </c>
      <c r="B136" s="57" t="n">
        <v>68</v>
      </c>
      <c r="C136" s="57" t="inlineStr">
        <is>
          <t>BGV007862</t>
        </is>
      </c>
      <c r="D136" s="57" t="inlineStr">
        <is>
          <t>Varitome seed increase</t>
        </is>
      </c>
      <c r="E136" s="57" t="inlineStr">
        <is>
          <t>BGV007862</t>
        </is>
      </c>
      <c r="F136" s="57" t="inlineStr">
        <is>
          <t>Seed increase</t>
        </is>
      </c>
      <c r="G136" s="57" t="n">
        <v>1</v>
      </c>
      <c r="H136" s="58" t="inlineStr">
        <is>
          <t>N/A</t>
        </is>
      </c>
    </row>
    <row r="137" ht="25" customHeight="1" s="55">
      <c r="A137" s="57" t="n">
        <v>136</v>
      </c>
      <c r="B137" s="57" t="n">
        <v>68</v>
      </c>
      <c r="C137" s="57" t="inlineStr">
        <is>
          <t>NC25212G</t>
        </is>
      </c>
      <c r="D137" s="57" t="inlineStr">
        <is>
          <t>Hybrid evaluation</t>
        </is>
      </c>
      <c r="E137" s="57" t="inlineStr">
        <is>
          <t>NC 25212G</t>
        </is>
      </c>
      <c r="F137" s="57" t="inlineStr">
        <is>
          <t>Hybrid evaluation</t>
        </is>
      </c>
      <c r="G137" s="57" t="n">
        <v>8</v>
      </c>
      <c r="H137" s="57" t="inlineStr">
        <is>
          <t>1, 2</t>
        </is>
      </c>
    </row>
    <row r="138" ht="25" customHeight="1" s="55">
      <c r="A138" s="57" t="n">
        <v>137</v>
      </c>
      <c r="B138" s="57" t="n">
        <v>69</v>
      </c>
      <c r="C138" s="57" t="inlineStr">
        <is>
          <t>BGV007863</t>
        </is>
      </c>
      <c r="D138" s="57" t="inlineStr">
        <is>
          <t>Varitome seed increase</t>
        </is>
      </c>
      <c r="E138" s="57" t="inlineStr">
        <is>
          <t>BGV007863</t>
        </is>
      </c>
      <c r="F138" s="57" t="inlineStr">
        <is>
          <t>Seed increase</t>
        </is>
      </c>
      <c r="G138" s="57" t="n">
        <v>1</v>
      </c>
      <c r="H138" s="58" t="inlineStr">
        <is>
          <t>N/A</t>
        </is>
      </c>
    </row>
    <row r="139" ht="25" customHeight="1" s="55">
      <c r="A139" s="57" t="n">
        <v>138</v>
      </c>
      <c r="B139" s="57" t="n">
        <v>69</v>
      </c>
      <c r="C139" s="57" t="inlineStr">
        <is>
          <t>NC25217G</t>
        </is>
      </c>
      <c r="D139" s="57" t="inlineStr">
        <is>
          <t>Hybrid evaluation</t>
        </is>
      </c>
      <c r="E139" s="57" t="inlineStr">
        <is>
          <t>NC 25217G</t>
        </is>
      </c>
      <c r="F139" s="57" t="inlineStr">
        <is>
          <t>Hybrid evaluation</t>
        </is>
      </c>
      <c r="G139" s="57" t="n">
        <v>8</v>
      </c>
      <c r="H139" s="57" t="inlineStr">
        <is>
          <t>1, 2</t>
        </is>
      </c>
    </row>
    <row r="140" ht="25" customHeight="1" s="55">
      <c r="A140" s="57" t="n">
        <v>139</v>
      </c>
      <c r="B140" s="57" t="n">
        <v>70</v>
      </c>
      <c r="C140" s="57" t="inlineStr">
        <is>
          <t>BGV007864</t>
        </is>
      </c>
      <c r="D140" s="57" t="inlineStr">
        <is>
          <t>Varitome seed increase</t>
        </is>
      </c>
      <c r="E140" s="57" t="inlineStr">
        <is>
          <t>BGV007864</t>
        </is>
      </c>
      <c r="F140" s="57" t="inlineStr">
        <is>
          <t>Seed increase</t>
        </is>
      </c>
      <c r="G140" s="57" t="n">
        <v>1</v>
      </c>
      <c r="H140" s="58" t="inlineStr">
        <is>
          <t>N/A</t>
        </is>
      </c>
    </row>
    <row r="141" ht="25" customHeight="1" s="55">
      <c r="A141" s="57" t="n">
        <v>140</v>
      </c>
      <c r="B141" s="57" t="n">
        <v>70</v>
      </c>
      <c r="C141" s="57" t="inlineStr">
        <is>
          <t>NC25230G</t>
        </is>
      </c>
      <c r="D141" s="57" t="inlineStr">
        <is>
          <t>Hybrid evaluation</t>
        </is>
      </c>
      <c r="E141" s="57" t="inlineStr">
        <is>
          <t>NC 25230G</t>
        </is>
      </c>
      <c r="F141" s="57" t="inlineStr">
        <is>
          <t>Hybrid evaluation</t>
        </is>
      </c>
      <c r="G141" s="57" t="n">
        <v>8</v>
      </c>
      <c r="H141" s="57" t="inlineStr">
        <is>
          <t>1, 2</t>
        </is>
      </c>
    </row>
    <row r="142" ht="25" customHeight="1" s="55">
      <c r="A142" s="57" t="n">
        <v>141</v>
      </c>
      <c r="B142" s="57" t="n">
        <v>71</v>
      </c>
      <c r="C142" s="57" t="inlineStr">
        <is>
          <t>BGV007865</t>
        </is>
      </c>
      <c r="D142" s="57" t="inlineStr">
        <is>
          <t>Varitome seed increase</t>
        </is>
      </c>
      <c r="E142" s="57" t="inlineStr">
        <is>
          <t>BGV007865</t>
        </is>
      </c>
      <c r="F142" s="57" t="inlineStr">
        <is>
          <t>Seed increase</t>
        </is>
      </c>
      <c r="G142" s="57" t="n">
        <v>1</v>
      </c>
      <c r="H142" s="58" t="inlineStr">
        <is>
          <t>N/A</t>
        </is>
      </c>
    </row>
    <row r="143" ht="25" customHeight="1" s="55">
      <c r="A143" s="57" t="n">
        <v>142</v>
      </c>
      <c r="B143" s="57" t="n">
        <v>71</v>
      </c>
      <c r="C143" s="57" t="inlineStr">
        <is>
          <t>NC25231G</t>
        </is>
      </c>
      <c r="D143" s="57" t="inlineStr">
        <is>
          <t>Hybrid evaluation</t>
        </is>
      </c>
      <c r="E143" s="57" t="inlineStr">
        <is>
          <t>NC 25231G</t>
        </is>
      </c>
      <c r="F143" s="57" t="inlineStr">
        <is>
          <t>Hybrid evaluation</t>
        </is>
      </c>
      <c r="G143" s="57" t="n">
        <v>8</v>
      </c>
      <c r="H143" s="57" t="inlineStr">
        <is>
          <t>1, 2</t>
        </is>
      </c>
    </row>
    <row r="144" ht="25" customHeight="1" s="55">
      <c r="A144" s="57" t="n">
        <v>143</v>
      </c>
      <c r="B144" s="57" t="n">
        <v>72</v>
      </c>
      <c r="C144" s="57" t="inlineStr">
        <is>
          <t>BGV007867</t>
        </is>
      </c>
      <c r="D144" s="57" t="inlineStr">
        <is>
          <t>Varitome seed increase</t>
        </is>
      </c>
      <c r="E144" s="57" t="inlineStr">
        <is>
          <t>BGV007867</t>
        </is>
      </c>
      <c r="F144" s="57" t="inlineStr">
        <is>
          <t>Seed increase</t>
        </is>
      </c>
      <c r="G144" s="57" t="n">
        <v>1</v>
      </c>
      <c r="H144" s="58" t="inlineStr">
        <is>
          <t>N/A</t>
        </is>
      </c>
    </row>
    <row r="145" ht="25" customHeight="1" s="55">
      <c r="A145" s="57" t="n">
        <v>144</v>
      </c>
      <c r="B145" s="57" t="n">
        <v>72</v>
      </c>
      <c r="C145" s="57" t="inlineStr">
        <is>
          <t>NC25240G</t>
        </is>
      </c>
      <c r="D145" s="57" t="inlineStr">
        <is>
          <t>Hybrid evaluation</t>
        </is>
      </c>
      <c r="E145" s="57" t="inlineStr">
        <is>
          <t>NC 25240G</t>
        </is>
      </c>
      <c r="F145" s="57" t="inlineStr">
        <is>
          <t>Hybrid evaluation</t>
        </is>
      </c>
      <c r="G145" s="57" t="n">
        <v>8</v>
      </c>
      <c r="H145" s="57" t="inlineStr">
        <is>
          <t>1, 2</t>
        </is>
      </c>
    </row>
    <row r="146" ht="25" customHeight="1" s="55">
      <c r="A146" s="57" t="n">
        <v>145</v>
      </c>
      <c r="B146" s="57" t="n">
        <v>73</v>
      </c>
      <c r="C146" s="57" t="inlineStr">
        <is>
          <t>BGV007870</t>
        </is>
      </c>
      <c r="D146" s="57" t="inlineStr">
        <is>
          <t>Varitome seed increase</t>
        </is>
      </c>
      <c r="E146" s="57" t="inlineStr">
        <is>
          <t>BGV007870</t>
        </is>
      </c>
      <c r="F146" s="57" t="inlineStr">
        <is>
          <t>Seed increase</t>
        </is>
      </c>
      <c r="G146" s="57" t="n">
        <v>1</v>
      </c>
      <c r="H146" s="58" t="inlineStr">
        <is>
          <t>N/A</t>
        </is>
      </c>
    </row>
    <row r="147" ht="25" customHeight="1" s="55">
      <c r="A147" s="57" t="n">
        <v>146</v>
      </c>
      <c r="B147" s="57" t="n">
        <v>73</v>
      </c>
      <c r="C147" s="57" t="inlineStr">
        <is>
          <t>NC25241G</t>
        </is>
      </c>
      <c r="D147" s="57" t="inlineStr">
        <is>
          <t>Hybrid evaluation</t>
        </is>
      </c>
      <c r="E147" s="57" t="inlineStr">
        <is>
          <t>NC 25241G</t>
        </is>
      </c>
      <c r="F147" s="57" t="inlineStr">
        <is>
          <t>Hybrid evaluation</t>
        </is>
      </c>
      <c r="G147" s="57" t="n">
        <v>8</v>
      </c>
      <c r="H147" s="57" t="inlineStr">
        <is>
          <t>1, 2</t>
        </is>
      </c>
    </row>
    <row r="148" ht="25" customHeight="1" s="55">
      <c r="A148" s="57" t="n">
        <v>147</v>
      </c>
      <c r="B148" s="57" t="n">
        <v>74</v>
      </c>
      <c r="C148" s="57" t="inlineStr">
        <is>
          <t>BGV007871</t>
        </is>
      </c>
      <c r="D148" s="57" t="inlineStr">
        <is>
          <t>Varitome seed increase</t>
        </is>
      </c>
      <c r="E148" s="57" t="inlineStr">
        <is>
          <t>BGV007871</t>
        </is>
      </c>
      <c r="F148" s="57" t="inlineStr">
        <is>
          <t>Seed increase</t>
        </is>
      </c>
      <c r="G148" s="57" t="n">
        <v>1</v>
      </c>
      <c r="H148" s="58" t="inlineStr">
        <is>
          <t>N/A</t>
        </is>
      </c>
    </row>
    <row r="149" ht="25" customHeight="1" s="55">
      <c r="A149" s="57" t="n">
        <v>148</v>
      </c>
      <c r="B149" s="57" t="n">
        <v>74</v>
      </c>
      <c r="C149" s="57" t="inlineStr">
        <is>
          <t>NC24271G</t>
        </is>
      </c>
      <c r="D149" s="57" t="inlineStr">
        <is>
          <t>Hybrid evaluation</t>
        </is>
      </c>
      <c r="E149" s="57" t="inlineStr">
        <is>
          <t>NC 24271G</t>
        </is>
      </c>
      <c r="F149" s="57" t="inlineStr">
        <is>
          <t>Hybrid evaluation</t>
        </is>
      </c>
      <c r="G149" s="57" t="n">
        <v>8</v>
      </c>
      <c r="H149" s="57" t="inlineStr">
        <is>
          <t>1, 2</t>
        </is>
      </c>
    </row>
    <row r="150" ht="25" customHeight="1" s="55">
      <c r="A150" s="57" t="n">
        <v>149</v>
      </c>
      <c r="B150" s="57" t="n">
        <v>75</v>
      </c>
      <c r="C150" s="57" t="inlineStr">
        <is>
          <t>BGV007872</t>
        </is>
      </c>
      <c r="D150" s="57" t="inlineStr">
        <is>
          <t>Varitome seed increase</t>
        </is>
      </c>
      <c r="E150" s="57" t="inlineStr">
        <is>
          <t>BGV007872</t>
        </is>
      </c>
      <c r="F150" s="57" t="inlineStr">
        <is>
          <t>Seed increase</t>
        </is>
      </c>
      <c r="G150" s="57" t="n">
        <v>1</v>
      </c>
      <c r="H150" s="58" t="inlineStr">
        <is>
          <t>N/A</t>
        </is>
      </c>
    </row>
    <row r="151" ht="25" customHeight="1" s="55">
      <c r="A151" s="57" t="n">
        <v>150</v>
      </c>
      <c r="B151" s="57" t="n">
        <v>75</v>
      </c>
      <c r="C151" s="57" t="inlineStr">
        <is>
          <t>NC252G</t>
        </is>
      </c>
      <c r="D151" s="57" t="inlineStr">
        <is>
          <t>Hybrid evaluation</t>
        </is>
      </c>
      <c r="E151" s="57" t="inlineStr">
        <is>
          <t>NC 252G</t>
        </is>
      </c>
      <c r="F151" s="57" t="inlineStr">
        <is>
          <t>Hybrid evaluation</t>
        </is>
      </c>
      <c r="G151" s="57" t="n">
        <v>8</v>
      </c>
      <c r="H151" s="57" t="inlineStr">
        <is>
          <t>1, 2</t>
        </is>
      </c>
    </row>
    <row r="152" ht="25" customHeight="1" s="55">
      <c r="A152" s="57" t="n">
        <v>151</v>
      </c>
      <c r="B152" s="57" t="n">
        <v>76</v>
      </c>
      <c r="C152" s="57" t="inlineStr">
        <is>
          <t>BGV007875</t>
        </is>
      </c>
      <c r="D152" s="57" t="inlineStr">
        <is>
          <t>Varitome seed increase</t>
        </is>
      </c>
      <c r="E152" s="57" t="inlineStr">
        <is>
          <t>BGV007875</t>
        </is>
      </c>
      <c r="F152" s="57" t="inlineStr">
        <is>
          <t>Seed increase</t>
        </is>
      </c>
      <c r="G152" s="57" t="n">
        <v>1</v>
      </c>
      <c r="H152" s="58" t="inlineStr">
        <is>
          <t>N/A</t>
        </is>
      </c>
    </row>
    <row r="153" ht="25" customHeight="1" s="55">
      <c r="A153" s="57" t="n">
        <v>152</v>
      </c>
      <c r="B153" s="57" t="n">
        <v>76</v>
      </c>
      <c r="C153" s="57" t="inlineStr">
        <is>
          <t>NC255G</t>
        </is>
      </c>
      <c r="D153" s="57" t="inlineStr">
        <is>
          <t>Hybrid evaluation</t>
        </is>
      </c>
      <c r="E153" s="57" t="inlineStr">
        <is>
          <t>NC 255G</t>
        </is>
      </c>
      <c r="F153" s="57" t="inlineStr">
        <is>
          <t>Hybrid evaluation</t>
        </is>
      </c>
      <c r="G153" s="57" t="n">
        <v>8</v>
      </c>
      <c r="H153" s="57" t="inlineStr">
        <is>
          <t>1, 2</t>
        </is>
      </c>
    </row>
    <row r="154" ht="25" customHeight="1" s="55">
      <c r="A154" s="57" t="n">
        <v>153</v>
      </c>
      <c r="B154" s="57" t="n">
        <v>77</v>
      </c>
      <c r="C154" s="57" t="inlineStr">
        <is>
          <t>BGV007876</t>
        </is>
      </c>
      <c r="D154" s="57" t="inlineStr">
        <is>
          <t>Varitome seed increase</t>
        </is>
      </c>
      <c r="E154" s="57" t="inlineStr">
        <is>
          <t>BGV007876</t>
        </is>
      </c>
      <c r="F154" s="57" t="inlineStr">
        <is>
          <t>Seed increase</t>
        </is>
      </c>
      <c r="G154" s="57" t="n">
        <v>1</v>
      </c>
      <c r="H154" s="58" t="inlineStr">
        <is>
          <t>N/A</t>
        </is>
      </c>
    </row>
    <row r="155" ht="25" customHeight="1" s="55">
      <c r="A155" s="57" t="n">
        <v>154</v>
      </c>
      <c r="B155" s="57" t="n">
        <v>77</v>
      </c>
      <c r="C155" s="57" t="inlineStr">
        <is>
          <t>NC23706G</t>
        </is>
      </c>
      <c r="D155" s="57" t="inlineStr">
        <is>
          <t>Hybrid evaluation</t>
        </is>
      </c>
      <c r="E155" s="57" t="inlineStr">
        <is>
          <t>NC 23706G</t>
        </is>
      </c>
      <c r="F155" s="57" t="inlineStr">
        <is>
          <t>Hybrid evaluation</t>
        </is>
      </c>
      <c r="G155" s="57" t="n">
        <v>8</v>
      </c>
      <c r="H155" s="57" t="inlineStr">
        <is>
          <t>1, 2</t>
        </is>
      </c>
    </row>
    <row r="156" ht="25" customHeight="1" s="55">
      <c r="A156" s="57" t="n">
        <v>155</v>
      </c>
      <c r="B156" s="57" t="n">
        <v>78</v>
      </c>
      <c r="C156" s="57" t="inlineStr">
        <is>
          <t>BGV007878</t>
        </is>
      </c>
      <c r="D156" s="57" t="inlineStr">
        <is>
          <t>Varitome seed increase</t>
        </is>
      </c>
      <c r="E156" s="57" t="inlineStr">
        <is>
          <t>BGV007878</t>
        </is>
      </c>
      <c r="F156" s="57" t="inlineStr">
        <is>
          <t>Seed increase</t>
        </is>
      </c>
      <c r="G156" s="57" t="n">
        <v>1</v>
      </c>
      <c r="H156" s="58" t="inlineStr">
        <is>
          <t>N/A</t>
        </is>
      </c>
    </row>
    <row r="157" ht="25" customHeight="1" s="55">
      <c r="A157" s="57" t="n">
        <v>156</v>
      </c>
      <c r="B157" s="57" t="n">
        <v>78</v>
      </c>
      <c r="C157" s="57" t="inlineStr">
        <is>
          <t>NC23926G</t>
        </is>
      </c>
      <c r="D157" s="57" t="inlineStr">
        <is>
          <t>Hybrid evaluation</t>
        </is>
      </c>
      <c r="E157" s="57" t="inlineStr">
        <is>
          <t>NC 23926G</t>
        </is>
      </c>
      <c r="F157" s="57" t="inlineStr">
        <is>
          <t>Hybrid evaluation</t>
        </is>
      </c>
      <c r="G157" s="57" t="n">
        <v>8</v>
      </c>
      <c r="H157" s="57" t="inlineStr">
        <is>
          <t>1, 2</t>
        </is>
      </c>
    </row>
    <row r="158" ht="25" customHeight="1" s="55">
      <c r="A158" s="57" t="n">
        <v>157</v>
      </c>
      <c r="B158" s="57" t="n">
        <v>79</v>
      </c>
      <c r="C158" s="57" t="inlineStr">
        <is>
          <t>BGV007894</t>
        </is>
      </c>
      <c r="D158" s="57" t="inlineStr">
        <is>
          <t>Varitome seed increase</t>
        </is>
      </c>
      <c r="E158" s="57" t="inlineStr">
        <is>
          <t>BGV007894</t>
        </is>
      </c>
      <c r="F158" s="57" t="inlineStr">
        <is>
          <t>Seed increase</t>
        </is>
      </c>
      <c r="G158" s="57" t="n">
        <v>1</v>
      </c>
      <c r="H158" s="58" t="inlineStr">
        <is>
          <t>N/A</t>
        </is>
      </c>
    </row>
    <row r="159" ht="25" customHeight="1" s="55">
      <c r="A159" s="57" t="n">
        <v>158</v>
      </c>
      <c r="B159" s="57" t="n">
        <v>79</v>
      </c>
      <c r="C159" s="57" t="inlineStr">
        <is>
          <t>NC261G</t>
        </is>
      </c>
      <c r="D159" s="57" t="inlineStr">
        <is>
          <t>Hybrid evaluation</t>
        </is>
      </c>
      <c r="E159" s="57" t="inlineStr">
        <is>
          <t>NC 261G</t>
        </is>
      </c>
      <c r="F159" s="57" t="inlineStr">
        <is>
          <t>Hybrid evaluation</t>
        </is>
      </c>
      <c r="G159" s="57" t="n">
        <v>8</v>
      </c>
      <c r="H159" s="57" t="inlineStr">
        <is>
          <t>1, 2</t>
        </is>
      </c>
    </row>
    <row r="160" ht="25" customHeight="1" s="55">
      <c r="A160" s="57" t="n">
        <v>159</v>
      </c>
      <c r="B160" s="57" t="n">
        <v>80</v>
      </c>
      <c r="C160" s="57" t="inlineStr">
        <is>
          <t>BGV007895</t>
        </is>
      </c>
      <c r="D160" s="57" t="inlineStr">
        <is>
          <t>Varitome seed increase</t>
        </is>
      </c>
      <c r="E160" s="57" t="inlineStr">
        <is>
          <t>BGV007895</t>
        </is>
      </c>
      <c r="F160" s="57" t="inlineStr">
        <is>
          <t>Seed increase</t>
        </is>
      </c>
      <c r="G160" s="57" t="n">
        <v>1</v>
      </c>
      <c r="H160" s="58" t="inlineStr">
        <is>
          <t>N/A</t>
        </is>
      </c>
    </row>
    <row r="161" ht="25" customHeight="1" s="55">
      <c r="A161" s="57" t="n">
        <v>160</v>
      </c>
      <c r="B161" s="57" t="n">
        <v>80</v>
      </c>
      <c r="C161" s="57" t="inlineStr">
        <is>
          <t>NC262G</t>
        </is>
      </c>
      <c r="D161" s="57" t="inlineStr">
        <is>
          <t>Hybrid evaluation</t>
        </is>
      </c>
      <c r="E161" s="57" t="inlineStr">
        <is>
          <t>NC 262G</t>
        </is>
      </c>
      <c r="F161" s="57" t="inlineStr">
        <is>
          <t>Hybrid evaluation</t>
        </is>
      </c>
      <c r="G161" s="57" t="n">
        <v>8</v>
      </c>
      <c r="H161" s="57" t="inlineStr">
        <is>
          <t>1, 2</t>
        </is>
      </c>
    </row>
    <row r="162" ht="25" customHeight="1" s="55">
      <c r="A162" s="57" t="n">
        <v>161</v>
      </c>
      <c r="B162" s="57" t="n">
        <v>81</v>
      </c>
      <c r="C162" s="57" t="inlineStr">
        <is>
          <t>BGV007899</t>
        </is>
      </c>
      <c r="D162" s="57" t="inlineStr">
        <is>
          <t>Varitome seed increase</t>
        </is>
      </c>
      <c r="E162" s="57" t="inlineStr">
        <is>
          <t>BGV007899</t>
        </is>
      </c>
      <c r="F162" s="57" t="inlineStr">
        <is>
          <t>Seed increase</t>
        </is>
      </c>
      <c r="G162" s="57" t="n">
        <v>1</v>
      </c>
      <c r="H162" s="58" t="inlineStr">
        <is>
          <t>N/A</t>
        </is>
      </c>
    </row>
    <row r="163" ht="25" customHeight="1" s="55">
      <c r="A163" s="57" t="n">
        <v>162</v>
      </c>
      <c r="B163" s="57" t="n">
        <v>81</v>
      </c>
      <c r="C163" s="57" t="inlineStr">
        <is>
          <t>NC263G</t>
        </is>
      </c>
      <c r="D163" s="57" t="inlineStr">
        <is>
          <t>Hybrid evaluation</t>
        </is>
      </c>
      <c r="E163" s="57" t="inlineStr">
        <is>
          <t>NC 263G</t>
        </is>
      </c>
      <c r="F163" s="57" t="inlineStr">
        <is>
          <t>Hybrid evaluation</t>
        </is>
      </c>
      <c r="G163" s="57" t="n">
        <v>8</v>
      </c>
      <c r="H163" s="57" t="inlineStr">
        <is>
          <t>1, 2</t>
        </is>
      </c>
    </row>
    <row r="164" ht="25" customHeight="1" s="55">
      <c r="A164" s="57" t="n">
        <v>163</v>
      </c>
      <c r="B164" s="57" t="n">
        <v>82</v>
      </c>
      <c r="C164" s="57" t="inlineStr">
        <is>
          <t>BGV007900</t>
        </is>
      </c>
      <c r="D164" s="57" t="inlineStr">
        <is>
          <t>Varitome seed increase</t>
        </is>
      </c>
      <c r="E164" s="57" t="inlineStr">
        <is>
          <t>BGV007900</t>
        </is>
      </c>
      <c r="F164" s="57" t="inlineStr">
        <is>
          <t>Seed increase</t>
        </is>
      </c>
      <c r="G164" s="57" t="n">
        <v>1</v>
      </c>
      <c r="H164" s="58" t="inlineStr">
        <is>
          <t>N/A</t>
        </is>
      </c>
    </row>
    <row r="165" ht="25" customHeight="1" s="55">
      <c r="A165" s="57" t="n">
        <v>164</v>
      </c>
      <c r="B165" s="57" t="n">
        <v>82</v>
      </c>
      <c r="C165" s="57" t="inlineStr">
        <is>
          <t>NC264G</t>
        </is>
      </c>
      <c r="D165" s="57" t="inlineStr">
        <is>
          <t>Hybrid evaluation</t>
        </is>
      </c>
      <c r="E165" s="57" t="inlineStr">
        <is>
          <t>NC 264G</t>
        </is>
      </c>
      <c r="F165" s="57" t="inlineStr">
        <is>
          <t>Hybrid evaluation</t>
        </is>
      </c>
      <c r="G165" s="57" t="n">
        <v>8</v>
      </c>
      <c r="H165" s="57" t="inlineStr">
        <is>
          <t>1, 2</t>
        </is>
      </c>
    </row>
    <row r="166" ht="25" customHeight="1" s="55">
      <c r="A166" s="57" t="n">
        <v>165</v>
      </c>
      <c r="B166" s="57" t="n">
        <v>83</v>
      </c>
      <c r="C166" s="57" t="inlineStr">
        <is>
          <t>BGV007901</t>
        </is>
      </c>
      <c r="D166" s="57" t="inlineStr">
        <is>
          <t>Varitome seed increase</t>
        </is>
      </c>
      <c r="E166" s="57" t="inlineStr">
        <is>
          <t>BGV007901</t>
        </is>
      </c>
      <c r="F166" s="57" t="inlineStr">
        <is>
          <t>Seed increase</t>
        </is>
      </c>
      <c r="G166" s="57" t="n">
        <v>1</v>
      </c>
      <c r="H166" s="58" t="inlineStr">
        <is>
          <t>N/A</t>
        </is>
      </c>
    </row>
    <row r="167" ht="25" customHeight="1" s="55">
      <c r="A167" s="57" t="n">
        <v>166</v>
      </c>
      <c r="B167" s="57" t="n">
        <v>83</v>
      </c>
      <c r="C167" s="57" t="inlineStr">
        <is>
          <t>NC25218G</t>
        </is>
      </c>
      <c r="D167" s="57" t="inlineStr">
        <is>
          <t>Hybrid evaluation</t>
        </is>
      </c>
      <c r="E167" s="57" t="inlineStr">
        <is>
          <t>NC 25218G</t>
        </is>
      </c>
      <c r="F167" s="57" t="inlineStr">
        <is>
          <t>Hybrid evaluation</t>
        </is>
      </c>
      <c r="G167" s="57" t="n">
        <v>8</v>
      </c>
      <c r="H167" s="57" t="inlineStr">
        <is>
          <t>1, 2</t>
        </is>
      </c>
    </row>
    <row r="168" ht="25" customHeight="1" s="55">
      <c r="A168" s="57" t="n">
        <v>167</v>
      </c>
      <c r="B168" s="57" t="n">
        <v>84</v>
      </c>
      <c r="C168" s="57" t="inlineStr">
        <is>
          <t>BGV007902</t>
        </is>
      </c>
      <c r="D168" s="57" t="inlineStr">
        <is>
          <t>Varitome seed increase</t>
        </is>
      </c>
      <c r="E168" s="57" t="inlineStr">
        <is>
          <t>BGV007902</t>
        </is>
      </c>
      <c r="F168" s="57" t="inlineStr">
        <is>
          <t>Seed increase</t>
        </is>
      </c>
      <c r="G168" s="57" t="n">
        <v>1</v>
      </c>
      <c r="H168" s="58" t="inlineStr">
        <is>
          <t>N/A</t>
        </is>
      </c>
    </row>
    <row r="169" ht="25" customHeight="1" s="55">
      <c r="A169" s="57" t="n">
        <v>168</v>
      </c>
      <c r="B169" s="57" t="n">
        <v>84</v>
      </c>
      <c r="C169" s="57" t="inlineStr">
        <is>
          <t>NC25304G</t>
        </is>
      </c>
      <c r="D169" s="57" t="inlineStr">
        <is>
          <t>Hybrid evaluation</t>
        </is>
      </c>
      <c r="E169" s="57" t="inlineStr">
        <is>
          <t>NC 25304G</t>
        </is>
      </c>
      <c r="F169" s="57" t="inlineStr">
        <is>
          <t>Hybrid evaluation</t>
        </is>
      </c>
      <c r="G169" s="57" t="n">
        <v>8</v>
      </c>
      <c r="H169" s="57" t="inlineStr">
        <is>
          <t>1, 2</t>
        </is>
      </c>
    </row>
    <row r="170" ht="25" customHeight="1" s="55">
      <c r="A170" s="57" t="n">
        <v>169</v>
      </c>
      <c r="B170" s="57" t="n">
        <v>85</v>
      </c>
      <c r="C170" s="57" t="inlineStr">
        <is>
          <t>BGV007908</t>
        </is>
      </c>
      <c r="D170" s="57" t="inlineStr">
        <is>
          <t>Varitome seed increase</t>
        </is>
      </c>
      <c r="E170" s="57" t="inlineStr">
        <is>
          <t>BGV007908</t>
        </is>
      </c>
      <c r="F170" s="57" t="inlineStr">
        <is>
          <t>Seed increase</t>
        </is>
      </c>
      <c r="G170" s="57" t="n">
        <v>1</v>
      </c>
      <c r="H170" s="58" t="inlineStr">
        <is>
          <t>N/A</t>
        </is>
      </c>
    </row>
    <row r="171" ht="25" customHeight="1" s="55">
      <c r="A171" s="57" t="n">
        <v>170</v>
      </c>
      <c r="B171" s="57" t="n">
        <v>85</v>
      </c>
      <c r="C171" s="57" t="inlineStr">
        <is>
          <t>NC25306G</t>
        </is>
      </c>
      <c r="D171" s="57" t="inlineStr">
        <is>
          <t>Hybrid evaluation</t>
        </is>
      </c>
      <c r="E171" s="57" t="inlineStr">
        <is>
          <t>NC 25306G</t>
        </is>
      </c>
      <c r="F171" s="57" t="inlineStr">
        <is>
          <t>Hybrid evaluation</t>
        </is>
      </c>
      <c r="G171" s="57" t="n">
        <v>8</v>
      </c>
      <c r="H171" s="57" t="inlineStr">
        <is>
          <t>1, 2</t>
        </is>
      </c>
    </row>
    <row r="172" ht="25" customHeight="1" s="55">
      <c r="A172" s="57" t="n">
        <v>171</v>
      </c>
      <c r="B172" s="57" t="n">
        <v>86</v>
      </c>
      <c r="C172" s="57" t="inlineStr">
        <is>
          <t>BGV007909</t>
        </is>
      </c>
      <c r="D172" s="57" t="inlineStr">
        <is>
          <t>Varitome seed increase</t>
        </is>
      </c>
      <c r="E172" s="57" t="inlineStr">
        <is>
          <t>BGV007909</t>
        </is>
      </c>
      <c r="F172" s="57" t="inlineStr">
        <is>
          <t>Seed increase</t>
        </is>
      </c>
      <c r="G172" s="57" t="n">
        <v>1</v>
      </c>
      <c r="H172" s="58" t="inlineStr">
        <is>
          <t>N/A</t>
        </is>
      </c>
    </row>
    <row r="173" ht="25" customHeight="1" s="55">
      <c r="A173" s="57" t="n">
        <v>172</v>
      </c>
      <c r="B173" s="57" t="n">
        <v>86</v>
      </c>
      <c r="C173" s="57" t="inlineStr">
        <is>
          <t>NC25311G</t>
        </is>
      </c>
      <c r="D173" s="57" t="inlineStr">
        <is>
          <t>Hybrid evaluation</t>
        </is>
      </c>
      <c r="E173" s="57" t="inlineStr">
        <is>
          <t>NC 25311G</t>
        </is>
      </c>
      <c r="F173" s="57" t="inlineStr">
        <is>
          <t>Hybrid evaluation</t>
        </is>
      </c>
      <c r="G173" s="57" t="n">
        <v>8</v>
      </c>
      <c r="H173" s="57" t="inlineStr">
        <is>
          <t>1, 2</t>
        </is>
      </c>
    </row>
    <row r="174" ht="25" customHeight="1" s="55">
      <c r="A174" s="57" t="n">
        <v>173</v>
      </c>
      <c r="B174" s="57" t="n">
        <v>87</v>
      </c>
      <c r="C174" s="57" t="inlineStr">
        <is>
          <t>BGV007910</t>
        </is>
      </c>
      <c r="D174" s="57" t="inlineStr">
        <is>
          <t>Varitome seed increase</t>
        </is>
      </c>
      <c r="E174" s="57" t="inlineStr">
        <is>
          <t>BGV007910</t>
        </is>
      </c>
      <c r="F174" s="57" t="inlineStr">
        <is>
          <t>Seed increase</t>
        </is>
      </c>
      <c r="G174" s="57" t="n">
        <v>1</v>
      </c>
      <c r="H174" s="58" t="inlineStr">
        <is>
          <t>N/A</t>
        </is>
      </c>
    </row>
    <row r="175" ht="25" customHeight="1" s="55">
      <c r="A175" s="57" t="n">
        <v>174</v>
      </c>
      <c r="B175" s="57" t="n">
        <v>87</v>
      </c>
      <c r="C175" s="57" t="inlineStr">
        <is>
          <t>NC25313G</t>
        </is>
      </c>
      <c r="D175" s="57" t="inlineStr">
        <is>
          <t>Hybrid evaluation</t>
        </is>
      </c>
      <c r="E175" s="57" t="inlineStr">
        <is>
          <t>NC 25313G</t>
        </is>
      </c>
      <c r="F175" s="57" t="inlineStr">
        <is>
          <t>Hybrid evaluation</t>
        </is>
      </c>
      <c r="G175" s="57" t="n">
        <v>8</v>
      </c>
      <c r="H175" s="57" t="inlineStr">
        <is>
          <t>1, 2</t>
        </is>
      </c>
    </row>
    <row r="176" ht="25" customHeight="1" s="55">
      <c r="A176" s="57" t="n">
        <v>175</v>
      </c>
      <c r="B176" s="57" t="n">
        <v>88</v>
      </c>
      <c r="C176" s="57" t="inlineStr">
        <is>
          <t>BGV007911</t>
        </is>
      </c>
      <c r="D176" s="57" t="inlineStr">
        <is>
          <t>Varitome seed increase</t>
        </is>
      </c>
      <c r="E176" s="57" t="inlineStr">
        <is>
          <t>BGV007911</t>
        </is>
      </c>
      <c r="F176" s="57" t="inlineStr">
        <is>
          <t>Seed increase</t>
        </is>
      </c>
      <c r="G176" s="57" t="n">
        <v>1</v>
      </c>
      <c r="H176" s="58" t="inlineStr">
        <is>
          <t>N/A</t>
        </is>
      </c>
    </row>
    <row r="177" ht="25" customHeight="1" s="55">
      <c r="A177" s="57" t="n">
        <v>176</v>
      </c>
      <c r="B177" s="57" t="n">
        <v>88</v>
      </c>
      <c r="C177" s="57" t="inlineStr">
        <is>
          <t>NC25315G</t>
        </is>
      </c>
      <c r="D177" s="57" t="inlineStr">
        <is>
          <t>Hybrid evaluation</t>
        </is>
      </c>
      <c r="E177" s="57" t="inlineStr">
        <is>
          <t>NC 25315G</t>
        </is>
      </c>
      <c r="F177" s="57" t="inlineStr">
        <is>
          <t>Hybrid evaluation</t>
        </is>
      </c>
      <c r="G177" s="57" t="n">
        <v>8</v>
      </c>
      <c r="H177" s="57" t="inlineStr">
        <is>
          <t>1, 2</t>
        </is>
      </c>
    </row>
    <row r="178" ht="25" customHeight="1" s="55">
      <c r="A178" s="57" t="n">
        <v>177</v>
      </c>
      <c r="B178" s="57" t="n">
        <v>89</v>
      </c>
      <c r="C178" s="57" t="inlineStr">
        <is>
          <t>BGV007918</t>
        </is>
      </c>
      <c r="D178" s="57" t="inlineStr">
        <is>
          <t>Varitome seed increase</t>
        </is>
      </c>
      <c r="E178" s="57" t="inlineStr">
        <is>
          <t>BGV007918</t>
        </is>
      </c>
      <c r="F178" s="57" t="inlineStr">
        <is>
          <t>Seed increase</t>
        </is>
      </c>
      <c r="G178" s="57" t="n">
        <v>1</v>
      </c>
      <c r="H178" s="58" t="inlineStr">
        <is>
          <t>N/A</t>
        </is>
      </c>
    </row>
    <row r="179" ht="25" customHeight="1" s="55">
      <c r="A179" s="57" t="n">
        <v>178</v>
      </c>
      <c r="B179" s="57" t="n">
        <v>89</v>
      </c>
      <c r="C179" s="57" t="inlineStr">
        <is>
          <t>NC25317G</t>
        </is>
      </c>
      <c r="D179" s="57" t="inlineStr">
        <is>
          <t>Hybrid evaluation</t>
        </is>
      </c>
      <c r="E179" s="57" t="inlineStr">
        <is>
          <t>NC 25317G</t>
        </is>
      </c>
      <c r="F179" s="57" t="inlineStr">
        <is>
          <t>Hybrid evaluation</t>
        </is>
      </c>
      <c r="G179" s="57" t="n">
        <v>8</v>
      </c>
      <c r="H179" s="57" t="inlineStr">
        <is>
          <t>1, 2</t>
        </is>
      </c>
    </row>
    <row r="180" ht="25" customHeight="1" s="55">
      <c r="A180" s="57" t="n">
        <v>179</v>
      </c>
      <c r="B180" s="57" t="n">
        <v>90</v>
      </c>
      <c r="C180" s="57" t="inlineStr">
        <is>
          <t>BGV007920</t>
        </is>
      </c>
      <c r="D180" s="57" t="inlineStr">
        <is>
          <t>Varitome seed increase</t>
        </is>
      </c>
      <c r="E180" s="57" t="inlineStr">
        <is>
          <t>BGV007920</t>
        </is>
      </c>
      <c r="F180" s="57" t="inlineStr">
        <is>
          <t>Seed increase</t>
        </is>
      </c>
      <c r="G180" s="57" t="n">
        <v>1</v>
      </c>
      <c r="H180" s="58" t="inlineStr">
        <is>
          <t>N/A</t>
        </is>
      </c>
    </row>
    <row r="181" ht="25" customHeight="1" s="55">
      <c r="A181" s="57" t="n">
        <v>180</v>
      </c>
      <c r="B181" s="57" t="n">
        <v>90</v>
      </c>
      <c r="C181" s="57" t="inlineStr">
        <is>
          <t>Mt. Magic</t>
        </is>
      </c>
      <c r="D181" s="57" t="inlineStr">
        <is>
          <t>Hybrid evaluation</t>
        </is>
      </c>
      <c r="E181" s="57" t="inlineStr">
        <is>
          <t>Mountain Magic</t>
        </is>
      </c>
      <c r="F181" s="57" t="inlineStr">
        <is>
          <t>Hybrid evaluation</t>
        </is>
      </c>
      <c r="G181" s="57" t="n">
        <v>8</v>
      </c>
      <c r="H181" s="57" t="inlineStr">
        <is>
          <t>1, 2</t>
        </is>
      </c>
    </row>
    <row r="182" ht="25" customHeight="1" s="55">
      <c r="A182" s="57" t="n">
        <v>181</v>
      </c>
      <c r="B182" s="57" t="n">
        <v>91</v>
      </c>
      <c r="C182" s="57" t="inlineStr">
        <is>
          <t>BGV007921</t>
        </is>
      </c>
      <c r="D182" s="57" t="inlineStr">
        <is>
          <t>Varitome seed increase</t>
        </is>
      </c>
      <c r="E182" s="57" t="inlineStr">
        <is>
          <t>BGV007921</t>
        </is>
      </c>
      <c r="F182" s="57" t="inlineStr">
        <is>
          <t>Seed increase</t>
        </is>
      </c>
      <c r="G182" s="57" t="n">
        <v>1</v>
      </c>
      <c r="H182" s="58" t="inlineStr">
        <is>
          <t>N/A</t>
        </is>
      </c>
    </row>
    <row r="183" ht="25" customHeight="1" s="55">
      <c r="A183" s="57" t="n">
        <v>182</v>
      </c>
      <c r="B183" s="57" t="n">
        <v>91</v>
      </c>
      <c r="C183" s="57" t="inlineStr">
        <is>
          <t>Mt. Girl</t>
        </is>
      </c>
      <c r="D183" s="57" t="inlineStr">
        <is>
          <t>Hybrid evaluation</t>
        </is>
      </c>
      <c r="E183" s="57" t="inlineStr">
        <is>
          <t>Mountain Girl</t>
        </is>
      </c>
      <c r="F183" s="57" t="inlineStr">
        <is>
          <t>Hybrid evaluation</t>
        </is>
      </c>
      <c r="G183" s="57" t="n">
        <v>8</v>
      </c>
      <c r="H183" s="57" t="inlineStr">
        <is>
          <t>1, 2</t>
        </is>
      </c>
    </row>
    <row r="184" ht="25" customHeight="1" s="55">
      <c r="A184" s="57" t="n">
        <v>183</v>
      </c>
      <c r="B184" s="57" t="n">
        <v>92</v>
      </c>
      <c r="C184" s="57" t="inlineStr">
        <is>
          <t>BGV007927</t>
        </is>
      </c>
      <c r="D184" s="57" t="inlineStr">
        <is>
          <t>Varitome seed increase</t>
        </is>
      </c>
      <c r="E184" s="57" t="inlineStr">
        <is>
          <t>BGV007927</t>
        </is>
      </c>
      <c r="F184" s="57" t="inlineStr">
        <is>
          <t>Seed increase</t>
        </is>
      </c>
      <c r="G184" s="57" t="n">
        <v>1</v>
      </c>
      <c r="H184" s="58" t="inlineStr">
        <is>
          <t>N/A</t>
        </is>
      </c>
    </row>
    <row r="185" ht="25" customHeight="1" s="55">
      <c r="A185" s="57" t="n">
        <v>184</v>
      </c>
      <c r="B185" s="57" t="n">
        <v>92</v>
      </c>
      <c r="C185" s="57" t="inlineStr">
        <is>
          <t>Mt. Heritage</t>
        </is>
      </c>
      <c r="D185" s="57" t="inlineStr">
        <is>
          <t>Hybrid evaluation</t>
        </is>
      </c>
      <c r="E185" s="57" t="inlineStr">
        <is>
          <t>Mountain Heritage</t>
        </is>
      </c>
      <c r="F185" s="57" t="inlineStr">
        <is>
          <t>Hybrid evaluation</t>
        </is>
      </c>
      <c r="G185" s="57" t="n">
        <v>8</v>
      </c>
      <c r="H185" s="57" t="inlineStr">
        <is>
          <t>1, 2</t>
        </is>
      </c>
    </row>
    <row r="186" ht="25" customHeight="1" s="55">
      <c r="A186" s="57" t="n">
        <v>185</v>
      </c>
      <c r="B186" s="57" t="n">
        <v>93</v>
      </c>
      <c r="C186" s="57" t="inlineStr">
        <is>
          <t>BGV007931</t>
        </is>
      </c>
      <c r="D186" s="57" t="inlineStr">
        <is>
          <t>Varitome seed increase</t>
        </is>
      </c>
      <c r="E186" s="57" t="inlineStr">
        <is>
          <t>BGV007931</t>
        </is>
      </c>
      <c r="F186" s="57" t="inlineStr">
        <is>
          <t>Seed increase</t>
        </is>
      </c>
      <c r="G186" s="57" t="n">
        <v>1</v>
      </c>
      <c r="H186" s="58" t="inlineStr">
        <is>
          <t>N/A</t>
        </is>
      </c>
    </row>
    <row r="187" ht="25" customHeight="1" s="55">
      <c r="A187" s="57" t="n">
        <v>186</v>
      </c>
      <c r="B187" s="57" t="n">
        <v>93</v>
      </c>
      <c r="C187" s="57" t="inlineStr">
        <is>
          <t>Mt. Gem</t>
        </is>
      </c>
      <c r="D187" s="57" t="inlineStr">
        <is>
          <t>Hybrid evaluation</t>
        </is>
      </c>
      <c r="E187" s="57" t="inlineStr">
        <is>
          <t>Mountain Gem</t>
        </is>
      </c>
      <c r="F187" s="57" t="inlineStr">
        <is>
          <t>Hybrid evaluation</t>
        </is>
      </c>
      <c r="G187" s="57" t="n">
        <v>8</v>
      </c>
      <c r="H187" s="57" t="inlineStr">
        <is>
          <t>1, 2</t>
        </is>
      </c>
    </row>
    <row r="188" ht="25" customHeight="1" s="55">
      <c r="A188" s="57" t="n">
        <v>187</v>
      </c>
      <c r="B188" s="57" t="n">
        <v>94</v>
      </c>
      <c r="C188" s="57" t="inlineStr">
        <is>
          <t>BGV007933</t>
        </is>
      </c>
      <c r="D188" s="57" t="inlineStr">
        <is>
          <t>Varitome seed increase</t>
        </is>
      </c>
      <c r="E188" s="57" t="inlineStr">
        <is>
          <t>BGV007933</t>
        </is>
      </c>
      <c r="F188" s="57" t="inlineStr">
        <is>
          <t>Seed increase</t>
        </is>
      </c>
      <c r="G188" s="57" t="n">
        <v>1</v>
      </c>
      <c r="H188" s="58" t="inlineStr">
        <is>
          <t>N/A</t>
        </is>
      </c>
    </row>
    <row r="189" ht="25" customHeight="1" s="55">
      <c r="A189" s="57" t="n">
        <v>188</v>
      </c>
      <c r="B189" s="57" t="n">
        <v>95</v>
      </c>
      <c r="C189" s="57" t="inlineStr">
        <is>
          <t>BGV007934</t>
        </is>
      </c>
      <c r="D189" s="57" t="inlineStr">
        <is>
          <t>Varitome seed increase</t>
        </is>
      </c>
      <c r="E189" s="57" t="inlineStr">
        <is>
          <t>BGV007934</t>
        </is>
      </c>
      <c r="F189" s="57" t="inlineStr">
        <is>
          <t>Seed increase</t>
        </is>
      </c>
      <c r="G189" s="57" t="n">
        <v>1</v>
      </c>
      <c r="H189" s="58" t="inlineStr">
        <is>
          <t>N/A</t>
        </is>
      </c>
    </row>
    <row r="190" ht="25" customHeight="1" s="55">
      <c r="A190" s="57" t="n">
        <v>189</v>
      </c>
      <c r="B190" s="57" t="n">
        <v>96</v>
      </c>
      <c r="C190" s="57" t="inlineStr">
        <is>
          <t>BGV007935</t>
        </is>
      </c>
      <c r="D190" s="57" t="inlineStr">
        <is>
          <t>Varitome seed increase</t>
        </is>
      </c>
      <c r="E190" s="57" t="inlineStr">
        <is>
          <t>BGV007935</t>
        </is>
      </c>
      <c r="F190" s="57" t="inlineStr">
        <is>
          <t>Seed increase</t>
        </is>
      </c>
      <c r="G190" s="57" t="n">
        <v>1</v>
      </c>
      <c r="H190" s="58" t="inlineStr">
        <is>
          <t>N/A</t>
        </is>
      </c>
    </row>
    <row r="191" ht="25" customHeight="1" s="55">
      <c r="A191" s="57" t="n">
        <v>190</v>
      </c>
      <c r="B191" s="57" t="n">
        <v>97</v>
      </c>
      <c r="C191" s="57" t="inlineStr">
        <is>
          <t>BGV007936</t>
        </is>
      </c>
      <c r="D191" s="57" t="inlineStr">
        <is>
          <t>Varitome seed increase</t>
        </is>
      </c>
      <c r="E191" s="57" t="inlineStr">
        <is>
          <t>BGV007936</t>
        </is>
      </c>
      <c r="F191" s="57" t="inlineStr">
        <is>
          <t>Seed increase</t>
        </is>
      </c>
      <c r="G191" s="57" t="n">
        <v>1</v>
      </c>
      <c r="H191" s="58" t="inlineStr">
        <is>
          <t>N/A</t>
        </is>
      </c>
    </row>
    <row r="192" ht="25" customHeight="1" s="55">
      <c r="A192" s="57" t="n">
        <v>191</v>
      </c>
      <c r="B192" s="57" t="n">
        <v>98</v>
      </c>
      <c r="C192" s="57" t="inlineStr">
        <is>
          <t>BGV007981</t>
        </is>
      </c>
      <c r="D192" s="57" t="inlineStr">
        <is>
          <t>Varitome seed increase</t>
        </is>
      </c>
      <c r="E192" s="57" t="inlineStr">
        <is>
          <t>BGV007981</t>
        </is>
      </c>
      <c r="F192" s="57" t="inlineStr">
        <is>
          <t>Seed increase</t>
        </is>
      </c>
      <c r="G192" s="57" t="n">
        <v>1</v>
      </c>
      <c r="H192" s="58" t="inlineStr">
        <is>
          <t>N/A</t>
        </is>
      </c>
    </row>
    <row r="193" ht="25" customHeight="1" s="55">
      <c r="A193" s="57" t="n">
        <v>192</v>
      </c>
      <c r="B193" s="57" t="n">
        <v>99</v>
      </c>
      <c r="C193" s="57" t="inlineStr">
        <is>
          <t>BGV007989</t>
        </is>
      </c>
      <c r="D193" s="57" t="inlineStr">
        <is>
          <t>Varitome seed increase</t>
        </is>
      </c>
      <c r="E193" s="57" t="inlineStr">
        <is>
          <t>BGV007989</t>
        </is>
      </c>
      <c r="F193" s="57" t="inlineStr">
        <is>
          <t>Seed increase</t>
        </is>
      </c>
      <c r="G193" s="57" t="n">
        <v>1</v>
      </c>
      <c r="H193" s="58" t="inlineStr">
        <is>
          <t>N/A</t>
        </is>
      </c>
    </row>
    <row r="194" ht="25" customHeight="1" s="55">
      <c r="A194" s="57" t="n">
        <v>193</v>
      </c>
      <c r="B194" s="57" t="n">
        <v>100</v>
      </c>
      <c r="C194" s="57" t="inlineStr">
        <is>
          <t>BGV007990</t>
        </is>
      </c>
      <c r="D194" s="57" t="inlineStr">
        <is>
          <t>Varitome seed increase</t>
        </is>
      </c>
      <c r="E194" s="57" t="inlineStr">
        <is>
          <t>BGV007990</t>
        </is>
      </c>
      <c r="F194" s="57" t="inlineStr">
        <is>
          <t>Seed increase</t>
        </is>
      </c>
      <c r="G194" s="57" t="n">
        <v>1</v>
      </c>
      <c r="H194" s="58" t="inlineStr">
        <is>
          <t>N/A</t>
        </is>
      </c>
    </row>
    <row r="195" ht="25" customHeight="1" s="55">
      <c r="A195" s="57" t="n">
        <v>194</v>
      </c>
      <c r="B195" s="57" t="n">
        <v>101</v>
      </c>
      <c r="C195" s="57" t="inlineStr">
        <is>
          <t>BGV007992</t>
        </is>
      </c>
      <c r="D195" s="57" t="inlineStr">
        <is>
          <t>Varitome seed increase</t>
        </is>
      </c>
      <c r="E195" s="57" t="inlineStr">
        <is>
          <t>BGV007992</t>
        </is>
      </c>
      <c r="F195" s="57" t="inlineStr">
        <is>
          <t>Seed increase</t>
        </is>
      </c>
      <c r="G195" s="57" t="n">
        <v>1</v>
      </c>
      <c r="H195" s="58" t="inlineStr">
        <is>
          <t>N/A</t>
        </is>
      </c>
    </row>
    <row r="196" ht="25" customHeight="1" s="55">
      <c r="A196" s="57" t="n">
        <v>195</v>
      </c>
      <c r="B196" s="57" t="n">
        <v>102</v>
      </c>
      <c r="C196" s="57" t="inlineStr">
        <is>
          <t>BGV008036</t>
        </is>
      </c>
      <c r="D196" s="57" t="inlineStr">
        <is>
          <t>Varitome seed increase</t>
        </is>
      </c>
      <c r="E196" s="57" t="inlineStr">
        <is>
          <t>BGV008036</t>
        </is>
      </c>
      <c r="F196" s="57" t="inlineStr">
        <is>
          <t>Seed increase</t>
        </is>
      </c>
      <c r="G196" s="57" t="n">
        <v>1</v>
      </c>
      <c r="H196" s="58" t="inlineStr">
        <is>
          <t>N/A</t>
        </is>
      </c>
    </row>
    <row r="197" ht="25" customHeight="1" s="55">
      <c r="A197" s="57" t="n">
        <v>196</v>
      </c>
      <c r="B197" s="57" t="n">
        <v>103</v>
      </c>
      <c r="C197" s="57" t="inlineStr">
        <is>
          <t>BGV008037</t>
        </is>
      </c>
      <c r="D197" s="57" t="inlineStr">
        <is>
          <t>Varitome seed increase</t>
        </is>
      </c>
      <c r="E197" s="57" t="inlineStr">
        <is>
          <t>BGV008037</t>
        </is>
      </c>
      <c r="F197" s="57" t="inlineStr">
        <is>
          <t>Seed increase</t>
        </is>
      </c>
      <c r="G197" s="57" t="n">
        <v>1</v>
      </c>
      <c r="H197" s="58" t="inlineStr">
        <is>
          <t>N/A</t>
        </is>
      </c>
    </row>
    <row r="198" ht="25" customHeight="1" s="55">
      <c r="A198" s="57" t="n">
        <v>197</v>
      </c>
      <c r="B198" s="57" t="n">
        <v>104</v>
      </c>
      <c r="C198" s="57" t="inlineStr">
        <is>
          <t>BGV008041</t>
        </is>
      </c>
      <c r="D198" s="57" t="inlineStr">
        <is>
          <t>Varitome seed increase</t>
        </is>
      </c>
      <c r="E198" s="57" t="inlineStr">
        <is>
          <t>BGV008041</t>
        </is>
      </c>
      <c r="F198" s="57" t="inlineStr">
        <is>
          <t>Seed increase</t>
        </is>
      </c>
      <c r="G198" s="57" t="n">
        <v>1</v>
      </c>
      <c r="H198" s="58" t="inlineStr">
        <is>
          <t>N/A</t>
        </is>
      </c>
    </row>
    <row r="199" ht="25" customHeight="1" s="55">
      <c r="A199" s="57" t="n">
        <v>198</v>
      </c>
      <c r="B199" s="57" t="n">
        <v>105</v>
      </c>
      <c r="C199" s="57" t="inlineStr">
        <is>
          <t>BGV008042</t>
        </is>
      </c>
      <c r="D199" s="57" t="inlineStr">
        <is>
          <t>Varitome seed increase</t>
        </is>
      </c>
      <c r="E199" s="57" t="inlineStr">
        <is>
          <t>BGV008042</t>
        </is>
      </c>
      <c r="F199" s="57" t="inlineStr">
        <is>
          <t>Seed increase</t>
        </is>
      </c>
      <c r="G199" s="57" t="n">
        <v>1</v>
      </c>
      <c r="H199" s="58" t="inlineStr">
        <is>
          <t>N/A</t>
        </is>
      </c>
    </row>
    <row r="200" ht="25" customHeight="1" s="55">
      <c r="A200" s="57" t="n">
        <v>199</v>
      </c>
      <c r="B200" s="57" t="n">
        <v>106</v>
      </c>
      <c r="C200" s="57" t="inlineStr">
        <is>
          <t>BGV008051</t>
        </is>
      </c>
      <c r="D200" s="57" t="inlineStr">
        <is>
          <t>Varitome seed increase</t>
        </is>
      </c>
      <c r="E200" s="57" t="inlineStr">
        <is>
          <t>BGV008051</t>
        </is>
      </c>
      <c r="F200" s="57" t="inlineStr">
        <is>
          <t>Seed increase</t>
        </is>
      </c>
      <c r="G200" s="57" t="n">
        <v>1</v>
      </c>
      <c r="H200" s="58" t="inlineStr">
        <is>
          <t>N/A</t>
        </is>
      </c>
    </row>
    <row r="201" ht="25" customHeight="1" s="55">
      <c r="A201" s="57" t="n">
        <v>200</v>
      </c>
      <c r="B201" s="57" t="n">
        <v>107</v>
      </c>
      <c r="C201" s="57" t="inlineStr">
        <is>
          <t>BGV008058</t>
        </is>
      </c>
      <c r="D201" s="57" t="inlineStr">
        <is>
          <t>Varitome seed increase</t>
        </is>
      </c>
      <c r="E201" s="57" t="inlineStr">
        <is>
          <t>BGV008058</t>
        </is>
      </c>
      <c r="F201" s="57" t="inlineStr">
        <is>
          <t>Seed increase</t>
        </is>
      </c>
      <c r="G201" s="57" t="n">
        <v>1</v>
      </c>
      <c r="H201" s="58" t="inlineStr">
        <is>
          <t>N/A</t>
        </is>
      </c>
    </row>
    <row r="202" ht="25" customHeight="1" s="55">
      <c r="A202" s="57" t="n">
        <v>201</v>
      </c>
      <c r="B202" s="57" t="n">
        <v>108</v>
      </c>
      <c r="C202" s="57" t="inlineStr">
        <is>
          <t>BGV008061</t>
        </is>
      </c>
      <c r="D202" s="57" t="inlineStr">
        <is>
          <t>Varitome seed increase</t>
        </is>
      </c>
      <c r="E202" s="57" t="inlineStr">
        <is>
          <t>BGV008061</t>
        </is>
      </c>
      <c r="F202" s="57" t="inlineStr">
        <is>
          <t>Seed increase</t>
        </is>
      </c>
      <c r="G202" s="57" t="n">
        <v>1</v>
      </c>
      <c r="H202" s="58" t="inlineStr">
        <is>
          <t>N/A</t>
        </is>
      </c>
    </row>
    <row r="203" ht="25" customHeight="1" s="55">
      <c r="A203" s="57" t="n">
        <v>202</v>
      </c>
      <c r="B203" s="57" t="n">
        <v>109</v>
      </c>
      <c r="C203" s="57" t="inlineStr">
        <is>
          <t>BGV008065</t>
        </is>
      </c>
      <c r="D203" s="57" t="inlineStr">
        <is>
          <t>Varitome seed increase</t>
        </is>
      </c>
      <c r="E203" s="57" t="inlineStr">
        <is>
          <t>BGV008065</t>
        </is>
      </c>
      <c r="F203" s="57" t="inlineStr">
        <is>
          <t>Seed increase</t>
        </is>
      </c>
      <c r="G203" s="57" t="n">
        <v>1</v>
      </c>
      <c r="H203" s="58" t="inlineStr">
        <is>
          <t>N/A</t>
        </is>
      </c>
    </row>
    <row r="204" ht="25" customHeight="1" s="55">
      <c r="A204" s="57" t="n">
        <v>203</v>
      </c>
      <c r="B204" s="57" t="n">
        <v>110</v>
      </c>
      <c r="C204" s="57" t="inlineStr">
        <is>
          <t>BGV008067</t>
        </is>
      </c>
      <c r="D204" s="57" t="inlineStr">
        <is>
          <t>Varitome seed increase</t>
        </is>
      </c>
      <c r="E204" s="57" t="inlineStr">
        <is>
          <t>BGV008067</t>
        </is>
      </c>
      <c r="F204" s="57" t="inlineStr">
        <is>
          <t>Seed increase</t>
        </is>
      </c>
      <c r="G204" s="57" t="n">
        <v>1</v>
      </c>
      <c r="H204" s="58" t="inlineStr">
        <is>
          <t>N/A</t>
        </is>
      </c>
    </row>
    <row r="205" ht="25" customHeight="1" s="55">
      <c r="A205" s="57" t="n">
        <v>204</v>
      </c>
      <c r="B205" s="57" t="n">
        <v>111</v>
      </c>
      <c r="C205" s="57" t="inlineStr">
        <is>
          <t>BGV008070</t>
        </is>
      </c>
      <c r="D205" s="57" t="inlineStr">
        <is>
          <t>Varitome seed increase</t>
        </is>
      </c>
      <c r="E205" s="57" t="inlineStr">
        <is>
          <t>BGV008070</t>
        </is>
      </c>
      <c r="F205" s="57" t="inlineStr">
        <is>
          <t>Seed increase</t>
        </is>
      </c>
      <c r="G205" s="57" t="n">
        <v>1</v>
      </c>
      <c r="H205" s="58" t="inlineStr">
        <is>
          <t>N/A</t>
        </is>
      </c>
    </row>
    <row r="206" ht="25" customHeight="1" s="55">
      <c r="A206" s="57" t="n">
        <v>205</v>
      </c>
      <c r="B206" s="57" t="n">
        <v>112</v>
      </c>
      <c r="C206" s="57" t="inlineStr">
        <is>
          <t>BGV008077</t>
        </is>
      </c>
      <c r="D206" s="57" t="inlineStr">
        <is>
          <t>Varitome seed increase</t>
        </is>
      </c>
      <c r="E206" s="57" t="inlineStr">
        <is>
          <t>BGV008077</t>
        </is>
      </c>
      <c r="F206" s="57" t="inlineStr">
        <is>
          <t>Seed increase</t>
        </is>
      </c>
      <c r="G206" s="57" t="n">
        <v>1</v>
      </c>
      <c r="H206" s="58" t="inlineStr">
        <is>
          <t>N/A</t>
        </is>
      </c>
    </row>
    <row r="207" ht="25" customHeight="1" s="55">
      <c r="A207" s="57" t="n">
        <v>206</v>
      </c>
      <c r="B207" s="57" t="n">
        <v>113</v>
      </c>
      <c r="C207" s="57" t="inlineStr">
        <is>
          <t>BGV008095</t>
        </is>
      </c>
      <c r="D207" s="57" t="inlineStr">
        <is>
          <t>Varitome seed increase</t>
        </is>
      </c>
      <c r="E207" s="57" t="inlineStr">
        <is>
          <t>BGV008095</t>
        </is>
      </c>
      <c r="F207" s="57" t="inlineStr">
        <is>
          <t>Seed increase</t>
        </is>
      </c>
      <c r="G207" s="57" t="n">
        <v>1</v>
      </c>
      <c r="H207" s="58" t="inlineStr">
        <is>
          <t>N/A</t>
        </is>
      </c>
    </row>
    <row r="208" ht="25" customHeight="1" s="55">
      <c r="A208" s="57" t="n">
        <v>207</v>
      </c>
      <c r="B208" s="57" t="n">
        <v>114</v>
      </c>
      <c r="C208" s="57" t="inlineStr">
        <is>
          <t>BGV008096</t>
        </is>
      </c>
      <c r="D208" s="57" t="inlineStr">
        <is>
          <t>Varitome seed increase</t>
        </is>
      </c>
      <c r="E208" s="57" t="inlineStr">
        <is>
          <t>BGV008096</t>
        </is>
      </c>
      <c r="F208" s="57" t="inlineStr">
        <is>
          <t>Seed increase</t>
        </is>
      </c>
      <c r="G208" s="57" t="n">
        <v>1</v>
      </c>
      <c r="H208" s="58" t="inlineStr">
        <is>
          <t>N/A</t>
        </is>
      </c>
    </row>
    <row r="209" ht="25" customHeight="1" s="55">
      <c r="A209" s="57" t="n">
        <v>208</v>
      </c>
      <c r="B209" s="57" t="n">
        <v>115</v>
      </c>
      <c r="C209" s="57" t="inlineStr">
        <is>
          <t>BGV008098</t>
        </is>
      </c>
      <c r="D209" s="57" t="inlineStr">
        <is>
          <t>Varitome seed increase</t>
        </is>
      </c>
      <c r="E209" s="57" t="inlineStr">
        <is>
          <t>BGV008098</t>
        </is>
      </c>
      <c r="F209" s="57" t="inlineStr">
        <is>
          <t>Seed increase</t>
        </is>
      </c>
      <c r="G209" s="57" t="n">
        <v>1</v>
      </c>
      <c r="H209" s="58" t="inlineStr">
        <is>
          <t>N/A</t>
        </is>
      </c>
    </row>
    <row r="210" ht="25" customHeight="1" s="55">
      <c r="A210" s="57" t="n">
        <v>209</v>
      </c>
      <c r="B210" s="57" t="n">
        <v>116</v>
      </c>
      <c r="C210" s="57" t="inlineStr">
        <is>
          <t>BGV008100</t>
        </is>
      </c>
      <c r="D210" s="57" t="inlineStr">
        <is>
          <t>Varitome seed increase</t>
        </is>
      </c>
      <c r="E210" s="57" t="inlineStr">
        <is>
          <t>BGV008100</t>
        </is>
      </c>
      <c r="F210" s="57" t="inlineStr">
        <is>
          <t>Seed increase</t>
        </is>
      </c>
      <c r="G210" s="57" t="n">
        <v>1</v>
      </c>
      <c r="H210" s="58" t="inlineStr">
        <is>
          <t>N/A</t>
        </is>
      </c>
    </row>
    <row r="211" ht="25" customHeight="1" s="55">
      <c r="A211" s="57" t="n">
        <v>210</v>
      </c>
      <c r="B211" s="57" t="n">
        <v>117</v>
      </c>
      <c r="C211" s="57" t="inlineStr">
        <is>
          <t>BGV008106</t>
        </is>
      </c>
      <c r="D211" s="57" t="inlineStr">
        <is>
          <t>Varitome seed increase</t>
        </is>
      </c>
      <c r="E211" s="57" t="inlineStr">
        <is>
          <t>BGV008106</t>
        </is>
      </c>
      <c r="F211" s="57" t="inlineStr">
        <is>
          <t>Seed increase</t>
        </is>
      </c>
      <c r="G211" s="57" t="n">
        <v>1</v>
      </c>
      <c r="H211" s="58" t="inlineStr">
        <is>
          <t>N/A</t>
        </is>
      </c>
    </row>
    <row r="212" ht="25" customHeight="1" s="55">
      <c r="A212" s="57" t="n">
        <v>211</v>
      </c>
      <c r="B212" s="57" t="n">
        <v>118</v>
      </c>
      <c r="C212" s="57" t="inlineStr">
        <is>
          <t>BGV008108</t>
        </is>
      </c>
      <c r="D212" s="57" t="inlineStr">
        <is>
          <t>Varitome seed increase</t>
        </is>
      </c>
      <c r="E212" s="57" t="inlineStr">
        <is>
          <t>BGV008108</t>
        </is>
      </c>
      <c r="F212" s="57" t="inlineStr">
        <is>
          <t>Seed increase</t>
        </is>
      </c>
      <c r="G212" s="57" t="n">
        <v>1</v>
      </c>
      <c r="H212" s="58" t="inlineStr">
        <is>
          <t>N/A</t>
        </is>
      </c>
    </row>
    <row r="213" ht="25" customHeight="1" s="55">
      <c r="A213" s="57" t="n">
        <v>212</v>
      </c>
      <c r="B213" s="57" t="n">
        <v>119</v>
      </c>
      <c r="C213" s="57" t="inlineStr">
        <is>
          <t>BGV008110</t>
        </is>
      </c>
      <c r="D213" s="57" t="inlineStr">
        <is>
          <t>Varitome seed increase</t>
        </is>
      </c>
      <c r="E213" s="57" t="inlineStr">
        <is>
          <t>LA2697</t>
        </is>
      </c>
      <c r="F213" s="57" t="inlineStr">
        <is>
          <t>Seed increase</t>
        </is>
      </c>
      <c r="G213" s="57" t="n">
        <v>1</v>
      </c>
      <c r="H213" s="58" t="inlineStr">
        <is>
          <t>N/A</t>
        </is>
      </c>
    </row>
    <row r="214" ht="25" customHeight="1" s="55">
      <c r="A214" s="57" t="n">
        <v>213</v>
      </c>
      <c r="B214" s="57" t="n">
        <v>120</v>
      </c>
      <c r="C214" s="57" t="inlineStr">
        <is>
          <t>BGV008189</t>
        </is>
      </c>
      <c r="D214" s="57" t="inlineStr">
        <is>
          <t>Varitome seed increase</t>
        </is>
      </c>
      <c r="E214" s="57" t="inlineStr">
        <is>
          <t>BGV008189</t>
        </is>
      </c>
      <c r="F214" s="57" t="inlineStr">
        <is>
          <t>Seed increase</t>
        </is>
      </c>
      <c r="G214" s="57" t="n">
        <v>1</v>
      </c>
      <c r="H214" s="58" t="inlineStr">
        <is>
          <t>N/A</t>
        </is>
      </c>
    </row>
    <row r="215" ht="25" customHeight="1" s="55">
      <c r="A215" s="57" t="n">
        <v>214</v>
      </c>
      <c r="B215" s="57" t="n">
        <v>121</v>
      </c>
      <c r="C215" s="57" t="inlineStr">
        <is>
          <t>BGV008218</t>
        </is>
      </c>
      <c r="D215" s="57" t="inlineStr">
        <is>
          <t>Varitome seed increase</t>
        </is>
      </c>
      <c r="E215" s="57" t="inlineStr">
        <is>
          <t>BGV008218</t>
        </is>
      </c>
      <c r="F215" s="57" t="inlineStr">
        <is>
          <t>Seed increase</t>
        </is>
      </c>
      <c r="G215" s="57" t="n">
        <v>1</v>
      </c>
      <c r="H215" s="58" t="inlineStr">
        <is>
          <t>N/A</t>
        </is>
      </c>
    </row>
    <row r="216" ht="25" customHeight="1" s="55">
      <c r="A216" s="57" t="n">
        <v>215</v>
      </c>
      <c r="B216" s="57" t="n">
        <v>122</v>
      </c>
      <c r="C216" s="57" t="inlineStr">
        <is>
          <t>BGV008219</t>
        </is>
      </c>
      <c r="D216" s="57" t="inlineStr">
        <is>
          <t>Varitome seed increase</t>
        </is>
      </c>
      <c r="E216" s="57" t="inlineStr">
        <is>
          <t>BGV008219</t>
        </is>
      </c>
      <c r="F216" s="57" t="inlineStr">
        <is>
          <t>Seed increase</t>
        </is>
      </c>
      <c r="G216" s="57" t="n">
        <v>1</v>
      </c>
      <c r="H216" s="58" t="inlineStr">
        <is>
          <t>N/A</t>
        </is>
      </c>
    </row>
    <row r="217" ht="25" customHeight="1" s="55">
      <c r="A217" s="57" t="n">
        <v>216</v>
      </c>
      <c r="B217" s="57" t="n">
        <v>123</v>
      </c>
      <c r="C217" s="57" t="inlineStr">
        <is>
          <t>BGV008221</t>
        </is>
      </c>
      <c r="D217" s="57" t="inlineStr">
        <is>
          <t>Varitome seed increase</t>
        </is>
      </c>
      <c r="E217" s="57" t="inlineStr">
        <is>
          <t>BGV008221</t>
        </is>
      </c>
      <c r="F217" s="57" t="inlineStr">
        <is>
          <t>Seed increase</t>
        </is>
      </c>
      <c r="G217" s="57" t="n">
        <v>1</v>
      </c>
      <c r="H217" s="58" t="inlineStr">
        <is>
          <t>N/A</t>
        </is>
      </c>
    </row>
    <row r="218" ht="25" customHeight="1" s="55">
      <c r="A218" s="57" t="n">
        <v>217</v>
      </c>
      <c r="B218" s="57" t="n">
        <v>124</v>
      </c>
      <c r="C218" s="57" t="inlineStr">
        <is>
          <t>BGV008223</t>
        </is>
      </c>
      <c r="D218" s="57" t="inlineStr">
        <is>
          <t>Varitome seed increase</t>
        </is>
      </c>
      <c r="E218" s="57" t="inlineStr">
        <is>
          <t>BGV008223</t>
        </is>
      </c>
      <c r="F218" s="57" t="inlineStr">
        <is>
          <t>Seed increase</t>
        </is>
      </c>
      <c r="G218" s="57" t="n">
        <v>1</v>
      </c>
      <c r="H218" s="58" t="inlineStr">
        <is>
          <t>N/A</t>
        </is>
      </c>
    </row>
    <row r="219" ht="25" customHeight="1" s="55">
      <c r="A219" s="57" t="n">
        <v>218</v>
      </c>
      <c r="B219" s="57" t="n">
        <v>125</v>
      </c>
      <c r="C219" s="57" t="inlineStr">
        <is>
          <t>BGV008224</t>
        </is>
      </c>
      <c r="D219" s="57" t="inlineStr">
        <is>
          <t>Varitome seed increase</t>
        </is>
      </c>
      <c r="E219" s="57" t="inlineStr">
        <is>
          <t>BGV008224</t>
        </is>
      </c>
      <c r="F219" s="57" t="inlineStr">
        <is>
          <t>Seed increase</t>
        </is>
      </c>
      <c r="G219" s="57" t="n">
        <v>1</v>
      </c>
      <c r="H219" s="58" t="inlineStr">
        <is>
          <t>N/A</t>
        </is>
      </c>
    </row>
    <row r="220" ht="25" customHeight="1" s="55">
      <c r="A220" s="57" t="n">
        <v>219</v>
      </c>
      <c r="B220" s="57" t="n">
        <v>126</v>
      </c>
      <c r="C220" s="57" t="inlineStr">
        <is>
          <t>BGV008225</t>
        </is>
      </c>
      <c r="D220" s="57" t="inlineStr">
        <is>
          <t>Varitome seed increase</t>
        </is>
      </c>
      <c r="E220" s="57" t="inlineStr">
        <is>
          <t>BGV008225</t>
        </is>
      </c>
      <c r="F220" s="57" t="inlineStr">
        <is>
          <t>Seed increase</t>
        </is>
      </c>
      <c r="G220" s="57" t="n">
        <v>1</v>
      </c>
      <c r="H220" s="58" t="inlineStr">
        <is>
          <t>N/A</t>
        </is>
      </c>
    </row>
    <row r="221" ht="25" customHeight="1" s="55">
      <c r="A221" s="57" t="n">
        <v>220</v>
      </c>
      <c r="B221" s="57" t="n">
        <v>127</v>
      </c>
      <c r="C221" s="57" t="inlineStr">
        <is>
          <t>BGV008345</t>
        </is>
      </c>
      <c r="D221" s="57" t="inlineStr">
        <is>
          <t>Varitome seed increase</t>
        </is>
      </c>
      <c r="E221" s="57" t="inlineStr">
        <is>
          <t>BGV008345</t>
        </is>
      </c>
      <c r="F221" s="57" t="inlineStr">
        <is>
          <t>Seed increase</t>
        </is>
      </c>
      <c r="G221" s="57" t="n">
        <v>1</v>
      </c>
      <c r="H221" s="58" t="inlineStr">
        <is>
          <t>N/A</t>
        </is>
      </c>
    </row>
    <row r="222" ht="25" customHeight="1" s="55">
      <c r="A222" s="57" t="n">
        <v>221</v>
      </c>
      <c r="B222" s="57" t="n">
        <v>128</v>
      </c>
      <c r="C222" s="57" t="inlineStr">
        <is>
          <t>BGV008347</t>
        </is>
      </c>
      <c r="D222" s="57" t="inlineStr">
        <is>
          <t>Varitome seed increase</t>
        </is>
      </c>
      <c r="E222" s="57" t="inlineStr">
        <is>
          <t>CATIE-11106/1</t>
        </is>
      </c>
      <c r="F222" s="57" t="inlineStr">
        <is>
          <t>Seed increase</t>
        </is>
      </c>
      <c r="G222" s="57" t="n">
        <v>1</v>
      </c>
      <c r="H222" s="58" t="inlineStr">
        <is>
          <t>N/A</t>
        </is>
      </c>
    </row>
    <row r="223" ht="25" customHeight="1" s="55">
      <c r="A223" s="57" t="n">
        <v>222</v>
      </c>
      <c r="B223" s="57" t="n">
        <v>129</v>
      </c>
      <c r="C223" s="57" t="inlineStr">
        <is>
          <t>BGV008348</t>
        </is>
      </c>
      <c r="D223" s="57" t="inlineStr">
        <is>
          <t>Varitome seed increase</t>
        </is>
      </c>
      <c r="E223" s="57" t="inlineStr">
        <is>
          <t>BGV008348</t>
        </is>
      </c>
      <c r="F223" s="57" t="inlineStr">
        <is>
          <t>Seed increase</t>
        </is>
      </c>
      <c r="G223" s="57" t="n">
        <v>1</v>
      </c>
      <c r="H223" s="58" t="inlineStr">
        <is>
          <t>N/A</t>
        </is>
      </c>
    </row>
    <row r="224" ht="25" customHeight="1" s="55">
      <c r="A224" s="57" t="n">
        <v>223</v>
      </c>
      <c r="B224" s="57" t="n">
        <v>130</v>
      </c>
      <c r="C224" s="57" t="inlineStr">
        <is>
          <t>BGV008354</t>
        </is>
      </c>
      <c r="D224" s="57" t="inlineStr">
        <is>
          <t>Varitome seed increase</t>
        </is>
      </c>
      <c r="E224" s="57" t="inlineStr">
        <is>
          <t>BGV008354</t>
        </is>
      </c>
      <c r="F224" s="57" t="inlineStr">
        <is>
          <t>Seed increase</t>
        </is>
      </c>
      <c r="G224" s="57" t="n">
        <v>1</v>
      </c>
      <c r="H224" s="58" t="inlineStr">
        <is>
          <t>N/A</t>
        </is>
      </c>
    </row>
    <row r="225" ht="25" customHeight="1" s="55">
      <c r="A225" s="57" t="n">
        <v>224</v>
      </c>
      <c r="B225" s="57" t="n">
        <v>131</v>
      </c>
      <c r="C225" s="57" t="inlineStr">
        <is>
          <t>BGV012613</t>
        </is>
      </c>
      <c r="D225" s="57" t="inlineStr">
        <is>
          <t>Varitome seed increase</t>
        </is>
      </c>
      <c r="E225" s="57" t="inlineStr">
        <is>
          <t>BGV012613</t>
        </is>
      </c>
      <c r="F225" s="57" t="inlineStr">
        <is>
          <t>Seed increase</t>
        </is>
      </c>
      <c r="G225" s="57" t="n">
        <v>1</v>
      </c>
      <c r="H225" s="58" t="inlineStr">
        <is>
          <t>N/A</t>
        </is>
      </c>
    </row>
    <row r="226" ht="25" customHeight="1" s="55">
      <c r="A226" s="57" t="n">
        <v>225</v>
      </c>
      <c r="B226" s="57" t="n">
        <v>132</v>
      </c>
      <c r="C226" s="57" t="inlineStr">
        <is>
          <t>BGV012614</t>
        </is>
      </c>
      <c r="D226" s="57" t="inlineStr">
        <is>
          <t>Varitome seed increase</t>
        </is>
      </c>
      <c r="E226" s="57" t="inlineStr">
        <is>
          <t>BGV012614</t>
        </is>
      </c>
      <c r="F226" s="57" t="inlineStr">
        <is>
          <t>Seed increase</t>
        </is>
      </c>
      <c r="G226" s="57" t="n">
        <v>1</v>
      </c>
      <c r="H226" s="58" t="inlineStr">
        <is>
          <t>N/A</t>
        </is>
      </c>
    </row>
    <row r="227" ht="25" customHeight="1" s="55">
      <c r="A227" s="57" t="n">
        <v>226</v>
      </c>
      <c r="B227" s="57" t="n">
        <v>133</v>
      </c>
      <c r="C227" s="57" t="inlineStr">
        <is>
          <t>BGV012615</t>
        </is>
      </c>
      <c r="D227" s="57" t="inlineStr">
        <is>
          <t>Varitome seed increase</t>
        </is>
      </c>
      <c r="E227" s="57" t="inlineStr">
        <is>
          <t>BGV012615</t>
        </is>
      </c>
      <c r="F227" s="57" t="inlineStr">
        <is>
          <t>Seed increase</t>
        </is>
      </c>
      <c r="G227" s="57" t="n">
        <v>1</v>
      </c>
      <c r="H227" s="58" t="inlineStr">
        <is>
          <t>N/A</t>
        </is>
      </c>
    </row>
    <row r="228" ht="25" customHeight="1" s="55">
      <c r="A228" s="57" t="n">
        <v>227</v>
      </c>
      <c r="B228" s="57" t="n">
        <v>134</v>
      </c>
      <c r="C228" s="57" t="inlineStr">
        <is>
          <t>BGV012625</t>
        </is>
      </c>
      <c r="D228" s="57" t="inlineStr">
        <is>
          <t>Varitome seed increase</t>
        </is>
      </c>
      <c r="E228" s="57" t="inlineStr">
        <is>
          <t>BGV012625</t>
        </is>
      </c>
      <c r="F228" s="57" t="inlineStr">
        <is>
          <t>Seed increase</t>
        </is>
      </c>
      <c r="G228" s="57" t="n">
        <v>1</v>
      </c>
      <c r="H228" s="58" t="inlineStr">
        <is>
          <t>N/A</t>
        </is>
      </c>
    </row>
    <row r="229" ht="25" customHeight="1" s="55">
      <c r="A229" s="57" t="n">
        <v>228</v>
      </c>
      <c r="B229" s="57" t="n">
        <v>135</v>
      </c>
      <c r="C229" s="57" t="inlineStr">
        <is>
          <t>BGV012626</t>
        </is>
      </c>
      <c r="D229" s="57" t="inlineStr">
        <is>
          <t>Varitome seed increase</t>
        </is>
      </c>
      <c r="E229" s="57" t="inlineStr">
        <is>
          <t>BGV012626</t>
        </is>
      </c>
      <c r="F229" s="57" t="inlineStr">
        <is>
          <t>Seed increase</t>
        </is>
      </c>
      <c r="G229" s="57" t="n">
        <v>1</v>
      </c>
      <c r="H229" s="58" t="inlineStr">
        <is>
          <t>N/A</t>
        </is>
      </c>
    </row>
    <row r="230" ht="25" customHeight="1" s="55">
      <c r="A230" s="57" t="n">
        <v>229</v>
      </c>
      <c r="B230" s="57" t="n">
        <v>136</v>
      </c>
      <c r="C230" s="57" t="inlineStr">
        <is>
          <t>BGV012627</t>
        </is>
      </c>
      <c r="D230" s="57" t="inlineStr">
        <is>
          <t>Varitome seed increase</t>
        </is>
      </c>
      <c r="E230" s="57" t="inlineStr">
        <is>
          <t>BGV012627</t>
        </is>
      </c>
      <c r="F230" s="57" t="inlineStr">
        <is>
          <t>Seed increase</t>
        </is>
      </c>
      <c r="G230" s="57" t="n">
        <v>1</v>
      </c>
      <c r="H230" s="58" t="inlineStr">
        <is>
          <t>N/A</t>
        </is>
      </c>
    </row>
    <row r="231" ht="25" customHeight="1" s="55">
      <c r="A231" s="57" t="n">
        <v>230</v>
      </c>
      <c r="B231" s="57" t="n">
        <v>137</v>
      </c>
      <c r="C231" s="57" t="inlineStr">
        <is>
          <t>BGV012639</t>
        </is>
      </c>
      <c r="D231" s="57" t="inlineStr">
        <is>
          <t>Varitome seed increase</t>
        </is>
      </c>
      <c r="E231" s="57" t="inlineStr">
        <is>
          <t>BGV012639</t>
        </is>
      </c>
      <c r="F231" s="57" t="inlineStr">
        <is>
          <t>Seed increase</t>
        </is>
      </c>
      <c r="G231" s="57" t="n">
        <v>1</v>
      </c>
      <c r="H231" s="58" t="inlineStr">
        <is>
          <t>N/A</t>
        </is>
      </c>
    </row>
    <row r="232" ht="25" customHeight="1" s="55">
      <c r="A232" s="57" t="n">
        <v>231</v>
      </c>
      <c r="B232" s="57" t="n">
        <v>138</v>
      </c>
      <c r="C232" s="57" t="inlineStr">
        <is>
          <t>BGV012640</t>
        </is>
      </c>
      <c r="D232" s="57" t="inlineStr">
        <is>
          <t>Varitome seed increase</t>
        </is>
      </c>
      <c r="E232" s="57" t="inlineStr">
        <is>
          <t>BGV012640</t>
        </is>
      </c>
      <c r="F232" s="57" t="inlineStr">
        <is>
          <t>Seed increase</t>
        </is>
      </c>
      <c r="G232" s="57" t="n">
        <v>1</v>
      </c>
      <c r="H232" s="58" t="inlineStr">
        <is>
          <t>N/A</t>
        </is>
      </c>
    </row>
    <row r="233" ht="25" customHeight="1" s="55">
      <c r="A233" s="57" t="n">
        <v>232</v>
      </c>
      <c r="B233" s="57" t="n">
        <v>139</v>
      </c>
      <c r="C233" s="57" t="inlineStr">
        <is>
          <t>BGV013134</t>
        </is>
      </c>
      <c r="D233" s="57" t="inlineStr">
        <is>
          <t>Varitome seed increase</t>
        </is>
      </c>
      <c r="E233" s="57" t="inlineStr">
        <is>
          <t>BGV013134</t>
        </is>
      </c>
      <c r="F233" s="57" t="inlineStr">
        <is>
          <t>Seed increase</t>
        </is>
      </c>
      <c r="G233" s="57" t="n">
        <v>1</v>
      </c>
      <c r="H233" s="58" t="inlineStr">
        <is>
          <t>N/A</t>
        </is>
      </c>
    </row>
    <row r="234" ht="25" customHeight="1" s="55">
      <c r="A234" s="57" t="n">
        <v>233</v>
      </c>
      <c r="B234" s="57" t="n">
        <v>140</v>
      </c>
      <c r="C234" s="57" t="inlineStr">
        <is>
          <t>BGV013156</t>
        </is>
      </c>
      <c r="D234" s="57" t="inlineStr">
        <is>
          <t>Varitome seed increase</t>
        </is>
      </c>
      <c r="E234" s="57" t="inlineStr">
        <is>
          <t>PI378994</t>
        </is>
      </c>
      <c r="F234" s="57" t="inlineStr">
        <is>
          <t>Seed increase</t>
        </is>
      </c>
      <c r="G234" s="57" t="n">
        <v>1</v>
      </c>
      <c r="H234" s="58" t="inlineStr">
        <is>
          <t>N/A</t>
        </is>
      </c>
    </row>
    <row r="235" ht="25" customHeight="1" s="55">
      <c r="A235" s="57" t="n">
        <v>234</v>
      </c>
      <c r="B235" s="57" t="n">
        <v>141</v>
      </c>
      <c r="C235" s="57" t="inlineStr">
        <is>
          <t>BGV013161</t>
        </is>
      </c>
      <c r="D235" s="57" t="inlineStr">
        <is>
          <t>Varitome seed increase</t>
        </is>
      </c>
      <c r="E235" s="57" t="inlineStr">
        <is>
          <t>BGV013161</t>
        </is>
      </c>
      <c r="F235" s="57" t="inlineStr">
        <is>
          <t>Seed increase</t>
        </is>
      </c>
      <c r="G235" s="57" t="n">
        <v>1</v>
      </c>
      <c r="H235" s="58" t="inlineStr">
        <is>
          <t>N/A</t>
        </is>
      </c>
    </row>
    <row r="236" ht="25" customHeight="1" s="55">
      <c r="A236" s="57" t="n">
        <v>235</v>
      </c>
      <c r="B236" s="57" t="n">
        <v>142</v>
      </c>
      <c r="C236" s="57" t="inlineStr">
        <is>
          <t>BGV013175</t>
        </is>
      </c>
      <c r="D236" s="57" t="inlineStr">
        <is>
          <t>Varitome seed increase</t>
        </is>
      </c>
      <c r="E236" s="57" t="inlineStr">
        <is>
          <t>BGV013175</t>
        </is>
      </c>
      <c r="F236" s="57" t="inlineStr">
        <is>
          <t>Seed increase</t>
        </is>
      </c>
      <c r="G236" s="57" t="n">
        <v>1</v>
      </c>
      <c r="H236" s="58" t="inlineStr">
        <is>
          <t>N/A</t>
        </is>
      </c>
    </row>
    <row r="237" ht="25" customHeight="1" s="55">
      <c r="A237" s="57" t="n">
        <v>236</v>
      </c>
      <c r="B237" s="57" t="n">
        <v>143</v>
      </c>
      <c r="C237" s="57" t="inlineStr">
        <is>
          <t>BGV013945</t>
        </is>
      </c>
      <c r="D237" s="57" t="inlineStr">
        <is>
          <t>Varitome seed increase</t>
        </is>
      </c>
      <c r="E237" s="57" t="inlineStr">
        <is>
          <t>BGV013945</t>
        </is>
      </c>
      <c r="F237" s="57" t="inlineStr">
        <is>
          <t>Seed increase</t>
        </is>
      </c>
      <c r="G237" s="57" t="n">
        <v>1</v>
      </c>
      <c r="H237" s="58" t="inlineStr">
        <is>
          <t>N/A</t>
        </is>
      </c>
    </row>
    <row r="238" ht="25" customHeight="1" s="55">
      <c r="A238" s="57" t="n">
        <v>237</v>
      </c>
      <c r="B238" s="57" t="n">
        <v>144</v>
      </c>
      <c r="C238" s="57" t="inlineStr">
        <is>
          <t>BGV014508</t>
        </is>
      </c>
      <c r="D238" s="57" t="inlineStr">
        <is>
          <t>Varitome seed increase</t>
        </is>
      </c>
      <c r="E238" s="57" t="inlineStr">
        <is>
          <t>BGV014508</t>
        </is>
      </c>
      <c r="F238" s="57" t="inlineStr">
        <is>
          <t>Seed increase</t>
        </is>
      </c>
      <c r="G238" s="57" t="n">
        <v>1</v>
      </c>
      <c r="H238" s="58" t="inlineStr">
        <is>
          <t>N/A</t>
        </is>
      </c>
    </row>
    <row r="239" ht="25" customHeight="1" s="55">
      <c r="A239" s="57" t="n">
        <v>238</v>
      </c>
      <c r="B239" s="57" t="n">
        <v>145</v>
      </c>
      <c r="C239" s="57" t="inlineStr">
        <is>
          <t>BGV014514</t>
        </is>
      </c>
      <c r="D239" s="57" t="inlineStr">
        <is>
          <t>Varitome seed increase</t>
        </is>
      </c>
      <c r="E239" s="57" t="inlineStr">
        <is>
          <t>BGV014514</t>
        </is>
      </c>
      <c r="F239" s="57" t="inlineStr">
        <is>
          <t>Seed increase</t>
        </is>
      </c>
      <c r="G239" s="57" t="n">
        <v>1</v>
      </c>
      <c r="H239" s="58" t="inlineStr">
        <is>
          <t>N/A</t>
        </is>
      </c>
    </row>
    <row r="240" ht="25" customHeight="1" s="55">
      <c r="A240" s="57" t="n">
        <v>239</v>
      </c>
      <c r="B240" s="57" t="n">
        <v>146</v>
      </c>
      <c r="C240" s="57" t="inlineStr">
        <is>
          <t>BGV014515</t>
        </is>
      </c>
      <c r="D240" s="57" t="inlineStr">
        <is>
          <t>Varitome seed increase</t>
        </is>
      </c>
      <c r="E240" s="57" t="inlineStr">
        <is>
          <t>BGV014515</t>
        </is>
      </c>
      <c r="F240" s="57" t="inlineStr">
        <is>
          <t>Seed increase</t>
        </is>
      </c>
      <c r="G240" s="57" t="n">
        <v>1</v>
      </c>
      <c r="H240" s="58" t="inlineStr">
        <is>
          <t>N/A</t>
        </is>
      </c>
    </row>
    <row r="241" ht="25" customHeight="1" s="55">
      <c r="A241" s="57" t="n">
        <v>240</v>
      </c>
      <c r="B241" s="57" t="n">
        <v>147</v>
      </c>
      <c r="C241" s="57" t="inlineStr">
        <is>
          <t>BGV014516</t>
        </is>
      </c>
      <c r="D241" s="57" t="inlineStr">
        <is>
          <t>Varitome seed increase</t>
        </is>
      </c>
      <c r="E241" s="57" t="inlineStr">
        <is>
          <t>BGV014516</t>
        </is>
      </c>
      <c r="F241" s="57" t="inlineStr">
        <is>
          <t>Seed increase</t>
        </is>
      </c>
      <c r="G241" s="57" t="n">
        <v>1</v>
      </c>
      <c r="H241" s="58" t="inlineStr">
        <is>
          <t>N/A</t>
        </is>
      </c>
    </row>
    <row r="242" ht="25" customHeight="1" s="55">
      <c r="A242" s="57" t="n">
        <v>241</v>
      </c>
      <c r="B242" s="57" t="n">
        <v>148</v>
      </c>
      <c r="C242" s="57" t="inlineStr">
        <is>
          <t>BGV014518</t>
        </is>
      </c>
      <c r="D242" s="57" t="inlineStr">
        <is>
          <t>Varitome seed increase</t>
        </is>
      </c>
      <c r="E242" s="57" t="inlineStr">
        <is>
          <t>BGV014518</t>
        </is>
      </c>
      <c r="F242" s="57" t="inlineStr">
        <is>
          <t>Seed increase</t>
        </is>
      </c>
      <c r="G242" s="57" t="n">
        <v>1</v>
      </c>
      <c r="H242" s="58" t="inlineStr">
        <is>
          <t>N/A</t>
        </is>
      </c>
    </row>
    <row r="243" ht="25" customHeight="1" s="55">
      <c r="A243" s="57" t="n">
        <v>242</v>
      </c>
      <c r="B243" s="57" t="n">
        <v>149</v>
      </c>
      <c r="C243" s="57" t="inlineStr">
        <is>
          <t>BGV014519</t>
        </is>
      </c>
      <c r="D243" s="57" t="inlineStr">
        <is>
          <t>Varitome seed increase</t>
        </is>
      </c>
      <c r="E243" s="57" t="inlineStr">
        <is>
          <t>BGV014519</t>
        </is>
      </c>
      <c r="F243" s="57" t="inlineStr">
        <is>
          <t>Seed increase</t>
        </is>
      </c>
      <c r="G243" s="57" t="n">
        <v>1</v>
      </c>
      <c r="H243" s="58" t="inlineStr">
        <is>
          <t>N/A</t>
        </is>
      </c>
    </row>
    <row r="244" ht="25" customHeight="1" s="55">
      <c r="A244" s="57" t="n">
        <v>243</v>
      </c>
      <c r="B244" s="57" t="n">
        <v>150</v>
      </c>
      <c r="C244" s="57" t="inlineStr">
        <is>
          <t>BGV014522</t>
        </is>
      </c>
      <c r="D244" s="57" t="inlineStr">
        <is>
          <t>Varitome seed increase</t>
        </is>
      </c>
      <c r="E244" s="57" t="inlineStr">
        <is>
          <t>BGV014522</t>
        </is>
      </c>
      <c r="F244" s="57" t="inlineStr">
        <is>
          <t>Seed increase</t>
        </is>
      </c>
      <c r="G244" s="57" t="n">
        <v>1</v>
      </c>
      <c r="H244" s="58" t="inlineStr">
        <is>
          <t>N/A</t>
        </is>
      </c>
    </row>
    <row r="245" ht="25" customHeight="1" s="55">
      <c r="A245" s="57" t="n">
        <v>244</v>
      </c>
      <c r="B245" s="57" t="n">
        <v>151</v>
      </c>
      <c r="C245" s="57" t="inlineStr">
        <is>
          <t>BGV015380</t>
        </is>
      </c>
      <c r="D245" s="57" t="inlineStr">
        <is>
          <t>Varitome seed increase</t>
        </is>
      </c>
      <c r="E245" s="57" t="inlineStr">
        <is>
          <t>BGV015380</t>
        </is>
      </c>
      <c r="F245" s="57" t="inlineStr">
        <is>
          <t>Seed increase</t>
        </is>
      </c>
      <c r="G245" s="57" t="n">
        <v>1</v>
      </c>
      <c r="H245" s="58" t="inlineStr">
        <is>
          <t>N/A</t>
        </is>
      </c>
    </row>
    <row r="246" ht="25" customHeight="1" s="55">
      <c r="A246" s="57" t="n">
        <v>245</v>
      </c>
      <c r="B246" s="57" t="n">
        <v>152</v>
      </c>
      <c r="C246" s="57" t="inlineStr">
        <is>
          <t>BGV015382</t>
        </is>
      </c>
      <c r="D246" s="57" t="inlineStr">
        <is>
          <t>Varitome seed increase</t>
        </is>
      </c>
      <c r="E246" s="57" t="inlineStr">
        <is>
          <t>BGV015382</t>
        </is>
      </c>
      <c r="F246" s="57" t="inlineStr">
        <is>
          <t>Seed increase</t>
        </is>
      </c>
      <c r="G246" s="57" t="n">
        <v>1</v>
      </c>
      <c r="H246" s="58" t="inlineStr">
        <is>
          <t>N/A</t>
        </is>
      </c>
    </row>
    <row r="247" ht="25" customHeight="1" s="55">
      <c r="A247" s="57" t="n">
        <v>246</v>
      </c>
      <c r="B247" s="57" t="n">
        <v>153</v>
      </c>
      <c r="C247" s="57" t="inlineStr">
        <is>
          <t>BGV015726</t>
        </is>
      </c>
      <c r="D247" s="57" t="inlineStr">
        <is>
          <t>Varitome seed increase</t>
        </is>
      </c>
      <c r="E247" s="57" t="inlineStr">
        <is>
          <t>BGV015726</t>
        </is>
      </c>
      <c r="F247" s="57" t="inlineStr">
        <is>
          <t>Seed increase</t>
        </is>
      </c>
      <c r="G247" s="57" t="n">
        <v>1</v>
      </c>
      <c r="H247" s="58" t="inlineStr">
        <is>
          <t>N/A</t>
        </is>
      </c>
    </row>
    <row r="248" ht="25" customHeight="1" s="55">
      <c r="A248" s="57" t="n">
        <v>247</v>
      </c>
      <c r="B248" s="57" t="n">
        <v>154</v>
      </c>
      <c r="C248" s="57" t="inlineStr">
        <is>
          <t>BGV015727</t>
        </is>
      </c>
      <c r="D248" s="57" t="inlineStr">
        <is>
          <t>Varitome seed increase</t>
        </is>
      </c>
      <c r="E248" s="57" t="inlineStr">
        <is>
          <t>BGV015727</t>
        </is>
      </c>
      <c r="F248" s="57" t="inlineStr">
        <is>
          <t>Seed increase</t>
        </is>
      </c>
      <c r="G248" s="57" t="n">
        <v>1</v>
      </c>
      <c r="H248" s="58" t="inlineStr">
        <is>
          <t>N/A</t>
        </is>
      </c>
    </row>
    <row r="249" ht="25" customHeight="1" s="55">
      <c r="A249" s="57" t="n">
        <v>248</v>
      </c>
      <c r="B249" s="57" t="n">
        <v>155</v>
      </c>
      <c r="C249" s="57" t="inlineStr">
        <is>
          <t>BGV015730</t>
        </is>
      </c>
      <c r="D249" s="57" t="inlineStr">
        <is>
          <t>Varitome seed increase</t>
        </is>
      </c>
      <c r="E249" s="57" t="inlineStr">
        <is>
          <t>BGV015730</t>
        </is>
      </c>
      <c r="F249" s="57" t="inlineStr">
        <is>
          <t>Seed increase</t>
        </is>
      </c>
      <c r="G249" s="57" t="n">
        <v>1</v>
      </c>
      <c r="H249" s="58" t="inlineStr">
        <is>
          <t>N/A</t>
        </is>
      </c>
    </row>
    <row r="250" ht="25" customHeight="1" s="55">
      <c r="A250" s="57" t="n">
        <v>249</v>
      </c>
      <c r="B250" s="57" t="n">
        <v>156</v>
      </c>
      <c r="C250" s="57" t="inlineStr">
        <is>
          <t>BGV015734</t>
        </is>
      </c>
      <c r="D250" s="57" t="inlineStr">
        <is>
          <t>Varitome seed increase</t>
        </is>
      </c>
      <c r="E250" s="57" t="inlineStr">
        <is>
          <t>BGV015734</t>
        </is>
      </c>
      <c r="F250" s="57" t="inlineStr">
        <is>
          <t>Seed increase</t>
        </is>
      </c>
      <c r="G250" s="57" t="n">
        <v>1</v>
      </c>
      <c r="H250" s="58" t="inlineStr">
        <is>
          <t>N/A</t>
        </is>
      </c>
    </row>
    <row r="251" ht="25" customHeight="1" s="55">
      <c r="A251" s="57" t="n">
        <v>250</v>
      </c>
      <c r="B251" s="57" t="n">
        <v>157</v>
      </c>
      <c r="C251" s="57" t="inlineStr">
        <is>
          <t>BGV016047</t>
        </is>
      </c>
      <c r="D251" s="57" t="inlineStr">
        <is>
          <t>Varitome seed increase</t>
        </is>
      </c>
      <c r="E251" s="57" t="inlineStr">
        <is>
          <t>PAS014479</t>
        </is>
      </c>
      <c r="F251" s="57" t="inlineStr">
        <is>
          <t>Seed increase</t>
        </is>
      </c>
      <c r="G251" s="57" t="n">
        <v>1</v>
      </c>
      <c r="H251" s="58" t="inlineStr">
        <is>
          <t>N/A</t>
        </is>
      </c>
    </row>
    <row r="252" ht="25" customHeight="1" s="55">
      <c r="A252" s="57" t="n">
        <v>251</v>
      </c>
      <c r="B252" s="57" t="n">
        <v>158</v>
      </c>
      <c r="C252" s="57" t="inlineStr">
        <is>
          <t>LA0767</t>
        </is>
      </c>
      <c r="D252" s="57" t="inlineStr">
        <is>
          <t>Varitome seed increase</t>
        </is>
      </c>
      <c r="E252" s="57" t="inlineStr">
        <is>
          <t>LA0767</t>
        </is>
      </c>
      <c r="F252" s="57" t="inlineStr">
        <is>
          <t>Seed increase</t>
        </is>
      </c>
      <c r="G252" s="57" t="n">
        <v>1</v>
      </c>
      <c r="H252" s="58" t="inlineStr">
        <is>
          <t>N/A</t>
        </is>
      </c>
    </row>
    <row r="253" ht="25" customHeight="1" s="55">
      <c r="A253" s="57" t="n">
        <v>252</v>
      </c>
      <c r="B253" s="57" t="n">
        <v>159</v>
      </c>
      <c r="C253" s="57" t="inlineStr">
        <is>
          <t>LA1712</t>
        </is>
      </c>
      <c r="D253" s="57" t="inlineStr">
        <is>
          <t>Varitome seed increase</t>
        </is>
      </c>
      <c r="E253" s="57" t="inlineStr">
        <is>
          <t>LA1712</t>
        </is>
      </c>
      <c r="F253" s="57" t="inlineStr">
        <is>
          <t>Seed increase</t>
        </is>
      </c>
      <c r="G253" s="57" t="n">
        <v>1</v>
      </c>
      <c r="H253" s="58" t="inlineStr">
        <is>
          <t>N/A</t>
        </is>
      </c>
    </row>
    <row r="254" ht="25" customHeight="1" s="55">
      <c r="A254" s="57" t="n">
        <v>253</v>
      </c>
      <c r="B254" s="57" t="n">
        <v>160</v>
      </c>
      <c r="C254" s="57" t="inlineStr">
        <is>
          <t>LA2309</t>
        </is>
      </c>
      <c r="D254" s="57" t="inlineStr">
        <is>
          <t>Varitome seed increase</t>
        </is>
      </c>
      <c r="E254" s="57" t="inlineStr">
        <is>
          <t>LA2309</t>
        </is>
      </c>
      <c r="F254" s="57" t="inlineStr">
        <is>
          <t>Seed increase</t>
        </is>
      </c>
      <c r="G254" s="57" t="n">
        <v>1</v>
      </c>
      <c r="H254" s="58" t="inlineStr">
        <is>
          <t>N/A</t>
        </is>
      </c>
    </row>
    <row r="255" ht="25" customHeight="1" s="55">
      <c r="A255" s="57" t="n">
        <v>254</v>
      </c>
      <c r="B255" s="57" t="n">
        <v>161</v>
      </c>
      <c r="C255" s="57" t="inlineStr">
        <is>
          <t>PI129026</t>
        </is>
      </c>
      <c r="D255" s="57" t="inlineStr">
        <is>
          <t>Varitome seed increase</t>
        </is>
      </c>
      <c r="E255" s="57" t="inlineStr">
        <is>
          <t>PI129026</t>
        </is>
      </c>
      <c r="F255" s="57" t="inlineStr">
        <is>
          <t>Seed increase</t>
        </is>
      </c>
      <c r="G255" s="57" t="n">
        <v>1</v>
      </c>
      <c r="H255" s="58" t="inlineStr">
        <is>
          <t>N/A</t>
        </is>
      </c>
    </row>
    <row r="256" ht="25" customHeight="1" s="55">
      <c r="A256" s="57" t="n">
        <v>255</v>
      </c>
      <c r="B256" s="57" t="n">
        <v>162</v>
      </c>
      <c r="C256" s="57" t="inlineStr">
        <is>
          <t>PI129033</t>
        </is>
      </c>
      <c r="D256" s="57" t="inlineStr">
        <is>
          <t>Varitome seed increase</t>
        </is>
      </c>
      <c r="E256" s="57" t="inlineStr">
        <is>
          <t>PI129033</t>
        </is>
      </c>
      <c r="F256" s="57" t="inlineStr">
        <is>
          <t>Seed increase</t>
        </is>
      </c>
      <c r="G256" s="57" t="n">
        <v>1</v>
      </c>
      <c r="H256" s="58" t="inlineStr">
        <is>
          <t>N/A</t>
        </is>
      </c>
    </row>
    <row r="257" ht="25" customHeight="1" s="55">
      <c r="A257" s="57" t="n">
        <v>256</v>
      </c>
      <c r="B257" s="57" t="n">
        <v>163</v>
      </c>
      <c r="C257" s="57" t="inlineStr">
        <is>
          <t>PI129088</t>
        </is>
      </c>
      <c r="D257" s="57" t="inlineStr">
        <is>
          <t>Varitome seed increase</t>
        </is>
      </c>
      <c r="E257" s="57" t="inlineStr">
        <is>
          <t>PI129088</t>
        </is>
      </c>
      <c r="F257" s="57" t="inlineStr">
        <is>
          <t>Seed increase</t>
        </is>
      </c>
      <c r="G257" s="57" t="n">
        <v>1</v>
      </c>
      <c r="H257" s="58" t="inlineStr">
        <is>
          <t>N/A</t>
        </is>
      </c>
    </row>
    <row r="258" ht="25" customHeight="1" s="55">
      <c r="A258" s="57" t="n">
        <v>257</v>
      </c>
      <c r="B258" s="57" t="n">
        <v>164</v>
      </c>
      <c r="C258" s="57" t="inlineStr">
        <is>
          <t>PI406890</t>
        </is>
      </c>
      <c r="D258" s="57" t="inlineStr">
        <is>
          <t>Varitome seed increase</t>
        </is>
      </c>
      <c r="E258" s="57" t="inlineStr">
        <is>
          <t>PI406890</t>
        </is>
      </c>
      <c r="F258" s="57" t="inlineStr">
        <is>
          <t>Seed increase</t>
        </is>
      </c>
      <c r="G258" s="57" t="n">
        <v>1</v>
      </c>
      <c r="H258" s="58" t="inlineStr">
        <is>
          <t>N/A</t>
        </is>
      </c>
    </row>
    <row r="259" ht="25" customHeight="1" s="55">
      <c r="A259" s="57" t="n">
        <v>258</v>
      </c>
      <c r="B259" s="57" t="n">
        <v>165</v>
      </c>
      <c r="C259" s="57" t="inlineStr">
        <is>
          <t>PI487625</t>
        </is>
      </c>
      <c r="D259" s="57" t="inlineStr">
        <is>
          <t>Varitome seed increase</t>
        </is>
      </c>
      <c r="E259" s="57" t="inlineStr">
        <is>
          <t>PI487625</t>
        </is>
      </c>
      <c r="F259" s="57" t="inlineStr">
        <is>
          <t>Seed increase</t>
        </is>
      </c>
      <c r="G259" s="57" t="n">
        <v>1</v>
      </c>
      <c r="H259" s="58" t="inlineStr">
        <is>
          <t>N/A</t>
        </is>
      </c>
    </row>
    <row r="260" ht="25" customHeight="1" s="55">
      <c r="A260" s="57" t="n">
        <v>259</v>
      </c>
      <c r="B260" s="57" t="n">
        <v>166</v>
      </c>
      <c r="C260" s="57" t="inlineStr">
        <is>
          <t>Tegucigalpa</t>
        </is>
      </c>
      <c r="D260" s="57" t="inlineStr">
        <is>
          <t>Varitome seed increase</t>
        </is>
      </c>
      <c r="E260" s="57" t="inlineStr">
        <is>
          <t>Tegucigalpa</t>
        </is>
      </c>
      <c r="F260" s="57" t="inlineStr">
        <is>
          <t>Seed increase</t>
        </is>
      </c>
      <c r="G260" s="57" t="n">
        <v>1</v>
      </c>
      <c r="H260" s="58" t="inlineStr">
        <is>
          <t>N/A</t>
        </is>
      </c>
    </row>
    <row r="261" ht="25" customHeight="1" s="55">
      <c r="A261" s="57" t="n">
        <v>260</v>
      </c>
      <c r="B261" s="57" t="n">
        <v>167</v>
      </c>
      <c r="C261" s="57" t="inlineStr">
        <is>
          <t>Voyage</t>
        </is>
      </c>
      <c r="D261" s="57" t="inlineStr">
        <is>
          <t>Varitome seed increase</t>
        </is>
      </c>
      <c r="E261" s="57" t="inlineStr">
        <is>
          <t>Voyage</t>
        </is>
      </c>
      <c r="F261" s="57" t="inlineStr">
        <is>
          <t>Seed increase</t>
        </is>
      </c>
      <c r="G261" s="57" t="n">
        <v>1</v>
      </c>
      <c r="H261" s="58" t="inlineStr">
        <is>
          <t>N/A</t>
        </is>
      </c>
    </row>
  </sheetData>
  <autoFilter ref="A1:H26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4"/>
  <sheetViews>
    <sheetView showGridLines="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21" bestFit="1" customWidth="1" style="55" min="2" max="2"/>
    <col width="10" bestFit="1" customWidth="1" style="55" min="3" max="3"/>
    <col width="21" bestFit="1" customWidth="1" style="55" min="4" max="4"/>
    <col width="9" bestFit="1" customWidth="1" style="55" min="5" max="5"/>
    <col width="29" bestFit="1" customWidth="1" style="55" min="6" max="6"/>
    <col width="29" bestFit="1" customWidth="1" style="55" min="7" max="7"/>
    <col width="24" bestFit="1" customWidth="1" style="55" min="8" max="8"/>
    <col width="12" bestFit="1" customWidth="1" style="55" min="9" max="9"/>
    <col width="29" customWidth="1" style="55" min="10" max="10"/>
    <col width="18" customWidth="1" style="55" min="11" max="11"/>
    <col width="21" customWidth="1" style="55" min="12" max="12"/>
    <col width="11" customWidth="1" style="55" min="13" max="13"/>
  </cols>
  <sheetData>
    <row r="1" ht="18" customHeight="1" s="55">
      <c r="A1" s="56" t="inlineStr">
        <is>
          <t>SN</t>
        </is>
      </c>
      <c r="B1" s="56" t="inlineStr">
        <is>
          <t>Genotypes</t>
        </is>
      </c>
      <c r="C1" s="56" t="inlineStr">
        <is>
          <t>Location</t>
        </is>
      </c>
      <c r="D1" s="56" t="inlineStr">
        <is>
          <t>Date of harvest</t>
        </is>
      </c>
      <c r="E1" s="56" t="inlineStr">
        <is>
          <t>Harvest</t>
        </is>
      </c>
      <c r="F1" s="56" t="inlineStr">
        <is>
          <t>Grade 1 Marketable (weight)</t>
        </is>
      </c>
      <c r="G1" s="56" t="inlineStr">
        <is>
          <t>Grade 1 Marketable (counts)</t>
        </is>
      </c>
      <c r="H1" s="56" t="inlineStr">
        <is>
          <t>Unmarketables (weight)</t>
        </is>
      </c>
      <c r="I1" s="56" t="inlineStr">
        <is>
          <t>Calculated</t>
        </is>
      </c>
      <c r="J1" s="56" t="inlineStr">
        <is>
          <t>Weight of 20 marketable (g)</t>
        </is>
      </c>
      <c r="K1" s="56" t="inlineStr">
        <is>
          <t>Total Weight (g)</t>
        </is>
      </c>
      <c r="L1" s="56" t="inlineStr">
        <is>
          <t>Genotype_raw</t>
        </is>
      </c>
      <c r="M1" s="56" t="inlineStr">
        <is>
          <t>Replicate</t>
        </is>
      </c>
    </row>
    <row r="2" ht="25" customHeight="1" s="55">
      <c r="A2" s="57" t="n">
        <v>1</v>
      </c>
      <c r="B2" s="57" t="inlineStr">
        <is>
          <t>UKYT-25-003</t>
        </is>
      </c>
      <c r="C2" s="57" t="inlineStr">
        <is>
          <t>Robinson</t>
        </is>
      </c>
      <c r="D2" s="59" t="n">
        <v>46246</v>
      </c>
      <c r="E2" s="57" t="inlineStr">
        <is>
          <t>First</t>
        </is>
      </c>
      <c r="F2" s="57" t="n">
        <v>1164</v>
      </c>
      <c r="G2" s="57" t="n"/>
      <c r="H2" s="57" t="n">
        <v>156</v>
      </c>
      <c r="I2" s="57" t="n"/>
      <c r="J2" s="57" t="n">
        <v>258</v>
      </c>
      <c r="K2" s="57" t="n"/>
      <c r="L2" s="57" t="inlineStr">
        <is>
          <t>25-3</t>
        </is>
      </c>
      <c r="M2" s="58" t="inlineStr">
        <is>
          <t>N/A</t>
        </is>
      </c>
    </row>
    <row r="3" ht="25" customHeight="1" s="55">
      <c r="A3" s="57" t="n">
        <v>2</v>
      </c>
      <c r="B3" s="57" t="inlineStr">
        <is>
          <t>UKYT-25-005</t>
        </is>
      </c>
      <c r="C3" s="57" t="inlineStr">
        <is>
          <t>Robinson</t>
        </is>
      </c>
      <c r="D3" s="59" t="n">
        <v>46246</v>
      </c>
      <c r="E3" s="57" t="inlineStr">
        <is>
          <t>First</t>
        </is>
      </c>
      <c r="F3" s="57" t="n">
        <v>890</v>
      </c>
      <c r="G3" s="57" t="n"/>
      <c r="H3" s="57" t="n">
        <v>91</v>
      </c>
      <c r="I3" s="57" t="n"/>
      <c r="J3" s="57" t="n">
        <v>386</v>
      </c>
      <c r="K3" s="57" t="n"/>
      <c r="L3" s="57" t="inlineStr">
        <is>
          <t>25-5</t>
        </is>
      </c>
      <c r="M3" s="58" t="inlineStr">
        <is>
          <t>N/A</t>
        </is>
      </c>
    </row>
    <row r="4" ht="25" customHeight="1" s="55">
      <c r="A4" s="57" t="n">
        <v>3</v>
      </c>
      <c r="B4" s="57" t="inlineStr">
        <is>
          <t>UKYT-25-001</t>
        </is>
      </c>
      <c r="C4" s="57" t="inlineStr">
        <is>
          <t>Robinson</t>
        </is>
      </c>
      <c r="D4" s="59" t="n">
        <v>46246</v>
      </c>
      <c r="E4" s="57" t="inlineStr">
        <is>
          <t>First</t>
        </is>
      </c>
      <c r="F4" s="57" t="n">
        <v>1215</v>
      </c>
      <c r="G4" s="57" t="n"/>
      <c r="H4" s="57" t="n">
        <v>427</v>
      </c>
      <c r="I4" s="57" t="n"/>
      <c r="J4" s="57" t="n">
        <v>215</v>
      </c>
      <c r="K4" s="57" t="n"/>
      <c r="L4" s="57" t="inlineStr">
        <is>
          <t>25-1</t>
        </is>
      </c>
      <c r="M4" s="58" t="inlineStr">
        <is>
          <t>N/A</t>
        </is>
      </c>
    </row>
    <row r="5" ht="25" customHeight="1" s="55">
      <c r="A5" s="57" t="n">
        <v>4</v>
      </c>
      <c r="B5" s="57" t="inlineStr">
        <is>
          <t>UKYT-25-016</t>
        </is>
      </c>
      <c r="C5" s="57" t="inlineStr">
        <is>
          <t>Robinson</t>
        </is>
      </c>
      <c r="D5" s="59" t="n">
        <v>46246</v>
      </c>
      <c r="E5" s="57" t="inlineStr">
        <is>
          <t>First</t>
        </is>
      </c>
      <c r="F5" s="57" t="n">
        <v>582</v>
      </c>
      <c r="G5" s="57" t="n"/>
      <c r="H5" s="57" t="n">
        <v>114</v>
      </c>
      <c r="I5" s="57" t="n"/>
      <c r="J5" s="57" t="n">
        <v>225</v>
      </c>
      <c r="K5" s="57" t="n"/>
      <c r="L5" s="57" t="inlineStr">
        <is>
          <t>25-16</t>
        </is>
      </c>
      <c r="M5" s="58" t="inlineStr">
        <is>
          <t>N/A</t>
        </is>
      </c>
    </row>
    <row r="6" ht="25" customHeight="1" s="55">
      <c r="A6" s="57" t="n">
        <v>5</v>
      </c>
      <c r="B6" s="57" t="inlineStr">
        <is>
          <t>UKYT-25-015</t>
        </is>
      </c>
      <c r="C6" s="57" t="inlineStr">
        <is>
          <t>Robinson</t>
        </is>
      </c>
      <c r="D6" s="59" t="n">
        <v>46246</v>
      </c>
      <c r="E6" s="57" t="inlineStr">
        <is>
          <t>First</t>
        </is>
      </c>
      <c r="F6" s="57" t="n">
        <v>2912</v>
      </c>
      <c r="G6" s="57" t="n"/>
      <c r="H6" s="57" t="n">
        <v>553</v>
      </c>
      <c r="I6" s="57" t="n"/>
      <c r="J6" s="57" t="n">
        <v>396</v>
      </c>
      <c r="K6" s="57" t="n"/>
      <c r="L6" s="57" t="inlineStr">
        <is>
          <t>25-15</t>
        </is>
      </c>
      <c r="M6" s="58" t="inlineStr">
        <is>
          <t>N/A</t>
        </is>
      </c>
    </row>
    <row r="7" ht="25" customHeight="1" s="55">
      <c r="A7" s="57" t="n">
        <v>6</v>
      </c>
      <c r="B7" s="57" t="inlineStr">
        <is>
          <t>UKYT-25-010</t>
        </is>
      </c>
      <c r="C7" s="57" t="inlineStr">
        <is>
          <t>Robinson</t>
        </is>
      </c>
      <c r="D7" s="59" t="n">
        <v>46246</v>
      </c>
      <c r="E7" s="57" t="inlineStr">
        <is>
          <t>First</t>
        </is>
      </c>
      <c r="F7" s="57" t="n">
        <v>1176</v>
      </c>
      <c r="G7" s="57" t="n"/>
      <c r="H7" s="57" t="n">
        <v>784</v>
      </c>
      <c r="I7" s="57" t="n"/>
      <c r="J7" s="57" t="n">
        <v>393</v>
      </c>
      <c r="K7" s="57" t="n"/>
      <c r="L7" s="57" t="inlineStr">
        <is>
          <t>25-10</t>
        </is>
      </c>
      <c r="M7" s="58" t="inlineStr">
        <is>
          <t>N/A</t>
        </is>
      </c>
    </row>
    <row r="8" ht="25" customHeight="1" s="55">
      <c r="A8" s="57" t="n">
        <v>7</v>
      </c>
      <c r="B8" s="57" t="inlineStr">
        <is>
          <t>UKYT-25-013</t>
        </is>
      </c>
      <c r="C8" s="57" t="inlineStr">
        <is>
          <t>Robinson</t>
        </is>
      </c>
      <c r="D8" s="59" t="n">
        <v>46246</v>
      </c>
      <c r="E8" s="57" t="inlineStr">
        <is>
          <t>First</t>
        </is>
      </c>
      <c r="F8" s="57" t="n">
        <v>3033</v>
      </c>
      <c r="G8" s="57" t="n"/>
      <c r="H8" s="57" t="n">
        <v>510</v>
      </c>
      <c r="I8" s="57" t="n"/>
      <c r="J8" s="57" t="n">
        <v>355</v>
      </c>
      <c r="K8" s="57" t="n"/>
      <c r="L8" s="57" t="inlineStr">
        <is>
          <t>25-13</t>
        </is>
      </c>
      <c r="M8" s="58" t="inlineStr">
        <is>
          <t>N/A</t>
        </is>
      </c>
    </row>
    <row r="9" ht="25" customHeight="1" s="55">
      <c r="A9" s="57" t="n">
        <v>8</v>
      </c>
      <c r="B9" s="57" t="inlineStr">
        <is>
          <t>UKYT-25-017</t>
        </is>
      </c>
      <c r="C9" s="57" t="inlineStr">
        <is>
          <t>Robinson</t>
        </is>
      </c>
      <c r="D9" s="59" t="n">
        <v>46246</v>
      </c>
      <c r="E9" s="57" t="inlineStr">
        <is>
          <t>First</t>
        </is>
      </c>
      <c r="F9" s="57" t="n">
        <v>1790</v>
      </c>
      <c r="G9" s="57" t="n"/>
      <c r="H9" s="57" t="n">
        <v>442</v>
      </c>
      <c r="I9" s="57" t="n"/>
      <c r="J9" s="57" t="n">
        <v>432</v>
      </c>
      <c r="K9" s="57" t="n"/>
      <c r="L9" s="57" t="inlineStr">
        <is>
          <t>25-17</t>
        </is>
      </c>
      <c r="M9" s="58" t="inlineStr">
        <is>
          <t>N/A</t>
        </is>
      </c>
    </row>
    <row r="10" ht="25" customHeight="1" s="55">
      <c r="A10" s="57" t="n">
        <v>9</v>
      </c>
      <c r="B10" s="57" t="inlineStr">
        <is>
          <t>UKYT-25-014</t>
        </is>
      </c>
      <c r="C10" s="57" t="inlineStr">
        <is>
          <t>Robinson</t>
        </is>
      </c>
      <c r="D10" s="59" t="n">
        <v>46246</v>
      </c>
      <c r="E10" s="57" t="inlineStr">
        <is>
          <t>First</t>
        </is>
      </c>
      <c r="F10" s="57" t="n">
        <v>3050</v>
      </c>
      <c r="G10" s="57" t="n"/>
      <c r="H10" s="57" t="n">
        <v>618</v>
      </c>
      <c r="I10" s="57" t="n"/>
      <c r="J10" s="57" t="n">
        <v>385</v>
      </c>
      <c r="K10" s="57" t="n"/>
      <c r="L10" s="57" t="inlineStr">
        <is>
          <t>25-14</t>
        </is>
      </c>
      <c r="M10" s="58" t="inlineStr">
        <is>
          <t>N/A</t>
        </is>
      </c>
    </row>
    <row r="11" ht="25" customHeight="1" s="55">
      <c r="A11" s="57" t="n">
        <v>10</v>
      </c>
      <c r="B11" s="57" t="inlineStr">
        <is>
          <t>UKYT-25-008</t>
        </is>
      </c>
      <c r="C11" s="57" t="inlineStr">
        <is>
          <t>Robinson</t>
        </is>
      </c>
      <c r="D11" s="59" t="n">
        <v>46246</v>
      </c>
      <c r="E11" s="57" t="inlineStr">
        <is>
          <t>First</t>
        </is>
      </c>
      <c r="F11" s="57" t="n">
        <v>1908</v>
      </c>
      <c r="G11" s="57" t="n"/>
      <c r="H11" s="57" t="n">
        <v>787</v>
      </c>
      <c r="I11" s="57" t="n"/>
      <c r="J11" s="57" t="n">
        <v>497</v>
      </c>
      <c r="K11" s="57" t="n"/>
      <c r="L11" s="57" t="inlineStr">
        <is>
          <t>25-8</t>
        </is>
      </c>
      <c r="M11" s="58" t="inlineStr">
        <is>
          <t>N/A</t>
        </is>
      </c>
    </row>
    <row r="12" ht="25" customHeight="1" s="55">
      <c r="A12" s="57" t="n">
        <v>11</v>
      </c>
      <c r="B12" s="57" t="inlineStr">
        <is>
          <t>UKYT-25-002</t>
        </is>
      </c>
      <c r="C12" s="57" t="inlineStr">
        <is>
          <t>Robinson</t>
        </is>
      </c>
      <c r="D12" s="59" t="n">
        <v>46246</v>
      </c>
      <c r="E12" s="57" t="inlineStr">
        <is>
          <t>First</t>
        </is>
      </c>
      <c r="F12" s="57" t="n">
        <v>3505</v>
      </c>
      <c r="G12" s="57" t="n"/>
      <c r="H12" s="57" t="n">
        <v>531</v>
      </c>
      <c r="I12" s="57" t="n"/>
      <c r="J12" s="57" t="n">
        <v>456</v>
      </c>
      <c r="K12" s="57" t="n"/>
      <c r="L12" s="57" t="inlineStr">
        <is>
          <t>25-2</t>
        </is>
      </c>
      <c r="M12" s="58" t="inlineStr">
        <is>
          <t>N/A</t>
        </is>
      </c>
    </row>
    <row r="13" ht="25" customHeight="1" s="55">
      <c r="A13" s="57" t="n">
        <v>12</v>
      </c>
      <c r="B13" s="57" t="inlineStr">
        <is>
          <t>UKYT-25-011</t>
        </is>
      </c>
      <c r="C13" s="57" t="inlineStr">
        <is>
          <t>Robinson</t>
        </is>
      </c>
      <c r="D13" s="59" t="n">
        <v>46246</v>
      </c>
      <c r="E13" s="57" t="inlineStr">
        <is>
          <t>First</t>
        </is>
      </c>
      <c r="F13" s="57" t="n">
        <v>1563</v>
      </c>
      <c r="G13" s="57" t="n"/>
      <c r="H13" s="57" t="n">
        <v>845</v>
      </c>
      <c r="I13" s="57" t="n"/>
      <c r="J13" s="57" t="n">
        <v>387</v>
      </c>
      <c r="K13" s="57" t="n"/>
      <c r="L13" s="57" t="inlineStr">
        <is>
          <t>25-11</t>
        </is>
      </c>
      <c r="M13" s="58" t="inlineStr">
        <is>
          <t>N/A</t>
        </is>
      </c>
    </row>
    <row r="14" ht="25" customHeight="1" s="55">
      <c r="A14" s="57" t="n">
        <v>13</v>
      </c>
      <c r="B14" s="57" t="inlineStr">
        <is>
          <t>UKYT-25-012</t>
        </is>
      </c>
      <c r="C14" s="57" t="inlineStr">
        <is>
          <t>Robinson</t>
        </is>
      </c>
      <c r="D14" s="59" t="n">
        <v>46246</v>
      </c>
      <c r="E14" s="57" t="inlineStr">
        <is>
          <t>First</t>
        </is>
      </c>
      <c r="F14" s="57" t="n">
        <v>1409</v>
      </c>
      <c r="G14" s="57" t="n"/>
      <c r="H14" s="57" t="n">
        <v>415</v>
      </c>
      <c r="I14" s="57" t="n"/>
      <c r="J14" s="57" t="n">
        <v>404</v>
      </c>
      <c r="K14" s="57" t="n"/>
      <c r="L14" s="57" t="inlineStr">
        <is>
          <t>25-12</t>
        </is>
      </c>
      <c r="M14" s="58" t="inlineStr">
        <is>
          <t>N/A</t>
        </is>
      </c>
    </row>
    <row r="15" ht="25" customHeight="1" s="55">
      <c r="A15" s="57" t="n">
        <v>14</v>
      </c>
      <c r="B15" s="57" t="inlineStr">
        <is>
          <t>UKYT-25-007</t>
        </is>
      </c>
      <c r="C15" s="57" t="inlineStr">
        <is>
          <t>Robinson</t>
        </is>
      </c>
      <c r="D15" s="59" t="n">
        <v>46246</v>
      </c>
      <c r="E15" s="57" t="inlineStr">
        <is>
          <t>First</t>
        </is>
      </c>
      <c r="F15" s="57" t="n">
        <v>2127</v>
      </c>
      <c r="G15" s="57" t="n"/>
      <c r="H15" s="57" t="n">
        <v>479</v>
      </c>
      <c r="I15" s="57" t="n"/>
      <c r="J15" s="57" t="n">
        <v>441</v>
      </c>
      <c r="K15" s="57" t="n"/>
      <c r="L15" s="57" t="inlineStr">
        <is>
          <t>25-7</t>
        </is>
      </c>
      <c r="M15" s="58" t="inlineStr">
        <is>
          <t>N/A</t>
        </is>
      </c>
    </row>
    <row r="16" ht="25" customHeight="1" s="55">
      <c r="A16" s="57" t="n">
        <v>15</v>
      </c>
      <c r="B16" s="57" t="inlineStr">
        <is>
          <t>UKYT-25-006</t>
        </is>
      </c>
      <c r="C16" s="57" t="inlineStr">
        <is>
          <t>Robinson</t>
        </is>
      </c>
      <c r="D16" s="59" t="n">
        <v>46246</v>
      </c>
      <c r="E16" s="57" t="inlineStr">
        <is>
          <t>First</t>
        </is>
      </c>
      <c r="F16" s="57" t="n">
        <v>1689</v>
      </c>
      <c r="G16" s="57" t="n"/>
      <c r="H16" s="57" t="n">
        <v>344</v>
      </c>
      <c r="I16" s="57" t="n"/>
      <c r="J16" s="57" t="n">
        <v>387</v>
      </c>
      <c r="K16" s="57" t="n"/>
      <c r="L16" s="57" t="inlineStr">
        <is>
          <t>25-6</t>
        </is>
      </c>
      <c r="M16" s="58" t="inlineStr">
        <is>
          <t>N/A</t>
        </is>
      </c>
    </row>
    <row r="17" ht="25" customHeight="1" s="55">
      <c r="A17" s="57" t="n">
        <v>16</v>
      </c>
      <c r="B17" s="57" t="inlineStr">
        <is>
          <t>UKYT-25-004</t>
        </is>
      </c>
      <c r="C17" s="57" t="inlineStr">
        <is>
          <t>Robinson</t>
        </is>
      </c>
      <c r="D17" s="59" t="n">
        <v>46246</v>
      </c>
      <c r="E17" s="57" t="inlineStr">
        <is>
          <t>First</t>
        </is>
      </c>
      <c r="F17" s="57" t="n">
        <v>2758</v>
      </c>
      <c r="G17" s="57" t="n"/>
      <c r="H17" s="57" t="n">
        <v>656</v>
      </c>
      <c r="I17" s="57" t="n"/>
      <c r="J17" s="57" t="n">
        <v>446</v>
      </c>
      <c r="K17" s="57" t="n"/>
      <c r="L17" s="57" t="inlineStr">
        <is>
          <t>25-4</t>
        </is>
      </c>
      <c r="M17" s="58" t="inlineStr">
        <is>
          <t>N/A</t>
        </is>
      </c>
    </row>
    <row r="18" ht="25" customHeight="1" s="55">
      <c r="A18" s="57" t="n">
        <v>17</v>
      </c>
      <c r="B18" s="57" t="inlineStr">
        <is>
          <t>UKYT-25-009</t>
        </is>
      </c>
      <c r="C18" s="57" t="inlineStr">
        <is>
          <t>Robinson</t>
        </is>
      </c>
      <c r="D18" s="59" t="n">
        <v>46246</v>
      </c>
      <c r="E18" s="57" t="inlineStr">
        <is>
          <t>First</t>
        </is>
      </c>
      <c r="F18" s="57" t="n">
        <v>1369</v>
      </c>
      <c r="G18" s="57" t="n"/>
      <c r="H18" s="57" t="n">
        <v>463</v>
      </c>
      <c r="I18" s="57" t="n"/>
      <c r="J18" s="57" t="n">
        <v>448</v>
      </c>
      <c r="K18" s="57" t="n"/>
      <c r="L18" s="57" t="inlineStr">
        <is>
          <t>25-9</t>
        </is>
      </c>
      <c r="M18" s="58" t="inlineStr">
        <is>
          <t>N/A</t>
        </is>
      </c>
    </row>
    <row r="19" ht="25" customHeight="1" s="55">
      <c r="A19" s="57" t="n">
        <v>18</v>
      </c>
      <c r="B19" s="57" t="inlineStr">
        <is>
          <t>UKYT-26-018</t>
        </is>
      </c>
      <c r="C19" s="57" t="inlineStr">
        <is>
          <t>Robinson</t>
        </is>
      </c>
      <c r="D19" s="59" t="n">
        <v>46246</v>
      </c>
      <c r="E19" s="57" t="inlineStr">
        <is>
          <t>First</t>
        </is>
      </c>
      <c r="F19" s="57" t="n">
        <v>433</v>
      </c>
      <c r="G19" s="57" t="n"/>
      <c r="H19" s="57" t="n">
        <v>2806</v>
      </c>
      <c r="I19" s="57" t="n"/>
      <c r="J19" s="57" t="n"/>
      <c r="K19" s="57" t="n"/>
      <c r="L19" s="57" t="inlineStr">
        <is>
          <t>26-18</t>
        </is>
      </c>
      <c r="M19" s="58" t="inlineStr">
        <is>
          <t>N/A</t>
        </is>
      </c>
    </row>
    <row r="20" ht="25" customHeight="1" s="55">
      <c r="A20" s="57" t="n">
        <v>19</v>
      </c>
      <c r="B20" s="57" t="inlineStr">
        <is>
          <t>Mountain Fresh Plus</t>
        </is>
      </c>
      <c r="C20" s="57" t="inlineStr">
        <is>
          <t>Robinson</t>
        </is>
      </c>
      <c r="D20" s="59" t="n">
        <v>46246</v>
      </c>
      <c r="E20" s="57" t="inlineStr">
        <is>
          <t>First</t>
        </is>
      </c>
      <c r="F20" s="57" t="n">
        <v>1783</v>
      </c>
      <c r="G20" s="57" t="n"/>
      <c r="H20" s="57" t="n">
        <v>546</v>
      </c>
      <c r="I20" s="57" t="n"/>
      <c r="J20" s="57" t="n"/>
      <c r="K20" s="57" t="n"/>
      <c r="L20" s="57" t="inlineStr">
        <is>
          <t>Mountain fresh plus</t>
        </is>
      </c>
      <c r="M20" s="58" t="inlineStr">
        <is>
          <t>N/A</t>
        </is>
      </c>
    </row>
    <row r="21" ht="25" customHeight="1" s="55">
      <c r="A21" s="57" t="n">
        <v>20</v>
      </c>
      <c r="B21" s="57" t="inlineStr">
        <is>
          <t>UKYT-26-035</t>
        </is>
      </c>
      <c r="C21" s="57" t="inlineStr">
        <is>
          <t>Robinson</t>
        </is>
      </c>
      <c r="D21" s="59" t="n">
        <v>46246</v>
      </c>
      <c r="E21" s="57" t="inlineStr">
        <is>
          <t>First</t>
        </is>
      </c>
      <c r="F21" s="57" t="n">
        <v>1757</v>
      </c>
      <c r="G21" s="57" t="n"/>
      <c r="H21" s="57" t="n">
        <v>438</v>
      </c>
      <c r="I21" s="57" t="n"/>
      <c r="J21" s="57" t="n"/>
      <c r="K21" s="57" t="n"/>
      <c r="L21" s="57" t="inlineStr">
        <is>
          <t>26-35</t>
        </is>
      </c>
      <c r="M21" s="58" t="inlineStr">
        <is>
          <t>N/A</t>
        </is>
      </c>
    </row>
    <row r="22" ht="25" customHeight="1" s="55">
      <c r="A22" s="57" t="n">
        <v>21</v>
      </c>
      <c r="B22" s="57" t="inlineStr">
        <is>
          <t>UKYT-26-038</t>
        </is>
      </c>
      <c r="C22" s="57" t="inlineStr">
        <is>
          <t>Robinson</t>
        </is>
      </c>
      <c r="D22" s="59" t="n">
        <v>46246</v>
      </c>
      <c r="E22" s="57" t="inlineStr">
        <is>
          <t>First</t>
        </is>
      </c>
      <c r="F22" s="57" t="n">
        <v>1466</v>
      </c>
      <c r="G22" s="57" t="n"/>
      <c r="H22" s="57" t="n">
        <v>871</v>
      </c>
      <c r="I22" s="57" t="n"/>
      <c r="J22" s="57" t="n"/>
      <c r="K22" s="57" t="n"/>
      <c r="L22" s="57" t="inlineStr">
        <is>
          <t>26-38</t>
        </is>
      </c>
      <c r="M22" s="58" t="inlineStr">
        <is>
          <t>N/A</t>
        </is>
      </c>
    </row>
    <row r="23" ht="25" customHeight="1" s="55">
      <c r="A23" s="57" t="n">
        <v>22</v>
      </c>
      <c r="B23" s="57" t="inlineStr">
        <is>
          <t>UKYT-26-014</t>
        </is>
      </c>
      <c r="C23" s="57" t="inlineStr">
        <is>
          <t>Robinson</t>
        </is>
      </c>
      <c r="D23" s="59" t="n">
        <v>46246</v>
      </c>
      <c r="E23" s="57" t="inlineStr">
        <is>
          <t>First</t>
        </is>
      </c>
      <c r="F23" s="57" t="n">
        <v>591</v>
      </c>
      <c r="G23" s="57" t="n"/>
      <c r="H23" s="57" t="n">
        <v>2335</v>
      </c>
      <c r="I23" s="57" t="n"/>
      <c r="J23" s="57" t="n"/>
      <c r="K23" s="57" t="n"/>
      <c r="L23" s="57" t="inlineStr">
        <is>
          <t>26-14</t>
        </is>
      </c>
      <c r="M23" s="58" t="inlineStr">
        <is>
          <t>N/A</t>
        </is>
      </c>
    </row>
    <row r="24" ht="25" customHeight="1" s="55">
      <c r="A24" s="57" t="n">
        <v>23</v>
      </c>
      <c r="B24" s="57" t="inlineStr">
        <is>
          <t>UKYT-26-039</t>
        </is>
      </c>
      <c r="C24" s="57" t="inlineStr">
        <is>
          <t>Robinson</t>
        </is>
      </c>
      <c r="D24" s="59" t="n">
        <v>46246</v>
      </c>
      <c r="E24" s="57" t="inlineStr">
        <is>
          <t>First</t>
        </is>
      </c>
      <c r="F24" s="57" t="n">
        <v>2427</v>
      </c>
      <c r="G24" s="57" t="n"/>
      <c r="H24" s="57" t="n">
        <v>1077</v>
      </c>
      <c r="I24" s="57" t="n"/>
      <c r="J24" s="57" t="n"/>
      <c r="K24" s="57" t="n"/>
      <c r="L24" s="57" t="inlineStr">
        <is>
          <t>26-39</t>
        </is>
      </c>
      <c r="M24" s="58" t="inlineStr">
        <is>
          <t>N/A</t>
        </is>
      </c>
    </row>
    <row r="25" ht="25" customHeight="1" s="55">
      <c r="A25" s="57" t="n">
        <v>24</v>
      </c>
      <c r="B25" s="57" t="inlineStr">
        <is>
          <t>UKYT-26-031</t>
        </is>
      </c>
      <c r="C25" s="57" t="inlineStr">
        <is>
          <t>Robinson</t>
        </is>
      </c>
      <c r="D25" s="59" t="n">
        <v>46246</v>
      </c>
      <c r="E25" s="57" t="inlineStr">
        <is>
          <t>First</t>
        </is>
      </c>
      <c r="F25" s="57" t="n">
        <v>3009</v>
      </c>
      <c r="G25" s="57" t="n"/>
      <c r="H25" s="57" t="n">
        <v>912</v>
      </c>
      <c r="I25" s="57" t="n"/>
      <c r="J25" s="57" t="n"/>
      <c r="K25" s="57" t="n"/>
      <c r="L25" s="57" t="inlineStr">
        <is>
          <t>26-31</t>
        </is>
      </c>
      <c r="M25" s="58" t="inlineStr">
        <is>
          <t>N/A</t>
        </is>
      </c>
    </row>
    <row r="26" ht="25" customHeight="1" s="55">
      <c r="A26" s="57" t="n">
        <v>25</v>
      </c>
      <c r="B26" s="57" t="inlineStr">
        <is>
          <t>Cherokee Purple</t>
        </is>
      </c>
      <c r="C26" s="57" t="inlineStr">
        <is>
          <t>Robinson</t>
        </is>
      </c>
      <c r="D26" s="59" t="n">
        <v>46246</v>
      </c>
      <c r="E26" s="57" t="inlineStr">
        <is>
          <t>First</t>
        </is>
      </c>
      <c r="F26" s="57" t="n">
        <v>1126</v>
      </c>
      <c r="G26" s="57" t="n"/>
      <c r="H26" s="57" t="n">
        <v>6084</v>
      </c>
      <c r="I26" s="57" t="n"/>
      <c r="J26" s="57" t="n"/>
      <c r="K26" s="57" t="n"/>
      <c r="L26" s="57" t="inlineStr">
        <is>
          <t xml:space="preserve">cherokee purple </t>
        </is>
      </c>
      <c r="M26" s="58" t="inlineStr">
        <is>
          <t>N/A</t>
        </is>
      </c>
    </row>
    <row r="27" ht="25" customHeight="1" s="55">
      <c r="A27" s="57" t="n">
        <v>26</v>
      </c>
      <c r="B27" s="57" t="inlineStr">
        <is>
          <t>UKYT-26-036</t>
        </is>
      </c>
      <c r="C27" s="57" t="inlineStr">
        <is>
          <t>Robinson</t>
        </is>
      </c>
      <c r="D27" s="59" t="n">
        <v>46246</v>
      </c>
      <c r="E27" s="57" t="inlineStr">
        <is>
          <t>First</t>
        </is>
      </c>
      <c r="F27" s="57" t="n">
        <v>3605</v>
      </c>
      <c r="G27" s="57" t="n"/>
      <c r="H27" s="57" t="n">
        <v>758</v>
      </c>
      <c r="I27" s="57" t="n"/>
      <c r="J27" s="57" t="n"/>
      <c r="K27" s="57" t="n"/>
      <c r="L27" s="57" t="inlineStr">
        <is>
          <t>26-36</t>
        </is>
      </c>
      <c r="M27" s="58" t="inlineStr">
        <is>
          <t>N/A</t>
        </is>
      </c>
    </row>
    <row r="28" ht="25" customHeight="1" s="55">
      <c r="A28" s="57" t="n">
        <v>27</v>
      </c>
      <c r="B28" s="57" t="inlineStr">
        <is>
          <t>NC25241G</t>
        </is>
      </c>
      <c r="C28" s="57" t="inlineStr">
        <is>
          <t>Robinson</t>
        </is>
      </c>
      <c r="D28" s="59" t="n">
        <v>46246</v>
      </c>
      <c r="E28" s="57" t="inlineStr">
        <is>
          <t>First</t>
        </is>
      </c>
      <c r="F28" s="57" t="n">
        <v>1423</v>
      </c>
      <c r="G28" s="57" t="n"/>
      <c r="H28" s="57" t="n">
        <v>1081</v>
      </c>
      <c r="I28" s="57" t="n"/>
      <c r="J28" s="57" t="n"/>
      <c r="K28" s="57" t="n"/>
      <c r="L28" s="57" t="inlineStr">
        <is>
          <t>NC 25241 G</t>
        </is>
      </c>
      <c r="M28" s="58" t="inlineStr">
        <is>
          <t>N/A</t>
        </is>
      </c>
    </row>
    <row r="29" ht="25" customHeight="1" s="55">
      <c r="A29" s="57" t="n">
        <v>28</v>
      </c>
      <c r="B29" s="57" t="inlineStr">
        <is>
          <t>UKYT-26-017</t>
        </is>
      </c>
      <c r="C29" s="57" t="inlineStr">
        <is>
          <t>Robinson</t>
        </is>
      </c>
      <c r="D29" s="59" t="n">
        <v>46246</v>
      </c>
      <c r="E29" s="57" t="inlineStr">
        <is>
          <t>First</t>
        </is>
      </c>
      <c r="F29" s="57" t="n">
        <v>1116</v>
      </c>
      <c r="G29" s="57" t="n"/>
      <c r="H29" s="57" t="n">
        <v>2886</v>
      </c>
      <c r="I29" s="57" t="n"/>
      <c r="J29" s="57" t="n"/>
      <c r="K29" s="57" t="n"/>
      <c r="L29" s="57" t="inlineStr">
        <is>
          <t>26-17</t>
        </is>
      </c>
      <c r="M29" s="58" t="inlineStr">
        <is>
          <t>N/A</t>
        </is>
      </c>
    </row>
    <row r="30" ht="25" customHeight="1" s="55">
      <c r="A30" s="57" t="n">
        <v>29</v>
      </c>
      <c r="B30" s="57" t="inlineStr">
        <is>
          <t>UKYT-25-001</t>
        </is>
      </c>
      <c r="C30" s="57" t="inlineStr">
        <is>
          <t>Robinson</t>
        </is>
      </c>
      <c r="D30" s="59" t="n">
        <v>46246</v>
      </c>
      <c r="E30" s="57" t="inlineStr">
        <is>
          <t>First</t>
        </is>
      </c>
      <c r="F30" s="57" t="n">
        <v>760</v>
      </c>
      <c r="G30" s="57" t="n"/>
      <c r="H30" s="57" t="n">
        <v>930</v>
      </c>
      <c r="I30" s="57" t="n"/>
      <c r="J30" s="57" t="n"/>
      <c r="K30" s="57" t="n"/>
      <c r="L30" s="57" t="inlineStr">
        <is>
          <t>25-01</t>
        </is>
      </c>
      <c r="M30" s="58" t="inlineStr">
        <is>
          <t>N/A</t>
        </is>
      </c>
    </row>
    <row r="31" ht="25" customHeight="1" s="55">
      <c r="A31" s="57" t="n">
        <v>30</v>
      </c>
      <c r="B31" s="57" t="inlineStr">
        <is>
          <t>NC25241G</t>
        </is>
      </c>
      <c r="C31" s="57" t="inlineStr">
        <is>
          <t>Robinson</t>
        </is>
      </c>
      <c r="D31" s="59" t="n">
        <v>46246</v>
      </c>
      <c r="E31" s="57" t="inlineStr">
        <is>
          <t>First</t>
        </is>
      </c>
      <c r="F31" s="57" t="n">
        <v>1795</v>
      </c>
      <c r="G31" s="57" t="n"/>
      <c r="H31" s="57" t="n">
        <v>1576</v>
      </c>
      <c r="I31" s="57" t="n"/>
      <c r="J31" s="57" t="n"/>
      <c r="K31" s="57" t="n"/>
      <c r="L31" s="57" t="inlineStr">
        <is>
          <t xml:space="preserve">NC25241G </t>
        </is>
      </c>
      <c r="M31" s="58" t="inlineStr">
        <is>
          <t>N/A</t>
        </is>
      </c>
    </row>
    <row r="32" ht="25" customHeight="1" s="55">
      <c r="A32" s="57" t="n">
        <v>31</v>
      </c>
      <c r="B32" s="57" t="inlineStr">
        <is>
          <t>UKYT-26-037</t>
        </is>
      </c>
      <c r="C32" s="57" t="inlineStr">
        <is>
          <t>Robinson</t>
        </is>
      </c>
      <c r="D32" s="59" t="n">
        <v>46246</v>
      </c>
      <c r="E32" s="57" t="inlineStr">
        <is>
          <t>First</t>
        </is>
      </c>
      <c r="F32" s="57" t="n">
        <v>701</v>
      </c>
      <c r="G32" s="57" t="n"/>
      <c r="H32" s="57" t="n">
        <v>953</v>
      </c>
      <c r="I32" s="57" t="n"/>
      <c r="J32" s="57" t="n"/>
      <c r="K32" s="57" t="n"/>
      <c r="L32" s="57" t="inlineStr">
        <is>
          <t>26-37</t>
        </is>
      </c>
      <c r="M32" s="58" t="inlineStr">
        <is>
          <t>N/A</t>
        </is>
      </c>
    </row>
    <row r="33" ht="25" customHeight="1" s="55">
      <c r="A33" s="57" t="n">
        <v>32</v>
      </c>
      <c r="B33" s="57" t="inlineStr">
        <is>
          <t>NC25231</t>
        </is>
      </c>
      <c r="C33" s="57" t="inlineStr">
        <is>
          <t>Robinson</t>
        </is>
      </c>
      <c r="D33" s="59" t="n">
        <v>46246</v>
      </c>
      <c r="E33" s="57" t="inlineStr">
        <is>
          <t>First</t>
        </is>
      </c>
      <c r="F33" s="57" t="n">
        <v>2412</v>
      </c>
      <c r="G33" s="57" t="n">
        <v>10</v>
      </c>
      <c r="H33" s="57" t="n">
        <v>2248</v>
      </c>
      <c r="I33" s="57" t="n">
        <v>9</v>
      </c>
      <c r="J33" s="57" t="n"/>
      <c r="K33" s="57" t="n"/>
      <c r="L33" s="57" t="inlineStr">
        <is>
          <t>NC25231</t>
        </is>
      </c>
      <c r="M33" s="58" t="inlineStr">
        <is>
          <t>N/A</t>
        </is>
      </c>
    </row>
    <row r="34" ht="25" customHeight="1" s="55">
      <c r="A34" s="57" t="n">
        <v>33</v>
      </c>
      <c r="B34" s="57" t="inlineStr">
        <is>
          <t>UKYT-26-022</t>
        </is>
      </c>
      <c r="C34" s="57" t="inlineStr">
        <is>
          <t>Robinson</t>
        </is>
      </c>
      <c r="D34" s="59" t="n">
        <v>46246</v>
      </c>
      <c r="E34" s="57" t="inlineStr">
        <is>
          <t>First</t>
        </is>
      </c>
      <c r="F34" s="57" t="n">
        <v>854</v>
      </c>
      <c r="G34" s="57" t="n">
        <v>2</v>
      </c>
      <c r="H34" s="57" t="n">
        <v>733</v>
      </c>
      <c r="I34" s="57" t="n">
        <v>3</v>
      </c>
      <c r="J34" s="57" t="n"/>
      <c r="K34" s="57" t="n"/>
      <c r="L34" s="57" t="inlineStr">
        <is>
          <t>26-22</t>
        </is>
      </c>
      <c r="M34" s="58" t="inlineStr">
        <is>
          <t>N/A</t>
        </is>
      </c>
    </row>
    <row r="35" ht="25" customHeight="1" s="55">
      <c r="A35" s="57" t="n">
        <v>34</v>
      </c>
      <c r="B35" s="57" t="inlineStr">
        <is>
          <t>UKYT-26-020</t>
        </is>
      </c>
      <c r="C35" s="57" t="inlineStr">
        <is>
          <t>Robinson</t>
        </is>
      </c>
      <c r="D35" s="59" t="n">
        <v>46246</v>
      </c>
      <c r="E35" s="57" t="inlineStr">
        <is>
          <t>First</t>
        </is>
      </c>
      <c r="F35" s="57" t="n">
        <v>217</v>
      </c>
      <c r="G35" s="57" t="n">
        <v>2</v>
      </c>
      <c r="H35" s="57" t="n">
        <v>1308</v>
      </c>
      <c r="I35" s="57" t="n">
        <v>6</v>
      </c>
      <c r="J35" s="57" t="n"/>
      <c r="K35" s="57" t="n"/>
      <c r="L35" s="57" t="inlineStr">
        <is>
          <t>26-20</t>
        </is>
      </c>
      <c r="M35" s="58" t="inlineStr">
        <is>
          <t>N/A</t>
        </is>
      </c>
    </row>
    <row r="36" ht="25" customHeight="1" s="55">
      <c r="A36" s="57" t="n">
        <v>35</v>
      </c>
      <c r="B36" s="57" t="inlineStr">
        <is>
          <t>UKYT-26-001</t>
        </is>
      </c>
      <c r="C36" s="57" t="inlineStr">
        <is>
          <t>Robinson</t>
        </is>
      </c>
      <c r="D36" s="59" t="n">
        <v>46246</v>
      </c>
      <c r="E36" s="57" t="inlineStr">
        <is>
          <t>First</t>
        </is>
      </c>
      <c r="F36" s="57" t="n">
        <v>552</v>
      </c>
      <c r="G36" s="57" t="n">
        <v>9</v>
      </c>
      <c r="H36" s="57" t="n">
        <v>977</v>
      </c>
      <c r="I36" s="57" t="n">
        <v>14</v>
      </c>
      <c r="J36" s="57" t="n"/>
      <c r="K36" s="57" t="n"/>
      <c r="L36" s="57" t="inlineStr">
        <is>
          <t>26-001</t>
        </is>
      </c>
      <c r="M36" s="58" t="inlineStr">
        <is>
          <t>N/A</t>
        </is>
      </c>
    </row>
    <row r="37" ht="25" customHeight="1" s="55">
      <c r="A37" s="57" t="n">
        <v>36</v>
      </c>
      <c r="B37" s="57" t="inlineStr">
        <is>
          <t>UKYT-26-030</t>
        </is>
      </c>
      <c r="C37" s="57" t="inlineStr">
        <is>
          <t>Robinson</t>
        </is>
      </c>
      <c r="D37" s="59" t="n">
        <v>46246</v>
      </c>
      <c r="E37" s="57" t="inlineStr">
        <is>
          <t>First</t>
        </is>
      </c>
      <c r="F37" s="57" t="n">
        <v>2812</v>
      </c>
      <c r="G37" s="57" t="n">
        <v>45</v>
      </c>
      <c r="H37" s="57" t="n">
        <v>609</v>
      </c>
      <c r="I37" s="57" t="n">
        <v>4</v>
      </c>
      <c r="J37" s="57" t="n"/>
      <c r="K37" s="57" t="n"/>
      <c r="L37" s="57" t="inlineStr">
        <is>
          <t>26-30</t>
        </is>
      </c>
      <c r="M37" s="58" t="inlineStr">
        <is>
          <t>N/A</t>
        </is>
      </c>
    </row>
    <row r="38" ht="25" customHeight="1" s="55">
      <c r="A38" s="57" t="n">
        <v>37</v>
      </c>
      <c r="B38" s="57" t="inlineStr">
        <is>
          <t>UKYT-26-023</t>
        </is>
      </c>
      <c r="C38" s="57" t="inlineStr">
        <is>
          <t>Robinson</t>
        </is>
      </c>
      <c r="D38" s="59" t="n">
        <v>46246</v>
      </c>
      <c r="E38" s="57" t="inlineStr">
        <is>
          <t>First</t>
        </is>
      </c>
      <c r="F38" s="57" t="n">
        <v>1200</v>
      </c>
      <c r="G38" s="57" t="n">
        <v>4</v>
      </c>
      <c r="H38" s="57" t="n">
        <v>1565</v>
      </c>
      <c r="I38" s="57" t="n">
        <v>6</v>
      </c>
      <c r="J38" s="57" t="n"/>
      <c r="K38" s="57" t="n"/>
      <c r="L38" s="57" t="inlineStr">
        <is>
          <t>26-23</t>
        </is>
      </c>
      <c r="M38" s="58" t="inlineStr">
        <is>
          <t>N/A</t>
        </is>
      </c>
    </row>
    <row r="39" ht="25" customHeight="1" s="55">
      <c r="A39" s="57" t="n">
        <v>38</v>
      </c>
      <c r="B39" s="57" t="inlineStr">
        <is>
          <t>UKYT-26-033</t>
        </is>
      </c>
      <c r="C39" s="57" t="inlineStr">
        <is>
          <t>Robinson</t>
        </is>
      </c>
      <c r="D39" s="59" t="n">
        <v>46246</v>
      </c>
      <c r="E39" s="57" t="inlineStr">
        <is>
          <t>First</t>
        </is>
      </c>
      <c r="F39" s="57" t="n">
        <v>1589</v>
      </c>
      <c r="G39" s="57" t="n">
        <v>9</v>
      </c>
      <c r="H39" s="57" t="n">
        <v>802</v>
      </c>
      <c r="I39" s="57" t="n">
        <v>5</v>
      </c>
      <c r="J39" s="57" t="n"/>
      <c r="K39" s="57" t="n"/>
      <c r="L39" s="57" t="inlineStr">
        <is>
          <t>26-33</t>
        </is>
      </c>
      <c r="M39" s="58" t="inlineStr">
        <is>
          <t>N/A</t>
        </is>
      </c>
    </row>
    <row r="40" ht="25" customHeight="1" s="55">
      <c r="A40" s="57" t="n">
        <v>39</v>
      </c>
      <c r="B40" s="57" t="inlineStr">
        <is>
          <t>UKYT-26-034</t>
        </is>
      </c>
      <c r="C40" s="57" t="inlineStr">
        <is>
          <t>Robinson</t>
        </is>
      </c>
      <c r="D40" s="59" t="n">
        <v>46246</v>
      </c>
      <c r="E40" s="57" t="inlineStr">
        <is>
          <t>First</t>
        </is>
      </c>
      <c r="F40" s="57" t="n">
        <v>1545</v>
      </c>
      <c r="G40" s="57" t="n">
        <v>12</v>
      </c>
      <c r="H40" s="57" t="n">
        <v>1765</v>
      </c>
      <c r="I40" s="57" t="n">
        <v>13</v>
      </c>
      <c r="J40" s="57" t="n"/>
      <c r="K40" s="57" t="n"/>
      <c r="L40" s="57" t="inlineStr">
        <is>
          <t>26-34</t>
        </is>
      </c>
      <c r="M40" s="58" t="inlineStr">
        <is>
          <t>N/A</t>
        </is>
      </c>
    </row>
    <row r="41" ht="25" customHeight="1" s="55">
      <c r="A41" s="57" t="n">
        <v>40</v>
      </c>
      <c r="B41" s="57" t="inlineStr">
        <is>
          <t>UKYT-26-013</t>
        </is>
      </c>
      <c r="C41" s="57" t="inlineStr">
        <is>
          <t>Robinson</t>
        </is>
      </c>
      <c r="D41" s="59" t="n">
        <v>46246</v>
      </c>
      <c r="E41" s="57" t="inlineStr">
        <is>
          <t>First</t>
        </is>
      </c>
      <c r="F41" s="57" t="n">
        <v>471</v>
      </c>
      <c r="G41" s="57" t="n">
        <v>2</v>
      </c>
      <c r="H41" s="57" t="n">
        <v>1498</v>
      </c>
      <c r="I41" s="57" t="n">
        <v>6</v>
      </c>
      <c r="J41" s="57" t="n"/>
      <c r="K41" s="57" t="n"/>
      <c r="L41" s="57" t="inlineStr">
        <is>
          <t>26-13</t>
        </is>
      </c>
      <c r="M41" s="58" t="inlineStr">
        <is>
          <t>N/A</t>
        </is>
      </c>
    </row>
    <row r="42" ht="25" customHeight="1" s="55">
      <c r="A42" s="57" t="n">
        <v>41</v>
      </c>
      <c r="B42" s="57" t="inlineStr">
        <is>
          <t>UKYT-26-029</t>
        </is>
      </c>
      <c r="C42" s="57" t="inlineStr">
        <is>
          <t>Robinson</t>
        </is>
      </c>
      <c r="D42" s="59" t="n">
        <v>46246</v>
      </c>
      <c r="E42" s="57" t="inlineStr">
        <is>
          <t>First</t>
        </is>
      </c>
      <c r="F42" s="57" t="n">
        <v>555</v>
      </c>
      <c r="G42" s="57" t="n">
        <v>4</v>
      </c>
      <c r="H42" s="57" t="n">
        <v>673</v>
      </c>
      <c r="I42" s="57" t="n">
        <v>6</v>
      </c>
      <c r="J42" s="57" t="n"/>
      <c r="K42" s="57" t="n"/>
      <c r="L42" s="57" t="inlineStr">
        <is>
          <t>26-29</t>
        </is>
      </c>
      <c r="M42" s="58" t="inlineStr">
        <is>
          <t>N/A</t>
        </is>
      </c>
    </row>
    <row r="43" ht="25" customHeight="1" s="55">
      <c r="A43" s="57" t="n">
        <v>42</v>
      </c>
      <c r="B43" s="57" t="inlineStr">
        <is>
          <t>UKYT-26-015</t>
        </is>
      </c>
      <c r="C43" s="57" t="inlineStr">
        <is>
          <t>Robinson</t>
        </is>
      </c>
      <c r="D43" s="59" t="n">
        <v>46246</v>
      </c>
      <c r="E43" s="57" t="inlineStr">
        <is>
          <t>First</t>
        </is>
      </c>
      <c r="F43" s="57" t="n">
        <v>1439</v>
      </c>
      <c r="G43" s="57" t="n">
        <v>6</v>
      </c>
      <c r="H43" s="57" t="n">
        <v>1329</v>
      </c>
      <c r="I43" s="57" t="n">
        <v>5</v>
      </c>
      <c r="J43" s="57" t="n"/>
      <c r="K43" s="57" t="n"/>
      <c r="L43" s="57" t="inlineStr">
        <is>
          <t>26-15</t>
        </is>
      </c>
      <c r="M43" s="58" t="inlineStr">
        <is>
          <t>N/A</t>
        </is>
      </c>
    </row>
    <row r="44" ht="25" customHeight="1" s="55">
      <c r="A44" s="57" t="n">
        <v>43</v>
      </c>
      <c r="B44" s="57" t="inlineStr">
        <is>
          <t>UKYT-26-006</t>
        </is>
      </c>
      <c r="C44" s="57" t="inlineStr">
        <is>
          <t>Robinson</t>
        </is>
      </c>
      <c r="D44" s="59" t="n">
        <v>46246</v>
      </c>
      <c r="E44" s="57" t="inlineStr">
        <is>
          <t>First</t>
        </is>
      </c>
      <c r="F44" s="57" t="n">
        <v>598</v>
      </c>
      <c r="G44" s="57" t="n">
        <v>41</v>
      </c>
      <c r="H44" s="57" t="n">
        <v>85</v>
      </c>
      <c r="I44" s="57" t="n">
        <v>7</v>
      </c>
      <c r="J44" s="57" t="n"/>
      <c r="K44" s="57" t="n"/>
      <c r="L44" s="57" t="inlineStr">
        <is>
          <t>26-006</t>
        </is>
      </c>
      <c r="M44" s="58" t="inlineStr">
        <is>
          <t>N/A</t>
        </is>
      </c>
    </row>
    <row r="45" ht="25" customHeight="1" s="55">
      <c r="A45" s="57" t="n">
        <v>44</v>
      </c>
      <c r="B45" s="57" t="inlineStr">
        <is>
          <t>UKYT-26-025</t>
        </is>
      </c>
      <c r="C45" s="57" t="inlineStr">
        <is>
          <t>Robinson</t>
        </is>
      </c>
      <c r="D45" s="59" t="n">
        <v>46246</v>
      </c>
      <c r="E45" s="57" t="inlineStr">
        <is>
          <t>First</t>
        </is>
      </c>
      <c r="F45" s="57" t="n">
        <v>432</v>
      </c>
      <c r="G45" s="57" t="n">
        <v>2</v>
      </c>
      <c r="H45" s="57" t="n">
        <v>700</v>
      </c>
      <c r="I45" s="57" t="n">
        <v>2</v>
      </c>
      <c r="J45" s="57" t="n"/>
      <c r="K45" s="57" t="n"/>
      <c r="L45" s="57" t="inlineStr">
        <is>
          <t>26-25</t>
        </is>
      </c>
      <c r="M45" s="58" t="inlineStr">
        <is>
          <t>N/A</t>
        </is>
      </c>
    </row>
    <row r="46" ht="25" customHeight="1" s="55">
      <c r="A46" s="57" t="n">
        <v>45</v>
      </c>
      <c r="B46" s="57" t="inlineStr">
        <is>
          <t>UKYT-26-032</t>
        </is>
      </c>
      <c r="C46" s="57" t="inlineStr">
        <is>
          <t>Robinson</t>
        </is>
      </c>
      <c r="D46" s="59" t="n">
        <v>46246</v>
      </c>
      <c r="E46" s="57" t="inlineStr">
        <is>
          <t>First</t>
        </is>
      </c>
      <c r="F46" s="57" t="n">
        <v>1592</v>
      </c>
      <c r="G46" s="57" t="n">
        <v>4</v>
      </c>
      <c r="H46" s="57" t="n">
        <v>922</v>
      </c>
      <c r="I46" s="57" t="n">
        <v>6</v>
      </c>
      <c r="J46" s="57" t="n"/>
      <c r="K46" s="57" t="n"/>
      <c r="L46" s="57" t="inlineStr">
        <is>
          <t>26-32</t>
        </is>
      </c>
      <c r="M46" s="58" t="inlineStr">
        <is>
          <t>N/A</t>
        </is>
      </c>
    </row>
    <row r="47" ht="25" customHeight="1" s="55">
      <c r="A47" s="57" t="n">
        <v>46</v>
      </c>
      <c r="B47" s="57" t="inlineStr">
        <is>
          <t>UKYT-26-019</t>
        </is>
      </c>
      <c r="C47" s="57" t="inlineStr">
        <is>
          <t>Robinson</t>
        </is>
      </c>
      <c r="D47" s="59" t="n">
        <v>46246</v>
      </c>
      <c r="E47" s="57" t="inlineStr">
        <is>
          <t>First</t>
        </is>
      </c>
      <c r="F47" s="57" t="n">
        <v>0</v>
      </c>
      <c r="G47" s="57" t="n">
        <v>0</v>
      </c>
      <c r="H47" s="57" t="n">
        <v>561</v>
      </c>
      <c r="I47" s="57" t="n">
        <v>2</v>
      </c>
      <c r="J47" s="57" t="n"/>
      <c r="K47" s="57" t="n"/>
      <c r="L47" s="57" t="inlineStr">
        <is>
          <t>26-19</t>
        </is>
      </c>
      <c r="M47" s="58" t="inlineStr">
        <is>
          <t>N/A</t>
        </is>
      </c>
    </row>
    <row r="48" ht="25" customHeight="1" s="55">
      <c r="A48" s="57" t="n">
        <v>47</v>
      </c>
      <c r="B48" s="57" t="inlineStr">
        <is>
          <t>UKYT-26-027</t>
        </is>
      </c>
      <c r="C48" s="57" t="inlineStr">
        <is>
          <t>Robinson</t>
        </is>
      </c>
      <c r="D48" s="59" t="n">
        <v>46246</v>
      </c>
      <c r="E48" s="57" t="inlineStr">
        <is>
          <t>First</t>
        </is>
      </c>
      <c r="F48" s="57" t="n">
        <v>343</v>
      </c>
      <c r="G48" s="57" t="n">
        <v>1</v>
      </c>
      <c r="H48" s="57" t="n">
        <v>1116</v>
      </c>
      <c r="I48" s="57" t="n">
        <v>4</v>
      </c>
      <c r="J48" s="57" t="n"/>
      <c r="K48" s="57" t="n"/>
      <c r="L48" s="57" t="inlineStr">
        <is>
          <t>26-27</t>
        </is>
      </c>
      <c r="M48" s="58" t="inlineStr">
        <is>
          <t>N/A</t>
        </is>
      </c>
    </row>
    <row r="49" ht="25" customHeight="1" s="55">
      <c r="A49" s="57" t="n">
        <v>48</v>
      </c>
      <c r="B49" s="57" t="inlineStr">
        <is>
          <t>UKYT-26-028</t>
        </is>
      </c>
      <c r="C49" s="57" t="inlineStr">
        <is>
          <t>Robinson</t>
        </is>
      </c>
      <c r="D49" s="59" t="n">
        <v>46246</v>
      </c>
      <c r="E49" s="57" t="inlineStr">
        <is>
          <t>First</t>
        </is>
      </c>
      <c r="F49" s="57" t="n">
        <v>2096</v>
      </c>
      <c r="G49" s="57" t="n">
        <v>9</v>
      </c>
      <c r="H49" s="57" t="n">
        <v>1065</v>
      </c>
      <c r="I49" s="57" t="n">
        <v>5</v>
      </c>
      <c r="J49" s="57" t="n"/>
      <c r="K49" s="57" t="n"/>
      <c r="L49" s="57" t="inlineStr">
        <is>
          <t>26-28</t>
        </is>
      </c>
      <c r="M49" s="58" t="inlineStr">
        <is>
          <t>N/A</t>
        </is>
      </c>
    </row>
    <row r="50" ht="25" customHeight="1" s="55">
      <c r="A50" s="57" t="n">
        <v>49</v>
      </c>
      <c r="B50" s="57" t="inlineStr">
        <is>
          <t>UKYT-26-026</t>
        </is>
      </c>
      <c r="C50" s="57" t="inlineStr">
        <is>
          <t>Robinson</t>
        </is>
      </c>
      <c r="D50" s="59" t="n">
        <v>46246</v>
      </c>
      <c r="E50" s="57" t="inlineStr">
        <is>
          <t>First</t>
        </is>
      </c>
      <c r="F50" s="57" t="n">
        <v>0</v>
      </c>
      <c r="G50" s="57" t="n">
        <v>0</v>
      </c>
      <c r="H50" s="57" t="n">
        <v>998</v>
      </c>
      <c r="I50" s="57" t="n">
        <v>4</v>
      </c>
      <c r="J50" s="57" t="n"/>
      <c r="K50" s="57" t="n"/>
      <c r="L50" s="57" t="inlineStr">
        <is>
          <t>26-26</t>
        </is>
      </c>
      <c r="M50" s="58" t="inlineStr">
        <is>
          <t>N/A</t>
        </is>
      </c>
    </row>
    <row r="51" ht="25" customHeight="1" s="55">
      <c r="A51" s="57" t="n">
        <v>50</v>
      </c>
      <c r="B51" s="57" t="inlineStr">
        <is>
          <t>UKYT-26-016</t>
        </is>
      </c>
      <c r="C51" s="57" t="inlineStr">
        <is>
          <t>Robinson</t>
        </is>
      </c>
      <c r="D51" s="59" t="n">
        <v>46246</v>
      </c>
      <c r="E51" s="57" t="inlineStr">
        <is>
          <t>First</t>
        </is>
      </c>
      <c r="F51" s="57" t="n">
        <v>1050</v>
      </c>
      <c r="G51" s="57" t="n">
        <v>3</v>
      </c>
      <c r="H51" s="57" t="n">
        <v>1646</v>
      </c>
      <c r="I51" s="57" t="n">
        <v>6</v>
      </c>
      <c r="J51" s="57" t="n"/>
      <c r="K51" s="57" t="n"/>
      <c r="L51" s="57" t="inlineStr">
        <is>
          <t>26-16</t>
        </is>
      </c>
      <c r="M51" s="58" t="inlineStr">
        <is>
          <t>N/A</t>
        </is>
      </c>
    </row>
    <row r="52" ht="25" customHeight="1" s="55">
      <c r="A52" s="57" t="n">
        <v>51</v>
      </c>
      <c r="B52" s="57" t="inlineStr">
        <is>
          <t>UKYT-26-024</t>
        </is>
      </c>
      <c r="C52" s="57" t="inlineStr">
        <is>
          <t>Robinson</t>
        </is>
      </c>
      <c r="D52" s="59" t="n">
        <v>46246</v>
      </c>
      <c r="E52" s="57" t="inlineStr">
        <is>
          <t>First</t>
        </is>
      </c>
      <c r="F52" s="57" t="n">
        <v>0</v>
      </c>
      <c r="G52" s="57" t="n">
        <v>0</v>
      </c>
      <c r="H52" s="57" t="n">
        <v>820</v>
      </c>
      <c r="I52" s="57" t="n">
        <v>2</v>
      </c>
      <c r="J52" s="57" t="n"/>
      <c r="K52" s="57" t="n"/>
      <c r="L52" s="57" t="inlineStr">
        <is>
          <t>26-24</t>
        </is>
      </c>
      <c r="M52" s="58" t="inlineStr">
        <is>
          <t>N/A</t>
        </is>
      </c>
    </row>
    <row r="53" ht="25" customHeight="1" s="55">
      <c r="A53" s="57" t="n">
        <v>52</v>
      </c>
      <c r="B53" s="57" t="inlineStr">
        <is>
          <t>UKYT-26-012</t>
        </is>
      </c>
      <c r="C53" s="57" t="inlineStr">
        <is>
          <t>Robinson</t>
        </is>
      </c>
      <c r="D53" s="59" t="n">
        <v>46246</v>
      </c>
      <c r="E53" s="57" t="inlineStr">
        <is>
          <t>First</t>
        </is>
      </c>
      <c r="F53" s="57" t="n">
        <v>4262</v>
      </c>
      <c r="G53" s="57" t="n">
        <v>14</v>
      </c>
      <c r="H53" s="57" t="n">
        <v>1872</v>
      </c>
      <c r="I53" s="57" t="n">
        <v>5</v>
      </c>
      <c r="J53" s="57" t="n"/>
      <c r="K53" s="57" t="n"/>
      <c r="L53" s="57" t="inlineStr">
        <is>
          <t>26-12</t>
        </is>
      </c>
      <c r="M53" s="58" t="inlineStr">
        <is>
          <t>N/A</t>
        </is>
      </c>
    </row>
    <row r="54" ht="25" customHeight="1" s="55">
      <c r="A54" s="57" t="n">
        <v>53</v>
      </c>
      <c r="B54" s="57" t="inlineStr">
        <is>
          <t>UKYT-26-011</t>
        </is>
      </c>
      <c r="C54" s="57" t="inlineStr">
        <is>
          <t>Robinson</t>
        </is>
      </c>
      <c r="D54" s="59" t="n">
        <v>46246</v>
      </c>
      <c r="E54" s="57" t="inlineStr">
        <is>
          <t>First</t>
        </is>
      </c>
      <c r="F54" s="57" t="n">
        <v>2690</v>
      </c>
      <c r="G54" s="57" t="n">
        <v>10</v>
      </c>
      <c r="H54" s="57" t="n">
        <v>1728</v>
      </c>
      <c r="I54" s="57" t="n">
        <v>6</v>
      </c>
      <c r="J54" s="57" t="n"/>
      <c r="K54" s="57" t="n"/>
      <c r="L54" s="57" t="inlineStr">
        <is>
          <t>26-11</t>
        </is>
      </c>
      <c r="M54" s="58" t="inlineStr">
        <is>
          <t>N/A</t>
        </is>
      </c>
    </row>
    <row r="55" ht="25" customHeight="1" s="55">
      <c r="A55" s="57" t="n">
        <v>54</v>
      </c>
      <c r="B55" s="57" t="inlineStr">
        <is>
          <t>NC25205G</t>
        </is>
      </c>
      <c r="C55" s="57" t="inlineStr">
        <is>
          <t>Robinson</t>
        </is>
      </c>
      <c r="D55" s="59" t="n">
        <v>46246</v>
      </c>
      <c r="E55" s="57" t="inlineStr">
        <is>
          <t>First</t>
        </is>
      </c>
      <c r="F55" s="57" t="n"/>
      <c r="G55" s="57" t="n">
        <v>8</v>
      </c>
      <c r="H55" s="57" t="n"/>
      <c r="I55" s="57" t="n">
        <v>10</v>
      </c>
      <c r="J55" s="57" t="n"/>
      <c r="K55" s="57" t="n">
        <v>4891</v>
      </c>
      <c r="L55" s="57" t="inlineStr">
        <is>
          <t>NC25205G</t>
        </is>
      </c>
      <c r="M55" s="58" t="inlineStr">
        <is>
          <t>N/A</t>
        </is>
      </c>
    </row>
    <row r="56" ht="25" customHeight="1" s="55">
      <c r="A56" s="57" t="n">
        <v>55</v>
      </c>
      <c r="B56" s="57" t="inlineStr">
        <is>
          <t>NC25212</t>
        </is>
      </c>
      <c r="C56" s="57" t="inlineStr">
        <is>
          <t>Robinson</t>
        </is>
      </c>
      <c r="D56" s="59" t="n">
        <v>46246</v>
      </c>
      <c r="E56" s="57" t="inlineStr">
        <is>
          <t>First</t>
        </is>
      </c>
      <c r="F56" s="57" t="n"/>
      <c r="G56" s="57" t="n">
        <v>5</v>
      </c>
      <c r="H56" s="57" t="n"/>
      <c r="I56" s="57" t="n">
        <v>6</v>
      </c>
      <c r="J56" s="57" t="n"/>
      <c r="K56" s="57" t="n">
        <v>4620</v>
      </c>
      <c r="L56" s="57" t="inlineStr">
        <is>
          <t>NC25212</t>
        </is>
      </c>
      <c r="M56" s="58" t="inlineStr">
        <is>
          <t>N/A</t>
        </is>
      </c>
    </row>
    <row r="57" ht="25" customHeight="1" s="55">
      <c r="A57" s="57" t="n">
        <v>56</v>
      </c>
      <c r="B57" s="57" t="inlineStr">
        <is>
          <t>NC25202</t>
        </is>
      </c>
      <c r="C57" s="57" t="inlineStr">
        <is>
          <t>Robinson</t>
        </is>
      </c>
      <c r="D57" s="59" t="n">
        <v>46246</v>
      </c>
      <c r="E57" s="57" t="inlineStr">
        <is>
          <t>First</t>
        </is>
      </c>
      <c r="F57" s="57" t="n"/>
      <c r="G57" s="57" t="n">
        <v>16</v>
      </c>
      <c r="H57" s="57" t="n"/>
      <c r="I57" s="57" t="n">
        <v>8</v>
      </c>
      <c r="J57" s="57" t="n"/>
      <c r="K57" s="57" t="n">
        <v>5595</v>
      </c>
      <c r="L57" s="57" t="inlineStr">
        <is>
          <t>NC25202</t>
        </is>
      </c>
      <c r="M57" s="58" t="inlineStr">
        <is>
          <t>N/A</t>
        </is>
      </c>
    </row>
    <row r="58" ht="25" customHeight="1" s="55">
      <c r="A58" s="57" t="n">
        <v>57</v>
      </c>
      <c r="B58" s="57" t="inlineStr">
        <is>
          <t>NC24271G</t>
        </is>
      </c>
      <c r="C58" s="57" t="inlineStr">
        <is>
          <t>Robinson</t>
        </is>
      </c>
      <c r="D58" s="59" t="n">
        <v>46246</v>
      </c>
      <c r="E58" s="57" t="inlineStr">
        <is>
          <t>First</t>
        </is>
      </c>
      <c r="F58" s="57" t="n"/>
      <c r="G58" s="57" t="n">
        <v>11</v>
      </c>
      <c r="H58" s="57" t="n"/>
      <c r="I58" s="57" t="n">
        <v>8</v>
      </c>
      <c r="J58" s="57" t="n"/>
      <c r="K58" s="57" t="n">
        <v>3567</v>
      </c>
      <c r="L58" s="57" t="inlineStr">
        <is>
          <t>NC 24271 G</t>
        </is>
      </c>
      <c r="M58" s="58" t="inlineStr">
        <is>
          <t>N/A</t>
        </is>
      </c>
    </row>
    <row r="59" ht="25" customHeight="1" s="55">
      <c r="A59" s="57" t="n">
        <v>58</v>
      </c>
      <c r="B59" s="57" t="inlineStr">
        <is>
          <t>NC25209G</t>
        </is>
      </c>
      <c r="C59" s="57" t="inlineStr">
        <is>
          <t>Robinson</t>
        </is>
      </c>
      <c r="D59" s="59" t="n">
        <v>46246</v>
      </c>
      <c r="E59" s="57" t="inlineStr">
        <is>
          <t>First</t>
        </is>
      </c>
      <c r="F59" s="57" t="n"/>
      <c r="G59" s="57" t="n">
        <v>10</v>
      </c>
      <c r="H59" s="57" t="n"/>
      <c r="I59" s="57" t="n">
        <v>8</v>
      </c>
      <c r="J59" s="57" t="n"/>
      <c r="K59" s="57" t="n">
        <v>4268</v>
      </c>
      <c r="L59" s="57" t="inlineStr">
        <is>
          <t>NC25209G</t>
        </is>
      </c>
      <c r="M59" s="58" t="inlineStr">
        <is>
          <t>N/A</t>
        </is>
      </c>
    </row>
    <row r="60" ht="25" customHeight="1" s="55">
      <c r="A60" s="57" t="n">
        <v>59</v>
      </c>
      <c r="B60" s="57" t="inlineStr">
        <is>
          <t>NC25207</t>
        </is>
      </c>
      <c r="C60" s="57" t="inlineStr">
        <is>
          <t>Robinson</t>
        </is>
      </c>
      <c r="D60" s="59" t="n">
        <v>46246</v>
      </c>
      <c r="E60" s="57" t="inlineStr">
        <is>
          <t>First</t>
        </is>
      </c>
      <c r="F60" s="57" t="n"/>
      <c r="G60" s="57" t="n">
        <v>6</v>
      </c>
      <c r="H60" s="57" t="n"/>
      <c r="I60" s="57" t="n">
        <v>6</v>
      </c>
      <c r="J60" s="57" t="n"/>
      <c r="K60" s="57" t="n">
        <v>3277</v>
      </c>
      <c r="L60" s="57" t="inlineStr">
        <is>
          <t>NC25207</t>
        </is>
      </c>
      <c r="M60" s="58" t="inlineStr">
        <is>
          <t>N/A</t>
        </is>
      </c>
    </row>
    <row r="61" ht="25" customHeight="1" s="55">
      <c r="A61" s="57" t="n">
        <v>60</v>
      </c>
      <c r="B61" s="57" t="inlineStr">
        <is>
          <t>NC25230G</t>
        </is>
      </c>
      <c r="C61" s="57" t="inlineStr">
        <is>
          <t>Robinson</t>
        </is>
      </c>
      <c r="D61" s="59" t="n">
        <v>46246</v>
      </c>
      <c r="E61" s="57" t="inlineStr">
        <is>
          <t>First</t>
        </is>
      </c>
      <c r="F61" s="57" t="n"/>
      <c r="G61" s="57" t="n">
        <v>2</v>
      </c>
      <c r="H61" s="57" t="n"/>
      <c r="I61" s="57" t="n">
        <v>11</v>
      </c>
      <c r="J61" s="57" t="n"/>
      <c r="K61" s="57" t="n">
        <v>2904</v>
      </c>
      <c r="L61" s="57" t="inlineStr">
        <is>
          <t>NC25230G</t>
        </is>
      </c>
      <c r="M61" s="58" t="inlineStr">
        <is>
          <t>N/A</t>
        </is>
      </c>
    </row>
    <row r="62" ht="25" customHeight="1" s="55">
      <c r="A62" s="57" t="n">
        <v>61</v>
      </c>
      <c r="B62" s="57" t="inlineStr">
        <is>
          <t>NC25217</t>
        </is>
      </c>
      <c r="C62" s="57" t="inlineStr">
        <is>
          <t>Robinson</t>
        </is>
      </c>
      <c r="D62" s="59" t="n">
        <v>46246</v>
      </c>
      <c r="E62" s="57" t="inlineStr">
        <is>
          <t>First</t>
        </is>
      </c>
      <c r="F62" s="57" t="n"/>
      <c r="G62" s="57" t="n">
        <v>14</v>
      </c>
      <c r="H62" s="57" t="n"/>
      <c r="I62" s="57" t="n">
        <v>11</v>
      </c>
      <c r="J62" s="57" t="n"/>
      <c r="K62" s="57" t="n">
        <v>6632</v>
      </c>
      <c r="L62" s="57" t="inlineStr">
        <is>
          <t>NC25217</t>
        </is>
      </c>
      <c r="M62" s="58" t="inlineStr">
        <is>
          <t>N/A</t>
        </is>
      </c>
    </row>
    <row r="63" ht="25" customHeight="1" s="55">
      <c r="A63" s="57" t="n">
        <v>62</v>
      </c>
      <c r="B63" s="57" t="inlineStr">
        <is>
          <t>NC252G</t>
        </is>
      </c>
      <c r="C63" s="57" t="inlineStr">
        <is>
          <t>Robinson</t>
        </is>
      </c>
      <c r="D63" s="59" t="n">
        <v>46246</v>
      </c>
      <c r="E63" s="57" t="inlineStr">
        <is>
          <t>First</t>
        </is>
      </c>
      <c r="F63" s="57" t="n"/>
      <c r="G63" s="57" t="n">
        <v>9</v>
      </c>
      <c r="H63" s="57" t="n"/>
      <c r="I63" s="57" t="n">
        <v>10</v>
      </c>
      <c r="J63" s="57" t="n"/>
      <c r="K63" s="57" t="n">
        <v>3701</v>
      </c>
      <c r="L63" s="57" t="inlineStr">
        <is>
          <t>252G</t>
        </is>
      </c>
      <c r="M63" s="58" t="inlineStr">
        <is>
          <t>N/A</t>
        </is>
      </c>
    </row>
    <row r="64" ht="25" customHeight="1" s="55">
      <c r="A64" s="57" t="n">
        <v>63</v>
      </c>
      <c r="B64" s="57" t="inlineStr">
        <is>
          <t>NC23926G</t>
        </is>
      </c>
      <c r="C64" s="57" t="inlineStr">
        <is>
          <t>Robinson</t>
        </is>
      </c>
      <c r="D64" s="59" t="n">
        <v>46246</v>
      </c>
      <c r="E64" s="57" t="inlineStr">
        <is>
          <t>First</t>
        </is>
      </c>
      <c r="F64" s="57" t="n"/>
      <c r="G64" s="57" t="n">
        <v>0</v>
      </c>
      <c r="H64" s="57" t="n"/>
      <c r="I64" s="57" t="n">
        <v>5</v>
      </c>
      <c r="J64" s="57" t="n"/>
      <c r="K64" s="57" t="n">
        <v>2171</v>
      </c>
      <c r="L64" s="57" t="inlineStr">
        <is>
          <t>NC23926G</t>
        </is>
      </c>
      <c r="M64" s="58" t="inlineStr">
        <is>
          <t>N/A</t>
        </is>
      </c>
    </row>
    <row r="65" ht="25" customHeight="1" s="55">
      <c r="A65" s="57" t="n">
        <v>64</v>
      </c>
      <c r="B65" s="57" t="inlineStr">
        <is>
          <t>NC25210G</t>
        </is>
      </c>
      <c r="C65" s="57" t="inlineStr">
        <is>
          <t>Robinson</t>
        </is>
      </c>
      <c r="D65" s="59" t="n">
        <v>46246</v>
      </c>
      <c r="E65" s="57" t="inlineStr">
        <is>
          <t>First</t>
        </is>
      </c>
      <c r="F65" s="57" t="n"/>
      <c r="G65" s="57" t="n">
        <v>9</v>
      </c>
      <c r="H65" s="57" t="n"/>
      <c r="I65" s="57" t="n">
        <v>9</v>
      </c>
      <c r="J65" s="57" t="n"/>
      <c r="K65" s="57" t="n">
        <v>6186</v>
      </c>
      <c r="L65" s="57" t="inlineStr">
        <is>
          <t xml:space="preserve">NC25210G </t>
        </is>
      </c>
      <c r="M65" s="58" t="inlineStr">
        <is>
          <t>N/A</t>
        </is>
      </c>
    </row>
    <row r="66" ht="25" customHeight="1" s="55">
      <c r="A66" s="57" t="n">
        <v>65</v>
      </c>
      <c r="B66" s="57" t="inlineStr">
        <is>
          <t>NC25208</t>
        </is>
      </c>
      <c r="C66" s="57" t="inlineStr">
        <is>
          <t>Robinson</t>
        </is>
      </c>
      <c r="D66" s="59" t="n">
        <v>46246</v>
      </c>
      <c r="E66" s="57" t="inlineStr">
        <is>
          <t>First</t>
        </is>
      </c>
      <c r="F66" s="57" t="n"/>
      <c r="G66" s="57" t="n">
        <v>11</v>
      </c>
      <c r="H66" s="57" t="n"/>
      <c r="I66" s="57" t="n">
        <v>4</v>
      </c>
      <c r="J66" s="57" t="n"/>
      <c r="K66" s="57" t="n">
        <v>3874</v>
      </c>
      <c r="L66" s="57" t="inlineStr">
        <is>
          <t>NC25208</t>
        </is>
      </c>
      <c r="M66" s="58" t="inlineStr">
        <is>
          <t>N/A</t>
        </is>
      </c>
    </row>
    <row r="67" ht="25" customHeight="1" s="55">
      <c r="A67" s="57" t="n">
        <v>66</v>
      </c>
      <c r="B67" s="57" t="inlineStr">
        <is>
          <t>NC25311G</t>
        </is>
      </c>
      <c r="C67" s="57" t="inlineStr">
        <is>
          <t>Robinson</t>
        </is>
      </c>
      <c r="D67" s="59" t="n">
        <v>46246</v>
      </c>
      <c r="E67" s="57" t="inlineStr">
        <is>
          <t>First</t>
        </is>
      </c>
      <c r="F67" s="57" t="n"/>
      <c r="G67" s="57" t="n">
        <v>3</v>
      </c>
      <c r="H67" s="57" t="n"/>
      <c r="I67" s="57" t="n">
        <v>4</v>
      </c>
      <c r="J67" s="57" t="n"/>
      <c r="K67" s="57" t="n">
        <v>1555</v>
      </c>
      <c r="L67" s="57" t="inlineStr">
        <is>
          <t>NC25311G</t>
        </is>
      </c>
      <c r="M67" s="58" t="inlineStr">
        <is>
          <t>N/A</t>
        </is>
      </c>
    </row>
    <row r="68" ht="25" customHeight="1" s="55">
      <c r="A68" s="57" t="n">
        <v>67</v>
      </c>
      <c r="B68" s="57" t="inlineStr">
        <is>
          <t>NC25203</t>
        </is>
      </c>
      <c r="C68" s="57" t="inlineStr">
        <is>
          <t>Robinson</t>
        </is>
      </c>
      <c r="D68" s="59" t="n">
        <v>46246</v>
      </c>
      <c r="E68" s="57" t="inlineStr">
        <is>
          <t>First</t>
        </is>
      </c>
      <c r="F68" s="57" t="n"/>
      <c r="G68" s="57" t="n">
        <v>2</v>
      </c>
      <c r="H68" s="57" t="n"/>
      <c r="I68" s="57" t="n">
        <v>2</v>
      </c>
      <c r="J68" s="57" t="n"/>
      <c r="K68" s="57" t="n">
        <v>957</v>
      </c>
      <c r="L68" s="57" t="inlineStr">
        <is>
          <t>NC25203</t>
        </is>
      </c>
      <c r="M68" s="58" t="inlineStr">
        <is>
          <t>N/A</t>
        </is>
      </c>
    </row>
    <row r="69" ht="25" customHeight="1" s="55">
      <c r="A69" s="57" t="n">
        <v>68</v>
      </c>
      <c r="B69" s="57" t="inlineStr">
        <is>
          <t>NC25218G</t>
        </is>
      </c>
      <c r="C69" s="57" t="inlineStr">
        <is>
          <t>Robinson</t>
        </is>
      </c>
      <c r="D69" s="59" t="n">
        <v>46246</v>
      </c>
      <c r="E69" s="57" t="inlineStr">
        <is>
          <t>First</t>
        </is>
      </c>
      <c r="F69" s="57" t="n">
        <v>2876</v>
      </c>
      <c r="G69" s="57" t="n">
        <v>9</v>
      </c>
      <c r="H69" s="57" t="n"/>
      <c r="I69" s="57" t="n">
        <v>11</v>
      </c>
      <c r="J69" s="57" t="n"/>
      <c r="K69" s="57" t="n">
        <v>5542</v>
      </c>
      <c r="L69" s="57" t="inlineStr">
        <is>
          <t>25218G</t>
        </is>
      </c>
      <c r="M69" s="58" t="inlineStr">
        <is>
          <t>N/A</t>
        </is>
      </c>
    </row>
    <row r="70" ht="25" customHeight="1" s="55">
      <c r="A70" s="57" t="n">
        <v>69</v>
      </c>
      <c r="B70" s="57" t="inlineStr">
        <is>
          <t>Mt. Girl</t>
        </is>
      </c>
      <c r="C70" s="57" t="inlineStr">
        <is>
          <t>Robinson</t>
        </is>
      </c>
      <c r="D70" s="59" t="n">
        <v>46246</v>
      </c>
      <c r="E70" s="57" t="inlineStr">
        <is>
          <t>First</t>
        </is>
      </c>
      <c r="F70" s="57" t="n">
        <v>1371</v>
      </c>
      <c r="G70" s="57" t="n">
        <v>5</v>
      </c>
      <c r="H70" s="57" t="n"/>
      <c r="I70" s="57" t="n">
        <v>4</v>
      </c>
      <c r="J70" s="57" t="n"/>
      <c r="K70" s="57" t="n">
        <v>2464</v>
      </c>
      <c r="L70" s="57" t="inlineStr">
        <is>
          <t>MT GIRL</t>
        </is>
      </c>
      <c r="M70" s="58" t="inlineStr">
        <is>
          <t>N/A</t>
        </is>
      </c>
    </row>
    <row r="71" ht="25" customHeight="1" s="55">
      <c r="A71" s="57" t="n">
        <v>70</v>
      </c>
      <c r="B71" s="57" t="inlineStr">
        <is>
          <t>NC255G</t>
        </is>
      </c>
      <c r="C71" s="57" t="inlineStr">
        <is>
          <t>Robinson</t>
        </is>
      </c>
      <c r="D71" s="59" t="n">
        <v>46246</v>
      </c>
      <c r="E71" s="57" t="inlineStr">
        <is>
          <t>First</t>
        </is>
      </c>
      <c r="F71" s="57" t="n">
        <v>1471</v>
      </c>
      <c r="G71" s="57" t="n">
        <v>7</v>
      </c>
      <c r="H71" s="57" t="n"/>
      <c r="I71" s="57" t="n">
        <v>14</v>
      </c>
      <c r="J71" s="57" t="n"/>
      <c r="K71" s="57" t="n">
        <v>4340</v>
      </c>
      <c r="L71" s="57" t="inlineStr">
        <is>
          <t>255G</t>
        </is>
      </c>
      <c r="M71" s="58" t="inlineStr">
        <is>
          <t>N/A</t>
        </is>
      </c>
    </row>
    <row r="72" ht="25" customHeight="1" s="55">
      <c r="A72" s="57" t="n">
        <v>71</v>
      </c>
      <c r="B72" s="57" t="inlineStr">
        <is>
          <t>Mt. Heritage</t>
        </is>
      </c>
      <c r="C72" s="57" t="inlineStr">
        <is>
          <t>Robinson</t>
        </is>
      </c>
      <c r="D72" s="59" t="n">
        <v>46246</v>
      </c>
      <c r="E72" s="57" t="inlineStr">
        <is>
          <t>First</t>
        </is>
      </c>
      <c r="F72" s="57" t="n">
        <v>1053</v>
      </c>
      <c r="G72" s="57" t="n">
        <v>3</v>
      </c>
      <c r="H72" s="57" t="n"/>
      <c r="I72" s="57" t="n">
        <v>3</v>
      </c>
      <c r="J72" s="57" t="n"/>
      <c r="K72" s="57" t="n">
        <v>1731</v>
      </c>
      <c r="L72" s="57" t="inlineStr">
        <is>
          <t xml:space="preserve">MOUNTAIN HERITAGE </t>
        </is>
      </c>
      <c r="M72" s="58" t="inlineStr">
        <is>
          <t>N/A</t>
        </is>
      </c>
    </row>
    <row r="73" ht="25" customHeight="1" s="55">
      <c r="A73" s="57" t="n">
        <v>72</v>
      </c>
      <c r="B73" s="57" t="inlineStr">
        <is>
          <t>Mt. Gem</t>
        </is>
      </c>
      <c r="C73" s="57" t="inlineStr">
        <is>
          <t>Robinson</t>
        </is>
      </c>
      <c r="D73" s="59" t="n">
        <v>46246</v>
      </c>
      <c r="E73" s="57" t="inlineStr">
        <is>
          <t>First</t>
        </is>
      </c>
      <c r="F73" s="57" t="n"/>
      <c r="G73" s="57" t="n">
        <v>2</v>
      </c>
      <c r="H73" s="57" t="n"/>
      <c r="I73" s="57" t="n">
        <v>0</v>
      </c>
      <c r="J73" s="57" t="n"/>
      <c r="K73" s="57" t="n">
        <v>651</v>
      </c>
      <c r="L73" s="57" t="inlineStr">
        <is>
          <t>MOUNTAIN GEM</t>
        </is>
      </c>
      <c r="M73" s="58" t="inlineStr">
        <is>
          <t>N/A</t>
        </is>
      </c>
    </row>
    <row r="74" ht="25" customHeight="1" s="55">
      <c r="A74" s="57" t="n">
        <v>73</v>
      </c>
      <c r="B74" s="57" t="inlineStr">
        <is>
          <t>NC25317G</t>
        </is>
      </c>
      <c r="C74" s="57" t="inlineStr">
        <is>
          <t>Robinson</t>
        </is>
      </c>
      <c r="D74" s="59" t="n">
        <v>46246</v>
      </c>
      <c r="E74" s="57" t="inlineStr">
        <is>
          <t>First</t>
        </is>
      </c>
      <c r="F74" s="57" t="n">
        <v>1400</v>
      </c>
      <c r="G74" s="57" t="n">
        <v>8</v>
      </c>
      <c r="H74" s="57" t="n"/>
      <c r="I74" s="57" t="n">
        <v>7</v>
      </c>
      <c r="J74" s="57" t="n"/>
      <c r="K74" s="57" t="n">
        <v>2739</v>
      </c>
      <c r="L74" s="57" t="inlineStr">
        <is>
          <t>NC25317G</t>
        </is>
      </c>
      <c r="M74" s="58" t="inlineStr">
        <is>
          <t>N/A</t>
        </is>
      </c>
    </row>
    <row r="75" ht="25" customHeight="1" s="55">
      <c r="A75" s="57" t="n">
        <v>74</v>
      </c>
      <c r="B75" s="57" t="inlineStr">
        <is>
          <t>NC261G</t>
        </is>
      </c>
      <c r="C75" s="57" t="inlineStr">
        <is>
          <t>Robinson</t>
        </is>
      </c>
      <c r="D75" s="59" t="n">
        <v>46246</v>
      </c>
      <c r="E75" s="57" t="inlineStr">
        <is>
          <t>First</t>
        </is>
      </c>
      <c r="F75" s="57" t="n">
        <v>673</v>
      </c>
      <c r="G75" s="57" t="n">
        <v>3</v>
      </c>
      <c r="H75" s="57" t="n"/>
      <c r="I75" s="57" t="n">
        <v>6</v>
      </c>
      <c r="J75" s="57" t="n"/>
      <c r="K75" s="57" t="n">
        <v>2065</v>
      </c>
      <c r="L75" s="57" t="inlineStr">
        <is>
          <t>261G</t>
        </is>
      </c>
      <c r="M75" s="58" t="inlineStr">
        <is>
          <t>N/A</t>
        </is>
      </c>
    </row>
    <row r="76" ht="25" customHeight="1" s="55">
      <c r="A76" s="57" t="n">
        <v>75</v>
      </c>
      <c r="B76" s="57" t="inlineStr">
        <is>
          <t>NC25306G</t>
        </is>
      </c>
      <c r="C76" s="57" t="inlineStr">
        <is>
          <t>Robinson</t>
        </is>
      </c>
      <c r="D76" s="59" t="n">
        <v>46246</v>
      </c>
      <c r="E76" s="57" t="inlineStr">
        <is>
          <t>First</t>
        </is>
      </c>
      <c r="F76" s="57" t="n">
        <v>2399</v>
      </c>
      <c r="G76" s="57" t="n">
        <v>12</v>
      </c>
      <c r="H76" s="57" t="n"/>
      <c r="I76" s="57" t="n">
        <v>5</v>
      </c>
      <c r="J76" s="57" t="n"/>
      <c r="K76" s="57" t="n">
        <v>3044</v>
      </c>
      <c r="L76" s="57" t="inlineStr">
        <is>
          <t>25306G</t>
        </is>
      </c>
      <c r="M76" s="58" t="inlineStr">
        <is>
          <t>N/A</t>
        </is>
      </c>
    </row>
    <row r="77" ht="25" customHeight="1" s="55">
      <c r="A77" s="57" t="n">
        <v>76</v>
      </c>
      <c r="B77" s="57" t="inlineStr">
        <is>
          <t>NC263G</t>
        </is>
      </c>
      <c r="C77" s="57" t="inlineStr">
        <is>
          <t>Robinson</t>
        </is>
      </c>
      <c r="D77" s="59" t="n">
        <v>46246</v>
      </c>
      <c r="E77" s="57" t="inlineStr">
        <is>
          <t>First</t>
        </is>
      </c>
      <c r="F77" s="57" t="n">
        <v>709</v>
      </c>
      <c r="G77" s="57" t="n">
        <v>3</v>
      </c>
      <c r="H77" s="57" t="n"/>
      <c r="I77" s="57" t="n">
        <v>8</v>
      </c>
      <c r="J77" s="57" t="n"/>
      <c r="K77" s="57" t="n">
        <v>4825</v>
      </c>
      <c r="L77" s="57" t="inlineStr">
        <is>
          <t>263G</t>
        </is>
      </c>
      <c r="M77" s="58" t="inlineStr">
        <is>
          <t>N/A</t>
        </is>
      </c>
    </row>
    <row r="78" ht="25" customHeight="1" s="55">
      <c r="A78" s="57" t="n">
        <v>77</v>
      </c>
      <c r="B78" s="57" t="inlineStr">
        <is>
          <t>NC264G</t>
        </is>
      </c>
      <c r="C78" s="57" t="inlineStr">
        <is>
          <t>Robinson</t>
        </is>
      </c>
      <c r="D78" s="59" t="n">
        <v>46246</v>
      </c>
      <c r="E78" s="57" t="inlineStr">
        <is>
          <t>First</t>
        </is>
      </c>
      <c r="F78" s="57" t="n">
        <v>3678</v>
      </c>
      <c r="G78" s="57" t="n">
        <v>12</v>
      </c>
      <c r="H78" s="57" t="n"/>
      <c r="I78" s="57" t="n">
        <v>10</v>
      </c>
      <c r="J78" s="57" t="n"/>
      <c r="K78" s="57" t="n">
        <v>7153</v>
      </c>
      <c r="L78" s="57" t="inlineStr">
        <is>
          <t>264G</t>
        </is>
      </c>
      <c r="M78" s="58" t="inlineStr">
        <is>
          <t>N/A</t>
        </is>
      </c>
    </row>
    <row r="79" ht="25" customHeight="1" s="55">
      <c r="A79" s="57" t="n">
        <v>78</v>
      </c>
      <c r="B79" s="57" t="inlineStr">
        <is>
          <t>NC262G</t>
        </is>
      </c>
      <c r="C79" s="57" t="inlineStr">
        <is>
          <t>Robinson</t>
        </is>
      </c>
      <c r="D79" s="59" t="n">
        <v>46246</v>
      </c>
      <c r="E79" s="57" t="inlineStr">
        <is>
          <t>First</t>
        </is>
      </c>
      <c r="F79" s="57" t="n">
        <v>1385</v>
      </c>
      <c r="G79" s="57" t="n">
        <v>5</v>
      </c>
      <c r="H79" s="57" t="n"/>
      <c r="I79" s="57" t="n">
        <v>5</v>
      </c>
      <c r="J79" s="57" t="n"/>
      <c r="K79" s="57" t="n">
        <v>3329</v>
      </c>
      <c r="L79" s="57" t="inlineStr">
        <is>
          <t>262G</t>
        </is>
      </c>
      <c r="M79" s="58" t="inlineStr">
        <is>
          <t>N/A</t>
        </is>
      </c>
    </row>
    <row r="80" ht="25" customHeight="1" s="55">
      <c r="A80" s="57" t="n">
        <v>79</v>
      </c>
      <c r="B80" s="57" t="inlineStr">
        <is>
          <t>NC23706G</t>
        </is>
      </c>
      <c r="C80" s="57" t="inlineStr">
        <is>
          <t>Robinson</t>
        </is>
      </c>
      <c r="D80" s="59" t="n">
        <v>46246</v>
      </c>
      <c r="E80" s="57" t="inlineStr">
        <is>
          <t>First</t>
        </is>
      </c>
      <c r="F80" s="57" t="n">
        <v>0</v>
      </c>
      <c r="G80" s="57" t="n">
        <v>0</v>
      </c>
      <c r="H80" s="57" t="n">
        <v>0</v>
      </c>
      <c r="I80" s="57" t="n">
        <v>6</v>
      </c>
      <c r="J80" s="57" t="n"/>
      <c r="K80" s="57" t="n">
        <v>2083</v>
      </c>
      <c r="L80" s="57" t="inlineStr">
        <is>
          <t>NC23706G</t>
        </is>
      </c>
      <c r="M80" s="58" t="inlineStr">
        <is>
          <t>N/A</t>
        </is>
      </c>
    </row>
    <row r="81" ht="25" customHeight="1" s="55">
      <c r="A81" s="57" t="n">
        <v>80</v>
      </c>
      <c r="B81" s="57" t="inlineStr">
        <is>
          <t>NC25315G</t>
        </is>
      </c>
      <c r="C81" s="57" t="inlineStr">
        <is>
          <t>Robinson</t>
        </is>
      </c>
      <c r="D81" s="59" t="n">
        <v>46246</v>
      </c>
      <c r="E81" s="57" t="inlineStr">
        <is>
          <t>First</t>
        </is>
      </c>
      <c r="F81" s="57" t="n">
        <v>1250</v>
      </c>
      <c r="G81" s="57" t="n">
        <v>5</v>
      </c>
      <c r="H81" s="57" t="n"/>
      <c r="I81" s="57" t="n">
        <v>6</v>
      </c>
      <c r="J81" s="57" t="n"/>
      <c r="K81" s="57" t="n">
        <v>3486</v>
      </c>
      <c r="L81" s="57" t="inlineStr">
        <is>
          <t>25315G</t>
        </is>
      </c>
      <c r="M81" s="58" t="inlineStr">
        <is>
          <t>N/A</t>
        </is>
      </c>
    </row>
    <row r="82" ht="25" customHeight="1" s="55">
      <c r="A82" s="57" t="n">
        <v>81</v>
      </c>
      <c r="B82" s="57" t="inlineStr">
        <is>
          <t>NC25313G</t>
        </is>
      </c>
      <c r="C82" s="57" t="inlineStr">
        <is>
          <t>Robinson</t>
        </is>
      </c>
      <c r="D82" s="59" t="n">
        <v>46246</v>
      </c>
      <c r="E82" s="57" t="inlineStr">
        <is>
          <t>First</t>
        </is>
      </c>
      <c r="F82" s="57" t="n">
        <v>1153</v>
      </c>
      <c r="G82" s="57" t="n">
        <v>5</v>
      </c>
      <c r="H82" s="57" t="n"/>
      <c r="I82" s="57" t="n">
        <v>5</v>
      </c>
      <c r="J82" s="57" t="n"/>
      <c r="K82" s="57" t="n">
        <v>2535</v>
      </c>
      <c r="L82" s="57" t="inlineStr">
        <is>
          <t xml:space="preserve">25313G </t>
        </is>
      </c>
      <c r="M82" s="58" t="inlineStr">
        <is>
          <t>N/A</t>
        </is>
      </c>
    </row>
    <row r="83" ht="25" customHeight="1" s="55">
      <c r="A83" s="57" t="n">
        <v>82</v>
      </c>
      <c r="B83" s="57" t="inlineStr">
        <is>
          <t>Mt. Magic</t>
        </is>
      </c>
      <c r="C83" s="57" t="inlineStr">
        <is>
          <t>Robinson</t>
        </is>
      </c>
      <c r="D83" s="59" t="n">
        <v>46246</v>
      </c>
      <c r="E83" s="57" t="inlineStr">
        <is>
          <t>First</t>
        </is>
      </c>
      <c r="F83" s="57" t="n">
        <v>3139</v>
      </c>
      <c r="G83" s="57" t="n">
        <v>96</v>
      </c>
      <c r="H83" s="57" t="n"/>
      <c r="I83" s="57" t="n">
        <v>7</v>
      </c>
      <c r="J83" s="57" t="n"/>
      <c r="K83" s="57" t="n">
        <v>3368</v>
      </c>
      <c r="L83" s="57" t="inlineStr">
        <is>
          <t xml:space="preserve">MT MAGIC </t>
        </is>
      </c>
      <c r="M83" s="58" t="inlineStr">
        <is>
          <t>N/A</t>
        </is>
      </c>
    </row>
    <row r="84" ht="25" customHeight="1" s="55">
      <c r="A84" s="57" t="n">
        <v>83</v>
      </c>
      <c r="B84" s="57" t="inlineStr">
        <is>
          <t>UKYT-25-304</t>
        </is>
      </c>
      <c r="C84" s="57" t="inlineStr">
        <is>
          <t>Robinson</t>
        </is>
      </c>
      <c r="D84" s="59" t="n">
        <v>46246</v>
      </c>
      <c r="E84" s="57" t="inlineStr">
        <is>
          <t>First</t>
        </is>
      </c>
      <c r="F84" s="57" t="n">
        <v>1198</v>
      </c>
      <c r="G84" s="57" t="n">
        <v>6</v>
      </c>
      <c r="H84" s="57" t="n"/>
      <c r="I84" s="57" t="n">
        <v>5</v>
      </c>
      <c r="J84" s="57" t="n"/>
      <c r="K84" s="57" t="n">
        <v>2623</v>
      </c>
      <c r="L84" s="57" t="inlineStr">
        <is>
          <t>25304</t>
        </is>
      </c>
      <c r="M84" s="58" t="inlineStr">
        <is>
          <t>N/A</t>
        </is>
      </c>
    </row>
  </sheetData>
  <autoFilter ref="A1:M84"/>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84"/>
  <sheetViews>
    <sheetView showGridLines="1" topLeftCell="A1"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8" customWidth="1" style="55" min="2" max="2"/>
    <col width="13" customWidth="1" style="55" min="3" max="3"/>
    <col width="19" customWidth="1" style="55" min="4" max="4"/>
    <col width="16" customWidth="1" style="55" min="5" max="5"/>
    <col width="8" customWidth="1" style="55" min="6" max="6"/>
    <col width="18" customWidth="1" style="55" min="7" max="7"/>
    <col width="36" customWidth="1" style="55" min="8" max="8"/>
    <col width="36" customWidth="1" style="55" min="9" max="9"/>
    <col width="36" customWidth="1" style="55" min="10" max="10"/>
  </cols>
  <sheetData>
    <row r="1" ht="18" customHeight="1" s="55">
      <c r="A1" s="56" t="inlineStr">
        <is>
          <t>SN</t>
        </is>
      </c>
      <c r="B1" s="56" t="inlineStr">
        <is>
          <t>EN</t>
        </is>
      </c>
      <c r="C1" s="56" t="inlineStr">
        <is>
          <t>Genotypes</t>
        </is>
      </c>
      <c r="D1" s="56" t="inlineStr">
        <is>
          <t>Source / pedigree</t>
        </is>
      </c>
      <c r="E1" s="56" t="inlineStr">
        <is>
          <t>Note</t>
        </is>
      </c>
      <c r="F1" s="56" t="inlineStr">
        <is>
          <t>Plants</t>
        </is>
      </c>
      <c r="G1" s="56" t="inlineStr">
        <is>
          <t>Growth habit</t>
        </is>
      </c>
      <c r="H1" s="56" t="inlineStr">
        <is>
          <t>Fruit type</t>
        </is>
      </c>
      <c r="I1" s="56" t="inlineStr">
        <is>
          <t>Color</t>
        </is>
      </c>
      <c r="J1" s="56" t="inlineStr">
        <is>
          <t>Other notes</t>
        </is>
      </c>
    </row>
    <row r="2" ht="25" customHeight="1" s="55">
      <c r="A2" s="57" t="n">
        <v>1</v>
      </c>
      <c r="B2" s="57" t="n">
        <v>1</v>
      </c>
      <c r="C2" s="57" t="inlineStr">
        <is>
          <t>UKYT-25-001</t>
        </is>
      </c>
      <c r="D2" s="57" t="inlineStr">
        <is>
          <t>1E-201-1W(2022)</t>
        </is>
      </c>
      <c r="E2" s="57" t="inlineStr">
        <is>
          <t>Breeding Trial</t>
        </is>
      </c>
      <c r="F2" s="57" t="n">
        <v>4</v>
      </c>
      <c r="G2" s="57" t="inlineStr">
        <is>
          <t>Indeterminate</t>
        </is>
      </c>
      <c r="H2" s="57" t="inlineStr">
        <is>
          <t>grape tomato</t>
        </is>
      </c>
      <c r="I2" s="57" t="inlineStr">
        <is>
          <t>Different colors, sizes and shapes</t>
        </is>
      </c>
      <c r="J2" s="57" t="inlineStr">
        <is>
          <t>supposedly resistance to late blight, some have root knot nematode resistance, fusarium wilt,  verticillium wilt and tomato mosaic virus resistance (need to be tested for other disease markers)</t>
        </is>
      </c>
    </row>
    <row r="3" ht="25" customHeight="1" s="55">
      <c r="A3" s="57" t="n">
        <v>2</v>
      </c>
      <c r="B3" s="57" t="n">
        <v>2</v>
      </c>
      <c r="C3" s="57" t="inlineStr">
        <is>
          <t>UKYT-25-002</t>
        </is>
      </c>
      <c r="D3" s="57" t="inlineStr">
        <is>
          <t>2E-202-1W(2022)</t>
        </is>
      </c>
      <c r="E3" s="57" t="inlineStr">
        <is>
          <t>Breeding Trial</t>
        </is>
      </c>
      <c r="F3" s="57" t="n">
        <v>4</v>
      </c>
      <c r="G3" s="57" t="inlineStr">
        <is>
          <t>Indeterminate</t>
        </is>
      </c>
      <c r="H3" s="57" t="inlineStr">
        <is>
          <t>grape tomato</t>
        </is>
      </c>
      <c r="I3" s="57" t="n"/>
      <c r="J3" s="58" t="inlineStr">
        <is>
          <t>N/A</t>
        </is>
      </c>
    </row>
    <row r="4" ht="25" customHeight="1" s="55">
      <c r="A4" s="57" t="n">
        <v>3</v>
      </c>
      <c r="B4" s="57" t="n">
        <v>3</v>
      </c>
      <c r="C4" s="57" t="inlineStr">
        <is>
          <t>UKYT-25-003</t>
        </is>
      </c>
      <c r="D4" s="57" t="inlineStr">
        <is>
          <t>3E-203-1W(2022)</t>
        </is>
      </c>
      <c r="E4" s="57" t="inlineStr">
        <is>
          <t>Breeding Trial</t>
        </is>
      </c>
      <c r="F4" s="57" t="n">
        <v>4</v>
      </c>
      <c r="G4" s="57" t="inlineStr">
        <is>
          <t>Indeterminate</t>
        </is>
      </c>
      <c r="H4" s="57" t="inlineStr">
        <is>
          <t>grape tomato</t>
        </is>
      </c>
      <c r="I4" s="57" t="n"/>
      <c r="J4" s="58" t="inlineStr">
        <is>
          <t>N/A</t>
        </is>
      </c>
    </row>
    <row r="5" ht="25" customHeight="1" s="55">
      <c r="A5" s="57" t="n">
        <v>4</v>
      </c>
      <c r="B5" s="57" t="n">
        <v>4</v>
      </c>
      <c r="C5" s="57" t="inlineStr">
        <is>
          <t>UKYT-25-004</t>
        </is>
      </c>
      <c r="D5" s="57" t="inlineStr">
        <is>
          <t>4E-205-1W(2022)</t>
        </is>
      </c>
      <c r="E5" s="57" t="inlineStr">
        <is>
          <t>Breeding Trial</t>
        </is>
      </c>
      <c r="F5" s="57" t="n">
        <v>4</v>
      </c>
      <c r="G5" s="57" t="inlineStr">
        <is>
          <t>Indeterminate</t>
        </is>
      </c>
      <c r="H5" s="57" t="inlineStr">
        <is>
          <t>grape tomato</t>
        </is>
      </c>
      <c r="I5" s="57" t="n"/>
      <c r="J5" s="58" t="inlineStr">
        <is>
          <t>N/A</t>
        </is>
      </c>
    </row>
    <row r="6" ht="25" customHeight="1" s="55">
      <c r="A6" s="57" t="n">
        <v>5</v>
      </c>
      <c r="B6" s="57" t="n">
        <v>5</v>
      </c>
      <c r="C6" s="57" t="inlineStr">
        <is>
          <t>UKYT-25-005</t>
        </is>
      </c>
      <c r="D6" s="57" t="inlineStr">
        <is>
          <t>5E-206-1W(2022)</t>
        </is>
      </c>
      <c r="E6" s="57" t="inlineStr">
        <is>
          <t>Breeding Trial</t>
        </is>
      </c>
      <c r="F6" s="57" t="n">
        <v>4</v>
      </c>
      <c r="G6" s="57" t="inlineStr">
        <is>
          <t>Indeterminate</t>
        </is>
      </c>
      <c r="H6" s="57" t="inlineStr">
        <is>
          <t>grape tomato</t>
        </is>
      </c>
      <c r="I6" s="57" t="n"/>
      <c r="J6" s="58" t="inlineStr">
        <is>
          <t>N/A</t>
        </is>
      </c>
    </row>
    <row r="7" ht="25" customHeight="1" s="55">
      <c r="A7" s="57" t="n">
        <v>6</v>
      </c>
      <c r="B7" s="57" t="n">
        <v>6</v>
      </c>
      <c r="C7" s="57" t="inlineStr">
        <is>
          <t>UKYT-25-006</t>
        </is>
      </c>
      <c r="D7" s="57" t="inlineStr">
        <is>
          <t>6E-208-1W(2022)</t>
        </is>
      </c>
      <c r="E7" s="57" t="inlineStr">
        <is>
          <t>Breeding Trial</t>
        </is>
      </c>
      <c r="F7" s="57" t="n">
        <v>4</v>
      </c>
      <c r="G7" s="57" t="inlineStr">
        <is>
          <t>Indeterminate</t>
        </is>
      </c>
      <c r="H7" s="57" t="inlineStr">
        <is>
          <t>grape tomato</t>
        </is>
      </c>
      <c r="I7" s="57" t="n"/>
      <c r="J7" s="58" t="inlineStr">
        <is>
          <t>N/A</t>
        </is>
      </c>
    </row>
    <row r="8" ht="25" customHeight="1" s="55">
      <c r="A8" s="57" t="n">
        <v>7</v>
      </c>
      <c r="B8" s="57" t="n">
        <v>7</v>
      </c>
      <c r="C8" s="57" t="inlineStr">
        <is>
          <t>UKYT-25-007</t>
        </is>
      </c>
      <c r="D8" s="57" t="inlineStr">
        <is>
          <t>7E-217-1W(2022)</t>
        </is>
      </c>
      <c r="E8" s="57" t="inlineStr">
        <is>
          <t>Breeding Trial</t>
        </is>
      </c>
      <c r="F8" s="57" t="n">
        <v>4</v>
      </c>
      <c r="G8" s="57" t="inlineStr">
        <is>
          <t>Indeterminate</t>
        </is>
      </c>
      <c r="H8" s="57" t="inlineStr">
        <is>
          <t>grape tomato</t>
        </is>
      </c>
      <c r="I8" s="57" t="n"/>
      <c r="J8" s="58" t="inlineStr">
        <is>
          <t>N/A</t>
        </is>
      </c>
    </row>
    <row r="9" ht="25" customHeight="1" s="55">
      <c r="A9" s="57" t="n">
        <v>8</v>
      </c>
      <c r="B9" s="57" t="n">
        <v>8</v>
      </c>
      <c r="C9" s="57" t="inlineStr">
        <is>
          <t>UKYT-25-008</t>
        </is>
      </c>
      <c r="D9" s="57" t="inlineStr">
        <is>
          <t>8E-219-1W(2022)</t>
        </is>
      </c>
      <c r="E9" s="57" t="inlineStr">
        <is>
          <t>Breeding Trial</t>
        </is>
      </c>
      <c r="F9" s="57" t="n">
        <v>4</v>
      </c>
      <c r="G9" s="57" t="inlineStr">
        <is>
          <t>Indeterminate</t>
        </is>
      </c>
      <c r="H9" s="57" t="inlineStr">
        <is>
          <t>grape tomato</t>
        </is>
      </c>
      <c r="I9" s="57" t="n"/>
      <c r="J9" s="58" t="inlineStr">
        <is>
          <t>N/A</t>
        </is>
      </c>
    </row>
    <row r="10" ht="25" customHeight="1" s="55">
      <c r="A10" s="57" t="n">
        <v>9</v>
      </c>
      <c r="B10" s="57" t="n">
        <v>9</v>
      </c>
      <c r="C10" s="57" t="inlineStr">
        <is>
          <t>UKYT-25-009</t>
        </is>
      </c>
      <c r="D10" s="57" t="inlineStr">
        <is>
          <t>9E-220-1W(2022)</t>
        </is>
      </c>
      <c r="E10" s="57" t="inlineStr">
        <is>
          <t>Breeding Trial</t>
        </is>
      </c>
      <c r="F10" s="57" t="n">
        <v>4</v>
      </c>
      <c r="G10" s="57" t="inlineStr">
        <is>
          <t>Indeterminate</t>
        </is>
      </c>
      <c r="H10" s="57" t="inlineStr">
        <is>
          <t>grape tomato</t>
        </is>
      </c>
      <c r="I10" s="57" t="n"/>
      <c r="J10" s="58" t="inlineStr">
        <is>
          <t>N/A</t>
        </is>
      </c>
    </row>
    <row r="11" ht="25" customHeight="1" s="55">
      <c r="A11" s="57" t="n">
        <v>10</v>
      </c>
      <c r="B11" s="57" t="n">
        <v>10</v>
      </c>
      <c r="C11" s="57" t="inlineStr">
        <is>
          <t>UKYT-25-010</t>
        </is>
      </c>
      <c r="D11" s="57" t="inlineStr">
        <is>
          <t>10E-223-1W(2022)</t>
        </is>
      </c>
      <c r="E11" s="57" t="inlineStr">
        <is>
          <t>Breeding Trial</t>
        </is>
      </c>
      <c r="F11" s="57" t="n">
        <v>4</v>
      </c>
      <c r="G11" s="57" t="inlineStr">
        <is>
          <t>Indeterminate</t>
        </is>
      </c>
      <c r="H11" s="57" t="inlineStr">
        <is>
          <t>grape tomato</t>
        </is>
      </c>
      <c r="I11" s="57" t="n"/>
      <c r="J11" s="58" t="inlineStr">
        <is>
          <t>N/A</t>
        </is>
      </c>
    </row>
    <row r="12" ht="25" customHeight="1" s="55">
      <c r="A12" s="57" t="n">
        <v>11</v>
      </c>
      <c r="B12" s="57" t="n">
        <v>11</v>
      </c>
      <c r="C12" s="57" t="inlineStr">
        <is>
          <t>UKYT-25-011</t>
        </is>
      </c>
      <c r="D12" s="57" t="inlineStr">
        <is>
          <t>11E-224-1W(2022)</t>
        </is>
      </c>
      <c r="E12" s="57" t="inlineStr">
        <is>
          <t>Breeding Trial</t>
        </is>
      </c>
      <c r="F12" s="57" t="n">
        <v>4</v>
      </c>
      <c r="G12" s="57" t="inlineStr">
        <is>
          <t>Indeterminate</t>
        </is>
      </c>
      <c r="H12" s="57" t="inlineStr">
        <is>
          <t>grape tomato</t>
        </is>
      </c>
      <c r="I12" s="57" t="n"/>
      <c r="J12" s="58" t="inlineStr">
        <is>
          <t>N/A</t>
        </is>
      </c>
    </row>
    <row r="13" ht="25" customHeight="1" s="55">
      <c r="A13" s="57" t="n">
        <v>12</v>
      </c>
      <c r="B13" s="57" t="n">
        <v>12</v>
      </c>
      <c r="C13" s="57" t="inlineStr">
        <is>
          <t>UKYT-25-012</t>
        </is>
      </c>
      <c r="D13" s="57" t="inlineStr">
        <is>
          <t>12E-225-1W(2022)</t>
        </is>
      </c>
      <c r="E13" s="57" t="inlineStr">
        <is>
          <t>Breeding Trial</t>
        </is>
      </c>
      <c r="F13" s="57" t="n">
        <v>4</v>
      </c>
      <c r="G13" s="57" t="inlineStr">
        <is>
          <t>Indeterminate</t>
        </is>
      </c>
      <c r="H13" s="57" t="inlineStr">
        <is>
          <t>grape tomato</t>
        </is>
      </c>
      <c r="I13" s="57" t="n"/>
      <c r="J13" s="58" t="inlineStr">
        <is>
          <t>N/A</t>
        </is>
      </c>
    </row>
    <row r="14" ht="25" customHeight="1" s="55">
      <c r="A14" s="57" t="n">
        <v>13</v>
      </c>
      <c r="B14" s="57" t="n">
        <v>13</v>
      </c>
      <c r="C14" s="57" t="inlineStr">
        <is>
          <t>UKYT-25-013</t>
        </is>
      </c>
      <c r="D14" s="57" t="inlineStr">
        <is>
          <t>13E-228-1W(2022)</t>
        </is>
      </c>
      <c r="E14" s="57" t="inlineStr">
        <is>
          <t>Breeding Trial</t>
        </is>
      </c>
      <c r="F14" s="57" t="n">
        <v>4</v>
      </c>
      <c r="G14" s="57" t="inlineStr">
        <is>
          <t>Indeterminate</t>
        </is>
      </c>
      <c r="H14" s="57" t="inlineStr">
        <is>
          <t>grape tomato</t>
        </is>
      </c>
      <c r="I14" s="57" t="n"/>
      <c r="J14" s="58" t="inlineStr">
        <is>
          <t>N/A</t>
        </is>
      </c>
    </row>
    <row r="15" ht="25" customHeight="1" s="55">
      <c r="A15" s="57" t="n">
        <v>14</v>
      </c>
      <c r="B15" s="57" t="n">
        <v>14</v>
      </c>
      <c r="C15" s="57" t="inlineStr">
        <is>
          <t>UKYT-25-014</t>
        </is>
      </c>
      <c r="D15" s="57" t="inlineStr">
        <is>
          <t>14E-230-1W(2022)</t>
        </is>
      </c>
      <c r="E15" s="57" t="inlineStr">
        <is>
          <t>Breeding Trial</t>
        </is>
      </c>
      <c r="F15" s="57" t="n">
        <v>4</v>
      </c>
      <c r="G15" s="57" t="inlineStr">
        <is>
          <t>Indeterminate</t>
        </is>
      </c>
      <c r="H15" s="57" t="inlineStr">
        <is>
          <t>grape tomato</t>
        </is>
      </c>
      <c r="I15" s="57" t="n"/>
      <c r="J15" s="58" t="inlineStr">
        <is>
          <t>N/A</t>
        </is>
      </c>
    </row>
    <row r="16" ht="25" customHeight="1" s="55">
      <c r="A16" s="57" t="n">
        <v>15</v>
      </c>
      <c r="B16" s="57" t="n">
        <v>15</v>
      </c>
      <c r="C16" s="57" t="inlineStr">
        <is>
          <t>UKYT-25-015</t>
        </is>
      </c>
      <c r="D16" s="57" t="inlineStr">
        <is>
          <t>15E-232-2W(2022)</t>
        </is>
      </c>
      <c r="E16" s="57" t="inlineStr">
        <is>
          <t>Breeding Trial</t>
        </is>
      </c>
      <c r="F16" s="57" t="n">
        <v>4</v>
      </c>
      <c r="G16" s="57" t="inlineStr">
        <is>
          <t>Indeterminate</t>
        </is>
      </c>
      <c r="H16" s="57" t="inlineStr">
        <is>
          <t>grape tomato</t>
        </is>
      </c>
      <c r="I16" s="57" t="n"/>
      <c r="J16" s="58" t="inlineStr">
        <is>
          <t>N/A</t>
        </is>
      </c>
    </row>
    <row r="17" ht="25" customHeight="1" s="55">
      <c r="A17" s="57" t="n">
        <v>16</v>
      </c>
      <c r="B17" s="57" t="n">
        <v>16</v>
      </c>
      <c r="C17" s="57" t="inlineStr">
        <is>
          <t>UKYT-25-016</t>
        </is>
      </c>
      <c r="D17" s="57" t="inlineStr">
        <is>
          <t>16E-233-1W(2022)</t>
        </is>
      </c>
      <c r="E17" s="57" t="inlineStr">
        <is>
          <t>Breeding Trial</t>
        </is>
      </c>
      <c r="F17" s="57" t="n">
        <v>4</v>
      </c>
      <c r="G17" s="57" t="inlineStr">
        <is>
          <t>Indeterminate</t>
        </is>
      </c>
      <c r="H17" s="57" t="inlineStr">
        <is>
          <t>grape tomato</t>
        </is>
      </c>
      <c r="I17" s="57" t="n"/>
      <c r="J17" s="58" t="inlineStr">
        <is>
          <t>N/A</t>
        </is>
      </c>
    </row>
    <row r="18" ht="25" customHeight="1" s="55">
      <c r="A18" s="57" t="n">
        <v>17</v>
      </c>
      <c r="B18" s="57" t="n">
        <v>17</v>
      </c>
      <c r="C18" s="57" t="inlineStr">
        <is>
          <t>UKYT-25-017</t>
        </is>
      </c>
      <c r="D18" s="57" t="inlineStr">
        <is>
          <t>17E-238-1W(2022)</t>
        </is>
      </c>
      <c r="E18" s="57" t="inlineStr">
        <is>
          <t>Breeding Trial</t>
        </is>
      </c>
      <c r="F18" s="57" t="n">
        <v>4</v>
      </c>
      <c r="G18" s="57" t="inlineStr">
        <is>
          <t>Indeterminate</t>
        </is>
      </c>
      <c r="H18" s="57" t="inlineStr">
        <is>
          <t>grape tomato</t>
        </is>
      </c>
      <c r="I18" s="57" t="n"/>
      <c r="J18" s="58" t="inlineStr">
        <is>
          <t>N/A</t>
        </is>
      </c>
    </row>
    <row r="19" ht="25" customHeight="1" s="55">
      <c r="A19" s="57" t="n">
        <v>18</v>
      </c>
      <c r="B19" s="57" t="n">
        <v>18</v>
      </c>
      <c r="C19" s="57" t="inlineStr">
        <is>
          <t>UKYT-26-001</t>
        </is>
      </c>
      <c r="D19" s="57" t="inlineStr">
        <is>
          <t>AVTO1906-CLN4066F</t>
        </is>
      </c>
      <c r="E19" s="57" t="inlineStr">
        <is>
          <t>Breeding Trial</t>
        </is>
      </c>
      <c r="F19" s="57" t="n">
        <v>4</v>
      </c>
      <c r="G19" s="57" t="inlineStr">
        <is>
          <t>Semi determinate</t>
        </is>
      </c>
      <c r="H19" s="57" t="inlineStr">
        <is>
          <t>medium fruit size with blocky shape</t>
        </is>
      </c>
      <c r="I19" s="57" t="inlineStr">
        <is>
          <t>red</t>
        </is>
      </c>
      <c r="J19" s="57" t="inlineStr">
        <is>
          <t>resistance to bacterial wilt, fusarium wilt and root knot nematode</t>
        </is>
      </c>
    </row>
    <row r="20" ht="25" customHeight="1" s="55">
      <c r="A20" s="57" t="n">
        <v>19</v>
      </c>
      <c r="B20" s="57" t="n">
        <v>19</v>
      </c>
      <c r="C20" s="57" t="inlineStr">
        <is>
          <t>UKYT-26-006</t>
        </is>
      </c>
      <c r="D20" s="57" t="inlineStr">
        <is>
          <t>AVTO2036-CLN4123C</t>
        </is>
      </c>
      <c r="E20" s="57" t="inlineStr">
        <is>
          <t>Breeding Trial</t>
        </is>
      </c>
      <c r="F20" s="57" t="n">
        <v>4</v>
      </c>
      <c r="G20" s="57" t="inlineStr">
        <is>
          <t>Indeterminate</t>
        </is>
      </c>
      <c r="H20" s="57" t="inlineStr">
        <is>
          <t>globe fruit shape</t>
        </is>
      </c>
      <c r="I20" s="57" t="n"/>
      <c r="J20" s="57" t="inlineStr">
        <is>
          <t>resistance to late blight, TMV and fusarium</t>
        </is>
      </c>
    </row>
    <row r="21" ht="25" customHeight="1" s="55">
      <c r="A21" s="57" t="n">
        <v>20</v>
      </c>
      <c r="B21" s="57" t="n">
        <v>20</v>
      </c>
      <c r="C21" s="57" t="inlineStr">
        <is>
          <t>UKYT-26-011</t>
        </is>
      </c>
      <c r="D21" s="57" t="inlineStr">
        <is>
          <t>228-BKW (2025)</t>
        </is>
      </c>
      <c r="E21" s="57" t="inlineStr">
        <is>
          <t>Breeding Trial</t>
        </is>
      </c>
      <c r="F21" s="57" t="n">
        <v>4</v>
      </c>
      <c r="G21" s="57" t="inlineStr">
        <is>
          <t>Indeterminate</t>
        </is>
      </c>
      <c r="H21" s="57" t="inlineStr">
        <is>
          <t>large tomatoes</t>
        </is>
      </c>
      <c r="I21" s="57" t="inlineStr">
        <is>
          <t>purple</t>
        </is>
      </c>
      <c r="J21" s="57" t="inlineStr">
        <is>
          <t>resistance to late blight and possibly other diseaes (need to be tested for markers)</t>
        </is>
      </c>
    </row>
    <row r="22" ht="25" customHeight="1" s="55">
      <c r="A22" s="57" t="n">
        <v>21</v>
      </c>
      <c r="B22" s="57" t="n">
        <v>21</v>
      </c>
      <c r="C22" s="57" t="inlineStr">
        <is>
          <t>UKYT-26-012</t>
        </is>
      </c>
      <c r="D22" s="57" t="inlineStr">
        <is>
          <t>226-BKW (2024)</t>
        </is>
      </c>
      <c r="E22" s="57" t="inlineStr">
        <is>
          <t>Breeding Trial</t>
        </is>
      </c>
      <c r="F22" s="57" t="n">
        <v>4</v>
      </c>
      <c r="G22" s="57" t="inlineStr">
        <is>
          <t>Indeterminate</t>
        </is>
      </c>
      <c r="H22" s="57" t="inlineStr">
        <is>
          <t>large tomatoes</t>
        </is>
      </c>
      <c r="I22" s="57" t="inlineStr">
        <is>
          <t>pink</t>
        </is>
      </c>
      <c r="J22" s="58" t="inlineStr">
        <is>
          <t>N/A</t>
        </is>
      </c>
    </row>
    <row r="23" ht="25" customHeight="1" s="55">
      <c r="A23" s="57" t="n">
        <v>22</v>
      </c>
      <c r="B23" s="57" t="n">
        <v>22</v>
      </c>
      <c r="C23" s="57" t="inlineStr">
        <is>
          <t>UKYT-26-013</t>
        </is>
      </c>
      <c r="D23" s="57" t="inlineStr">
        <is>
          <t>17-Bksp25</t>
        </is>
      </c>
      <c r="E23" s="57" t="inlineStr">
        <is>
          <t>Breeding Trial</t>
        </is>
      </c>
      <c r="F23" s="57" t="n">
        <v>4</v>
      </c>
      <c r="G23" s="57" t="inlineStr">
        <is>
          <t>Indeterminate</t>
        </is>
      </c>
      <c r="H23" s="57" t="inlineStr">
        <is>
          <t>large tomatoes</t>
        </is>
      </c>
      <c r="I23" s="57" t="inlineStr">
        <is>
          <t>purple</t>
        </is>
      </c>
      <c r="J23" s="58" t="inlineStr">
        <is>
          <t>N/A</t>
        </is>
      </c>
    </row>
    <row r="24" ht="25" customHeight="1" s="55">
      <c r="A24" s="57" t="n">
        <v>23</v>
      </c>
      <c r="B24" s="57" t="n">
        <v>23</v>
      </c>
      <c r="C24" s="57" t="inlineStr">
        <is>
          <t>UKYT-26-014</t>
        </is>
      </c>
      <c r="D24" s="57" t="inlineStr">
        <is>
          <t>242-Bkw (2025)</t>
        </is>
      </c>
      <c r="E24" s="57" t="inlineStr">
        <is>
          <t>Breeding Trial</t>
        </is>
      </c>
      <c r="F24" s="57" t="n">
        <v>4</v>
      </c>
      <c r="G24" s="57" t="inlineStr">
        <is>
          <t>Determinate</t>
        </is>
      </c>
      <c r="H24" s="57" t="inlineStr">
        <is>
          <t>large tomatoes</t>
        </is>
      </c>
      <c r="I24" s="57" t="inlineStr">
        <is>
          <t>pink</t>
        </is>
      </c>
      <c r="J24" s="58" t="inlineStr">
        <is>
          <t>N/A</t>
        </is>
      </c>
    </row>
    <row r="25" ht="25" customHeight="1" s="55">
      <c r="A25" s="57" t="n">
        <v>24</v>
      </c>
      <c r="B25" s="57" t="n">
        <v>24</v>
      </c>
      <c r="C25" s="57" t="inlineStr">
        <is>
          <t>UKYT-26-015</t>
        </is>
      </c>
      <c r="D25" s="57" t="inlineStr">
        <is>
          <t xml:space="preserve">249-BkW (2024) </t>
        </is>
      </c>
      <c r="E25" s="57" t="inlineStr">
        <is>
          <t>Breeding Trial</t>
        </is>
      </c>
      <c r="F25" s="57" t="n">
        <v>4</v>
      </c>
      <c r="G25" s="57" t="inlineStr">
        <is>
          <t>Determinate</t>
        </is>
      </c>
      <c r="H25" s="57" t="inlineStr">
        <is>
          <t>large tomatoes</t>
        </is>
      </c>
      <c r="I25" s="57" t="inlineStr">
        <is>
          <t>pink</t>
        </is>
      </c>
      <c r="J25" s="58" t="inlineStr">
        <is>
          <t>N/A</t>
        </is>
      </c>
    </row>
    <row r="26" ht="25" customHeight="1" s="55">
      <c r="A26" s="57" t="n">
        <v>25</v>
      </c>
      <c r="B26" s="57" t="n">
        <v>25</v>
      </c>
      <c r="C26" s="57" t="inlineStr">
        <is>
          <t>UKYT-26-016</t>
        </is>
      </c>
      <c r="D26" s="57" t="inlineStr">
        <is>
          <t>28-1sp25</t>
        </is>
      </c>
      <c r="E26" s="57" t="inlineStr">
        <is>
          <t>Breeding Trial</t>
        </is>
      </c>
      <c r="F26" s="57" t="n">
        <v>4</v>
      </c>
      <c r="G26" s="57" t="inlineStr">
        <is>
          <t>Determinate</t>
        </is>
      </c>
      <c r="H26" s="57" t="inlineStr">
        <is>
          <t>large tomatoes</t>
        </is>
      </c>
      <c r="I26" s="57" t="inlineStr">
        <is>
          <t>pink</t>
        </is>
      </c>
      <c r="J26" s="58" t="inlineStr">
        <is>
          <t>N/A</t>
        </is>
      </c>
    </row>
    <row r="27" ht="25" customHeight="1" s="55">
      <c r="A27" s="57" t="n">
        <v>26</v>
      </c>
      <c r="B27" s="57" t="n">
        <v>26</v>
      </c>
      <c r="C27" s="57" t="inlineStr">
        <is>
          <t>UKYT-26-017</t>
        </is>
      </c>
      <c r="D27" s="57" t="inlineStr">
        <is>
          <t>20-Bksp25</t>
        </is>
      </c>
      <c r="E27" s="57" t="inlineStr">
        <is>
          <t>Breeding Trial</t>
        </is>
      </c>
      <c r="F27" s="57" t="n">
        <v>4</v>
      </c>
      <c r="G27" s="57" t="inlineStr">
        <is>
          <t>Determinate</t>
        </is>
      </c>
      <c r="H27" s="57" t="inlineStr">
        <is>
          <t>large tomatoes</t>
        </is>
      </c>
      <c r="I27" s="57" t="inlineStr">
        <is>
          <t>purple</t>
        </is>
      </c>
      <c r="J27" s="58" t="inlineStr">
        <is>
          <t>N/A</t>
        </is>
      </c>
    </row>
    <row r="28" ht="25" customHeight="1" s="55">
      <c r="A28" s="57" t="n">
        <v>27</v>
      </c>
      <c r="B28" s="57" t="n">
        <v>27</v>
      </c>
      <c r="C28" s="57" t="inlineStr">
        <is>
          <t>UKYT-26-018</t>
        </is>
      </c>
      <c r="D28" s="57" t="inlineStr">
        <is>
          <t>52-Bksp24</t>
        </is>
      </c>
      <c r="E28" s="57" t="inlineStr">
        <is>
          <t>Breeding Trial</t>
        </is>
      </c>
      <c r="F28" s="57" t="n">
        <v>4</v>
      </c>
      <c r="G28" s="57" t="inlineStr">
        <is>
          <t>Determinate</t>
        </is>
      </c>
      <c r="H28" s="57" t="inlineStr">
        <is>
          <t>large tomatoes</t>
        </is>
      </c>
      <c r="I28" s="57" t="inlineStr">
        <is>
          <t>purple</t>
        </is>
      </c>
      <c r="J28" s="58" t="inlineStr">
        <is>
          <t>N/A</t>
        </is>
      </c>
    </row>
    <row r="29" ht="25" customHeight="1" s="55">
      <c r="A29" s="57" t="n">
        <v>28</v>
      </c>
      <c r="B29" s="57" t="n">
        <v>28</v>
      </c>
      <c r="C29" s="57" t="inlineStr">
        <is>
          <t>UKYT-26-019</t>
        </is>
      </c>
      <c r="D29" s="57" t="inlineStr">
        <is>
          <t>86-Bksp23</t>
        </is>
      </c>
      <c r="E29" s="57" t="inlineStr">
        <is>
          <t>Breeding Trial</t>
        </is>
      </c>
      <c r="F29" s="57" t="n">
        <v>4</v>
      </c>
      <c r="G29" s="57" t="inlineStr">
        <is>
          <t>Determinate</t>
        </is>
      </c>
      <c r="H29" s="57" t="inlineStr">
        <is>
          <t>large tomatoes</t>
        </is>
      </c>
      <c r="I29" s="57" t="inlineStr">
        <is>
          <t>yellow/red bicolor</t>
        </is>
      </c>
      <c r="J29" s="58" t="inlineStr">
        <is>
          <t>N/A</t>
        </is>
      </c>
    </row>
    <row r="30" ht="25" customHeight="1" s="55">
      <c r="A30" s="57" t="n">
        <v>29</v>
      </c>
      <c r="B30" s="57" t="n">
        <v>29</v>
      </c>
      <c r="C30" s="57" t="inlineStr">
        <is>
          <t>UKYT-26-020</t>
        </is>
      </c>
      <c r="D30" s="57" t="inlineStr">
        <is>
          <t>401-BkW (2025)</t>
        </is>
      </c>
      <c r="E30" s="57" t="inlineStr">
        <is>
          <t>Breeding Trial</t>
        </is>
      </c>
      <c r="F30" s="57" t="n">
        <v>4</v>
      </c>
      <c r="G30" s="57" t="inlineStr">
        <is>
          <t>Indeterminate</t>
        </is>
      </c>
      <c r="H30" s="57" t="inlineStr">
        <is>
          <t>large tomatoes</t>
        </is>
      </c>
      <c r="I30" s="57" t="inlineStr">
        <is>
          <t>green</t>
        </is>
      </c>
      <c r="J30" s="58" t="inlineStr">
        <is>
          <t>N/A</t>
        </is>
      </c>
    </row>
    <row r="31" ht="25" customHeight="1" s="55">
      <c r="A31" s="57" t="n">
        <v>30</v>
      </c>
      <c r="B31" s="57" t="n">
        <v>30</v>
      </c>
      <c r="C31" s="57" t="inlineStr">
        <is>
          <t>UKYT-26-021</t>
        </is>
      </c>
      <c r="D31" s="57" t="inlineStr">
        <is>
          <t>402-BkW (2025)</t>
        </is>
      </c>
      <c r="E31" s="57" t="inlineStr">
        <is>
          <t>Breeding Trial</t>
        </is>
      </c>
      <c r="F31" s="57" t="n">
        <v>4</v>
      </c>
      <c r="G31" s="57" t="inlineStr">
        <is>
          <t>Indeterminate</t>
        </is>
      </c>
      <c r="H31" s="57" t="inlineStr">
        <is>
          <t>large tomatoes</t>
        </is>
      </c>
      <c r="I31" s="57" t="inlineStr">
        <is>
          <t>red with yellow stripes</t>
        </is>
      </c>
      <c r="J31" s="58" t="inlineStr">
        <is>
          <t>N/A</t>
        </is>
      </c>
    </row>
    <row r="32" ht="25" customHeight="1" s="55">
      <c r="A32" s="57" t="n">
        <v>31</v>
      </c>
      <c r="B32" s="57" t="n">
        <v>31</v>
      </c>
      <c r="C32" s="57" t="inlineStr">
        <is>
          <t>UKYT-26-022</t>
        </is>
      </c>
      <c r="D32" s="57" t="inlineStr">
        <is>
          <t>403-BkW (2025)</t>
        </is>
      </c>
      <c r="E32" s="57" t="inlineStr">
        <is>
          <t>Breeding Trial</t>
        </is>
      </c>
      <c r="F32" s="57" t="n">
        <v>4</v>
      </c>
      <c r="G32" s="57" t="inlineStr">
        <is>
          <t>Indeterminate</t>
        </is>
      </c>
      <c r="H32" s="57" t="inlineStr">
        <is>
          <t>large tomatoes</t>
        </is>
      </c>
      <c r="I32" s="57" t="inlineStr">
        <is>
          <t>pruple with green stripes</t>
        </is>
      </c>
      <c r="J32" s="58" t="inlineStr">
        <is>
          <t>N/A</t>
        </is>
      </c>
    </row>
    <row r="33" ht="25" customHeight="1" s="55">
      <c r="A33" s="57" t="n">
        <v>32</v>
      </c>
      <c r="B33" s="57" t="n">
        <v>32</v>
      </c>
      <c r="C33" s="57" t="inlineStr">
        <is>
          <t>UKYT-26-023</t>
        </is>
      </c>
      <c r="D33" s="57" t="inlineStr">
        <is>
          <t>404-BkW (2025)</t>
        </is>
      </c>
      <c r="E33" s="57" t="inlineStr">
        <is>
          <t>Breeding Trial</t>
        </is>
      </c>
      <c r="F33" s="57" t="n">
        <v>4</v>
      </c>
      <c r="G33" s="57" t="inlineStr">
        <is>
          <t>Indeterminate</t>
        </is>
      </c>
      <c r="H33" s="57" t="inlineStr">
        <is>
          <t>large tomatoes</t>
        </is>
      </c>
      <c r="I33" s="57" t="inlineStr">
        <is>
          <t>red</t>
        </is>
      </c>
      <c r="J33" s="58" t="inlineStr">
        <is>
          <t>N/A</t>
        </is>
      </c>
    </row>
    <row r="34" ht="25" customHeight="1" s="55">
      <c r="A34" s="57" t="n">
        <v>33</v>
      </c>
      <c r="B34" s="57" t="n">
        <v>33</v>
      </c>
      <c r="C34" s="57" t="inlineStr">
        <is>
          <t>UKYT-26-024</t>
        </is>
      </c>
      <c r="D34" s="57" t="inlineStr">
        <is>
          <t>406-BkW (2025)</t>
        </is>
      </c>
      <c r="E34" s="57" t="inlineStr">
        <is>
          <t>Breeding Trial</t>
        </is>
      </c>
      <c r="F34" s="57" t="n">
        <v>4</v>
      </c>
      <c r="G34" s="57" t="inlineStr">
        <is>
          <t>Indeterminate</t>
        </is>
      </c>
      <c r="H34" s="57" t="inlineStr">
        <is>
          <t>large tomatoes</t>
        </is>
      </c>
      <c r="I34" s="57" t="inlineStr">
        <is>
          <t>red with yellow stripes</t>
        </is>
      </c>
      <c r="J34" s="58" t="inlineStr">
        <is>
          <t>N/A</t>
        </is>
      </c>
    </row>
    <row r="35" ht="25" customHeight="1" s="55">
      <c r="A35" s="57" t="n">
        <v>34</v>
      </c>
      <c r="B35" s="57" t="n">
        <v>34</v>
      </c>
      <c r="C35" s="57" t="inlineStr">
        <is>
          <t>UKYT-26-025</t>
        </is>
      </c>
      <c r="D35" s="57" t="inlineStr">
        <is>
          <t>407-BkW (2025)</t>
        </is>
      </c>
      <c r="E35" s="57" t="inlineStr">
        <is>
          <t>Breeding Trial</t>
        </is>
      </c>
      <c r="F35" s="57" t="n">
        <v>4</v>
      </c>
      <c r="G35" s="57" t="inlineStr">
        <is>
          <t>Indeterminate</t>
        </is>
      </c>
      <c r="H35" s="57" t="inlineStr">
        <is>
          <t>large tomatoes</t>
        </is>
      </c>
      <c r="I35" s="57" t="inlineStr">
        <is>
          <t>green with green stripes</t>
        </is>
      </c>
      <c r="J35" s="58" t="inlineStr">
        <is>
          <t>N/A</t>
        </is>
      </c>
    </row>
    <row r="36" ht="25" customHeight="1" s="55">
      <c r="A36" s="57" t="n">
        <v>35</v>
      </c>
      <c r="B36" s="57" t="n">
        <v>35</v>
      </c>
      <c r="C36" s="57" t="inlineStr">
        <is>
          <t>UKYT-26-026</t>
        </is>
      </c>
      <c r="D36" s="57" t="inlineStr">
        <is>
          <t>408-BkW (2025)</t>
        </is>
      </c>
      <c r="E36" s="57" t="inlineStr">
        <is>
          <t>Breeding Trial</t>
        </is>
      </c>
      <c r="F36" s="57" t="n">
        <v>4</v>
      </c>
      <c r="G36" s="57" t="inlineStr">
        <is>
          <t>Indeterminate</t>
        </is>
      </c>
      <c r="H36" s="57" t="inlineStr">
        <is>
          <t>large tomatoes</t>
        </is>
      </c>
      <c r="I36" s="57" t="inlineStr">
        <is>
          <t>yellow with yellow stripes</t>
        </is>
      </c>
      <c r="J36" s="58" t="inlineStr">
        <is>
          <t>N/A</t>
        </is>
      </c>
    </row>
    <row r="37" ht="25" customHeight="1" s="55">
      <c r="A37" s="57" t="n">
        <v>36</v>
      </c>
      <c r="B37" s="57" t="n">
        <v>36</v>
      </c>
      <c r="C37" s="57" t="inlineStr">
        <is>
          <t>UKYT-26-027</t>
        </is>
      </c>
      <c r="D37" s="57" t="inlineStr">
        <is>
          <t>409-BkW (2025)</t>
        </is>
      </c>
      <c r="E37" s="57" t="inlineStr">
        <is>
          <t>Breeding Trial</t>
        </is>
      </c>
      <c r="F37" s="57" t="n">
        <v>4</v>
      </c>
      <c r="G37" s="57" t="inlineStr">
        <is>
          <t>Indeterminate</t>
        </is>
      </c>
      <c r="H37" s="57" t="inlineStr">
        <is>
          <t>large tomatoes</t>
        </is>
      </c>
      <c r="I37" s="57" t="inlineStr">
        <is>
          <t>brown with green stripes</t>
        </is>
      </c>
      <c r="J37" s="58" t="inlineStr">
        <is>
          <t>N/A</t>
        </is>
      </c>
    </row>
    <row r="38" ht="25" customHeight="1" s="55">
      <c r="A38" s="57" t="n">
        <v>37</v>
      </c>
      <c r="B38" s="57" t="n">
        <v>37</v>
      </c>
      <c r="C38" s="57" t="inlineStr">
        <is>
          <t>UKYT-26-028</t>
        </is>
      </c>
      <c r="D38" s="57" t="inlineStr">
        <is>
          <t xml:space="preserve">20-Bk (2024)-2 </t>
        </is>
      </c>
      <c r="E38" s="57" t="inlineStr">
        <is>
          <t>Breeding Trial</t>
        </is>
      </c>
      <c r="F38" s="57" t="n">
        <v>4</v>
      </c>
      <c r="G38" s="57" t="inlineStr">
        <is>
          <t>Indeterminate</t>
        </is>
      </c>
      <c r="H38" s="57" t="inlineStr">
        <is>
          <t>large tomatoes</t>
        </is>
      </c>
      <c r="I38" s="57" t="inlineStr">
        <is>
          <t>red</t>
        </is>
      </c>
      <c r="J38" s="58" t="inlineStr">
        <is>
          <t>N/A</t>
        </is>
      </c>
    </row>
    <row r="39" ht="25" customHeight="1" s="55">
      <c r="A39" s="57" t="n">
        <v>38</v>
      </c>
      <c r="B39" s="57" t="n">
        <v>38</v>
      </c>
      <c r="C39" s="57" t="inlineStr">
        <is>
          <t>UKYT-26-029</t>
        </is>
      </c>
      <c r="D39" s="57" t="inlineStr">
        <is>
          <t xml:space="preserve">82-1A (2024) </t>
        </is>
      </c>
      <c r="E39" s="57" t="inlineStr">
        <is>
          <t>Breeding Trial</t>
        </is>
      </c>
      <c r="F39" s="57" t="n">
        <v>4</v>
      </c>
      <c r="G39" s="57" t="inlineStr">
        <is>
          <t>Indeterminate</t>
        </is>
      </c>
      <c r="H39" s="57" t="inlineStr">
        <is>
          <t>large tomatoes</t>
        </is>
      </c>
      <c r="I39" s="57" t="inlineStr">
        <is>
          <t>red</t>
        </is>
      </c>
      <c r="J39" s="58" t="inlineStr">
        <is>
          <t>N/A</t>
        </is>
      </c>
    </row>
    <row r="40" ht="25" customHeight="1" s="55">
      <c r="A40" s="57" t="n">
        <v>39</v>
      </c>
      <c r="B40" s="57" t="n">
        <v>39</v>
      </c>
      <c r="C40" s="57" t="inlineStr">
        <is>
          <t>UKYT-26-030</t>
        </is>
      </c>
      <c r="D40" s="57" t="inlineStr">
        <is>
          <t xml:space="preserve">84-3A (2024) </t>
        </is>
      </c>
      <c r="E40" s="57" t="inlineStr">
        <is>
          <t>Breeding Trial</t>
        </is>
      </c>
      <c r="F40" s="57" t="n">
        <v>4</v>
      </c>
      <c r="G40" s="57" t="inlineStr">
        <is>
          <t>Indeterminate</t>
        </is>
      </c>
      <c r="H40" s="57" t="inlineStr">
        <is>
          <t>large tomatoes</t>
        </is>
      </c>
      <c r="I40" s="57" t="inlineStr">
        <is>
          <t>red</t>
        </is>
      </c>
      <c r="J40" s="58" t="inlineStr">
        <is>
          <t>N/A</t>
        </is>
      </c>
    </row>
    <row r="41" ht="25" customHeight="1" s="55">
      <c r="A41" s="57" t="n">
        <v>40</v>
      </c>
      <c r="B41" s="57" t="n">
        <v>40</v>
      </c>
      <c r="C41" s="57" t="inlineStr">
        <is>
          <t>UKYT-26-031</t>
        </is>
      </c>
      <c r="D41" s="57" t="inlineStr">
        <is>
          <t xml:space="preserve">85-1 (2024) </t>
        </is>
      </c>
      <c r="E41" s="57" t="inlineStr">
        <is>
          <t>Breeding Trial</t>
        </is>
      </c>
      <c r="F41" s="57" t="n">
        <v>4</v>
      </c>
      <c r="G41" s="57" t="inlineStr">
        <is>
          <t>Indeterminate</t>
        </is>
      </c>
      <c r="H41" s="57" t="inlineStr">
        <is>
          <t>large tomatoes</t>
        </is>
      </c>
      <c r="I41" s="57" t="inlineStr">
        <is>
          <t>tangerine</t>
        </is>
      </c>
      <c r="J41" s="58" t="inlineStr">
        <is>
          <t>N/A</t>
        </is>
      </c>
    </row>
    <row r="42" ht="25" customHeight="1" s="55">
      <c r="A42" s="57" t="n">
        <v>41</v>
      </c>
      <c r="B42" s="57" t="n">
        <v>41</v>
      </c>
      <c r="C42" s="57" t="inlineStr">
        <is>
          <t>UKYT-26-032</t>
        </is>
      </c>
      <c r="D42" s="57" t="inlineStr">
        <is>
          <t xml:space="preserve">46-Bk (2025) </t>
        </is>
      </c>
      <c r="E42" s="57" t="inlineStr">
        <is>
          <t>Breeding Trial</t>
        </is>
      </c>
      <c r="F42" s="57" t="n">
        <v>4</v>
      </c>
      <c r="G42" s="57" t="inlineStr">
        <is>
          <t>Determinate</t>
        </is>
      </c>
      <c r="H42" s="57" t="inlineStr">
        <is>
          <t>large tomatoes</t>
        </is>
      </c>
      <c r="I42" s="57" t="inlineStr">
        <is>
          <t>tangerine</t>
        </is>
      </c>
      <c r="J42" s="58" t="inlineStr">
        <is>
          <t>N/A</t>
        </is>
      </c>
    </row>
    <row r="43" ht="25" customHeight="1" s="55">
      <c r="A43" s="57" t="n">
        <v>42</v>
      </c>
      <c r="B43" s="57" t="n">
        <v>42</v>
      </c>
      <c r="C43" s="57" t="inlineStr">
        <is>
          <t>UKYT-26-033</t>
        </is>
      </c>
      <c r="D43" s="57" t="inlineStr">
        <is>
          <t xml:space="preserve">220-1W (2025) </t>
        </is>
      </c>
      <c r="E43" s="57" t="inlineStr">
        <is>
          <t>Breeding Trial</t>
        </is>
      </c>
      <c r="F43" s="57" t="n">
        <v>4</v>
      </c>
      <c r="G43" s="57" t="inlineStr">
        <is>
          <t>Indeterminate</t>
        </is>
      </c>
      <c r="H43" s="57" t="inlineStr">
        <is>
          <t>large tomatoes</t>
        </is>
      </c>
      <c r="I43" s="57" t="inlineStr">
        <is>
          <t>red</t>
        </is>
      </c>
      <c r="J43" s="58" t="inlineStr">
        <is>
          <t>N/A</t>
        </is>
      </c>
    </row>
    <row r="44" ht="25" customHeight="1" s="55">
      <c r="A44" s="57" t="n">
        <v>43</v>
      </c>
      <c r="B44" s="57" t="n">
        <v>43</v>
      </c>
      <c r="C44" s="57" t="inlineStr">
        <is>
          <t>UKYT-26-034</t>
        </is>
      </c>
      <c r="D44" s="57" t="inlineStr">
        <is>
          <t xml:space="preserve">221-BkW (2025) </t>
        </is>
      </c>
      <c r="E44" s="57" t="inlineStr">
        <is>
          <t>Breeding Trial</t>
        </is>
      </c>
      <c r="F44" s="57" t="n">
        <v>4</v>
      </c>
      <c r="G44" s="57" t="inlineStr">
        <is>
          <t>Indeterminate</t>
        </is>
      </c>
      <c r="H44" s="57" t="inlineStr">
        <is>
          <t>large tomatoes</t>
        </is>
      </c>
      <c r="I44" s="57" t="inlineStr">
        <is>
          <t>purple</t>
        </is>
      </c>
      <c r="J44" s="58" t="inlineStr">
        <is>
          <t>N/A</t>
        </is>
      </c>
    </row>
    <row r="45" ht="25" customHeight="1" s="55">
      <c r="A45" s="57" t="n">
        <v>44</v>
      </c>
      <c r="B45" s="57" t="n">
        <v>44</v>
      </c>
      <c r="C45" s="57" t="inlineStr">
        <is>
          <t>UKYT-26-035</t>
        </is>
      </c>
      <c r="D45" s="57" t="inlineStr">
        <is>
          <t xml:space="preserve">225-BkW 2025) </t>
        </is>
      </c>
      <c r="E45" s="57" t="inlineStr">
        <is>
          <t>Breeding Trial</t>
        </is>
      </c>
      <c r="F45" s="57" t="n">
        <v>4</v>
      </c>
      <c r="G45" s="57" t="inlineStr">
        <is>
          <t>Indeterminate</t>
        </is>
      </c>
      <c r="H45" s="57" t="inlineStr">
        <is>
          <t>large tomatoes</t>
        </is>
      </c>
      <c r="I45" s="57" t="inlineStr">
        <is>
          <t>red</t>
        </is>
      </c>
      <c r="J45" s="58" t="inlineStr">
        <is>
          <t>N/A</t>
        </is>
      </c>
    </row>
    <row r="46" ht="25" customHeight="1" s="55">
      <c r="A46" s="57" t="n">
        <v>45</v>
      </c>
      <c r="B46" s="57" t="n">
        <v>45</v>
      </c>
      <c r="C46" s="57" t="inlineStr">
        <is>
          <t>UKYT-26-036</t>
        </is>
      </c>
      <c r="D46" s="57" t="inlineStr">
        <is>
          <t xml:space="preserve">308-BkW (2025) </t>
        </is>
      </c>
      <c r="E46" s="57" t="inlineStr">
        <is>
          <t>Breeding Trial</t>
        </is>
      </c>
      <c r="F46" s="57" t="n">
        <v>4</v>
      </c>
      <c r="G46" s="57" t="inlineStr">
        <is>
          <t>Determinate</t>
        </is>
      </c>
      <c r="H46" s="57" t="inlineStr">
        <is>
          <t>large tomatoes</t>
        </is>
      </c>
      <c r="I46" s="57" t="inlineStr">
        <is>
          <t>red</t>
        </is>
      </c>
      <c r="J46" s="58" t="inlineStr">
        <is>
          <t>N/A</t>
        </is>
      </c>
    </row>
    <row r="47" ht="25" customHeight="1" s="55">
      <c r="A47" s="57" t="n">
        <v>46</v>
      </c>
      <c r="B47" s="57" t="n">
        <v>46</v>
      </c>
      <c r="C47" s="57" t="inlineStr">
        <is>
          <t>UKYT-26-037</t>
        </is>
      </c>
      <c r="D47" s="57" t="inlineStr">
        <is>
          <t xml:space="preserve">410-BkW (2025) </t>
        </is>
      </c>
      <c r="E47" s="57" t="inlineStr">
        <is>
          <t>Breeding Trial</t>
        </is>
      </c>
      <c r="F47" s="57" t="n">
        <v>4</v>
      </c>
      <c r="G47" s="57" t="inlineStr">
        <is>
          <t>Indeterminate</t>
        </is>
      </c>
      <c r="H47" s="57" t="inlineStr">
        <is>
          <t>large tomatoes</t>
        </is>
      </c>
      <c r="I47" s="57" t="inlineStr">
        <is>
          <t>red</t>
        </is>
      </c>
      <c r="J47" s="58" t="inlineStr">
        <is>
          <t>N/A</t>
        </is>
      </c>
    </row>
    <row r="48" ht="25" customHeight="1" s="55">
      <c r="A48" s="57" t="n">
        <v>47</v>
      </c>
      <c r="B48" s="57" t="n">
        <v>47</v>
      </c>
      <c r="C48" s="57" t="inlineStr">
        <is>
          <t>UKYT-26-038</t>
        </is>
      </c>
      <c r="D48" s="57" t="inlineStr">
        <is>
          <t xml:space="preserve">413-1W (2025) </t>
        </is>
      </c>
      <c r="E48" s="57" t="inlineStr">
        <is>
          <t>Breeding Trial</t>
        </is>
      </c>
      <c r="F48" s="57" t="n">
        <v>4</v>
      </c>
      <c r="G48" s="57" t="inlineStr">
        <is>
          <t>Indeterminate</t>
        </is>
      </c>
      <c r="H48" s="57" t="inlineStr">
        <is>
          <t>large tomatoes</t>
        </is>
      </c>
      <c r="I48" s="57" t="inlineStr">
        <is>
          <t>tangerine</t>
        </is>
      </c>
      <c r="J48" s="58" t="inlineStr">
        <is>
          <t>N/A</t>
        </is>
      </c>
    </row>
    <row r="49" ht="25" customHeight="1" s="55">
      <c r="A49" s="57" t="n">
        <v>48</v>
      </c>
      <c r="B49" s="57" t="n">
        <v>48</v>
      </c>
      <c r="C49" s="57" t="inlineStr">
        <is>
          <t>UKYT-26-039</t>
        </is>
      </c>
      <c r="D49" s="57" t="inlineStr">
        <is>
          <t xml:space="preserve">414-3AW (2025) </t>
        </is>
      </c>
      <c r="E49" s="57" t="inlineStr">
        <is>
          <t>Breeding Trial</t>
        </is>
      </c>
      <c r="F49" s="57" t="n">
        <v>4</v>
      </c>
      <c r="G49" s="57" t="inlineStr">
        <is>
          <t>Indeterminate</t>
        </is>
      </c>
      <c r="H49" s="57" t="inlineStr">
        <is>
          <t>large tomatoes</t>
        </is>
      </c>
      <c r="I49" s="57" t="inlineStr">
        <is>
          <t>tangerine</t>
        </is>
      </c>
      <c r="J49" s="58" t="inlineStr">
        <is>
          <t>N/A</t>
        </is>
      </c>
    </row>
    <row r="50" ht="25" customHeight="1" s="55">
      <c r="A50" s="57" t="n">
        <v>49</v>
      </c>
      <c r="B50" s="57" t="n">
        <v>49</v>
      </c>
      <c r="C50" s="57" t="inlineStr">
        <is>
          <t>Mountain Fresh Plus</t>
        </is>
      </c>
      <c r="D50" s="57" t="inlineStr">
        <is>
          <t>Mountain fresh plus</t>
        </is>
      </c>
      <c r="E50" s="57" t="inlineStr">
        <is>
          <t>Breeding Trial</t>
        </is>
      </c>
      <c r="F50" s="57" t="n">
        <v>4</v>
      </c>
      <c r="G50" s="57" t="inlineStr">
        <is>
          <t>Determinate</t>
        </is>
      </c>
      <c r="H50" s="57" t="inlineStr">
        <is>
          <t>large tomatoes</t>
        </is>
      </c>
      <c r="I50" s="57" t="inlineStr">
        <is>
          <t>red</t>
        </is>
      </c>
      <c r="J50" s="58" t="inlineStr">
        <is>
          <t>N/A</t>
        </is>
      </c>
    </row>
    <row r="51" ht="25" customHeight="1" s="55">
      <c r="A51" s="57" t="n">
        <v>50</v>
      </c>
      <c r="B51" s="57" t="n">
        <v>50</v>
      </c>
      <c r="C51" s="57" t="inlineStr">
        <is>
          <t>Cherokee Purple</t>
        </is>
      </c>
      <c r="D51" s="57" t="inlineStr">
        <is>
          <t>Cherokee Purple</t>
        </is>
      </c>
      <c r="E51" s="57" t="inlineStr">
        <is>
          <t>Breeding Trial</t>
        </is>
      </c>
      <c r="F51" s="57" t="n">
        <v>4</v>
      </c>
      <c r="G51" s="57" t="inlineStr">
        <is>
          <t>Indeterminate</t>
        </is>
      </c>
      <c r="H51" s="57" t="inlineStr">
        <is>
          <t>large tomatoes</t>
        </is>
      </c>
      <c r="I51" s="57" t="inlineStr">
        <is>
          <t>purple</t>
        </is>
      </c>
      <c r="J51" s="58" t="inlineStr">
        <is>
          <t>N/A</t>
        </is>
      </c>
    </row>
    <row r="52" ht="25" customHeight="1" s="55">
      <c r="A52" s="57" t="n">
        <v>51</v>
      </c>
      <c r="B52" s="57" t="n">
        <v>51</v>
      </c>
      <c r="C52" s="57" t="inlineStr">
        <is>
          <t>NC25202G</t>
        </is>
      </c>
      <c r="D52" s="57" t="inlineStr">
        <is>
          <t>NC 25202G</t>
        </is>
      </c>
      <c r="E52" s="57" t="inlineStr">
        <is>
          <t>Hybrid evaluation</t>
        </is>
      </c>
      <c r="F52" s="57" t="n">
        <v>4</v>
      </c>
      <c r="G52" s="57" t="inlineStr">
        <is>
          <t>Indeterminate</t>
        </is>
      </c>
      <c r="H52" s="57" t="inlineStr">
        <is>
          <t>large tomatoes</t>
        </is>
      </c>
      <c r="I52" s="57" t="inlineStr">
        <is>
          <t>red</t>
        </is>
      </c>
      <c r="J52" s="57" t="inlineStr">
        <is>
          <t>Need to be tested for disease markers</t>
        </is>
      </c>
    </row>
    <row r="53" ht="25" customHeight="1" s="55">
      <c r="A53" s="57" t="n">
        <v>52</v>
      </c>
      <c r="B53" s="57" t="n">
        <v>52</v>
      </c>
      <c r="C53" s="57" t="inlineStr">
        <is>
          <t>NC25203G</t>
        </is>
      </c>
      <c r="D53" s="57" t="inlineStr">
        <is>
          <t>NC 25203G</t>
        </is>
      </c>
      <c r="E53" s="57" t="inlineStr">
        <is>
          <t>Hybrid evaluation</t>
        </is>
      </c>
      <c r="F53" s="57" t="n">
        <v>4</v>
      </c>
      <c r="G53" s="57" t="inlineStr">
        <is>
          <t>Indeterminate</t>
        </is>
      </c>
      <c r="H53" s="57" t="inlineStr">
        <is>
          <t>large tomatoes</t>
        </is>
      </c>
      <c r="I53" s="57" t="inlineStr">
        <is>
          <t>purple</t>
        </is>
      </c>
      <c r="J53" s="58" t="inlineStr">
        <is>
          <t>N/A</t>
        </is>
      </c>
    </row>
    <row r="54" ht="25" customHeight="1" s="55">
      <c r="A54" s="57" t="n">
        <v>53</v>
      </c>
      <c r="B54" s="57" t="n">
        <v>53</v>
      </c>
      <c r="C54" s="57" t="inlineStr">
        <is>
          <t>NC25205G</t>
        </is>
      </c>
      <c r="D54" s="57" t="inlineStr">
        <is>
          <t>NC 25205G</t>
        </is>
      </c>
      <c r="E54" s="57" t="inlineStr">
        <is>
          <t>Hybrid evaluation</t>
        </is>
      </c>
      <c r="F54" s="57" t="n">
        <v>4</v>
      </c>
      <c r="G54" s="57" t="inlineStr">
        <is>
          <t>Indeterminate</t>
        </is>
      </c>
      <c r="H54" s="57" t="inlineStr">
        <is>
          <t>large tomatoes</t>
        </is>
      </c>
      <c r="I54" s="57" t="inlineStr">
        <is>
          <t>red</t>
        </is>
      </c>
      <c r="J54" s="58" t="inlineStr">
        <is>
          <t>N/A</t>
        </is>
      </c>
    </row>
    <row r="55" ht="25" customHeight="1" s="55">
      <c r="A55" s="57" t="n">
        <v>54</v>
      </c>
      <c r="B55" s="57" t="n">
        <v>54</v>
      </c>
      <c r="C55" s="57" t="inlineStr">
        <is>
          <t>NC25207G</t>
        </is>
      </c>
      <c r="D55" s="57" t="inlineStr">
        <is>
          <t>NC 25207G</t>
        </is>
      </c>
      <c r="E55" s="57" t="inlineStr">
        <is>
          <t>Hybrid evaluation</t>
        </is>
      </c>
      <c r="F55" s="57" t="n">
        <v>4</v>
      </c>
      <c r="G55" s="57" t="inlineStr">
        <is>
          <t>Indeterminate</t>
        </is>
      </c>
      <c r="H55" s="57" t="inlineStr">
        <is>
          <t>large tomatoes</t>
        </is>
      </c>
      <c r="I55" s="57" t="inlineStr">
        <is>
          <t>pink</t>
        </is>
      </c>
      <c r="J55" s="58" t="inlineStr">
        <is>
          <t>N/A</t>
        </is>
      </c>
    </row>
    <row r="56" ht="25" customHeight="1" s="55">
      <c r="A56" s="57" t="n">
        <v>55</v>
      </c>
      <c r="B56" s="57" t="n">
        <v>55</v>
      </c>
      <c r="C56" s="57" t="inlineStr">
        <is>
          <t>NC25208G</t>
        </is>
      </c>
      <c r="D56" s="57" t="inlineStr">
        <is>
          <t>NC 25208G</t>
        </is>
      </c>
      <c r="E56" s="57" t="inlineStr">
        <is>
          <t>Hybrid evaluation</t>
        </is>
      </c>
      <c r="F56" s="57" t="n">
        <v>4</v>
      </c>
      <c r="G56" s="57" t="inlineStr">
        <is>
          <t>Indeterminate</t>
        </is>
      </c>
      <c r="H56" s="57" t="inlineStr">
        <is>
          <t>large tomatoes</t>
        </is>
      </c>
      <c r="I56" s="57" t="inlineStr">
        <is>
          <t>red</t>
        </is>
      </c>
      <c r="J56" s="58" t="inlineStr">
        <is>
          <t>N/A</t>
        </is>
      </c>
    </row>
    <row r="57" ht="25" customHeight="1" s="55">
      <c r="A57" s="57" t="n">
        <v>56</v>
      </c>
      <c r="B57" s="57" t="n">
        <v>56</v>
      </c>
      <c r="C57" s="57" t="inlineStr">
        <is>
          <t>NC25209G</t>
        </is>
      </c>
      <c r="D57" s="57" t="inlineStr">
        <is>
          <t>NC 25209G</t>
        </is>
      </c>
      <c r="E57" s="57" t="inlineStr">
        <is>
          <t>Hybrid evaluation</t>
        </is>
      </c>
      <c r="F57" s="57" t="n">
        <v>4</v>
      </c>
      <c r="G57" s="57" t="inlineStr">
        <is>
          <t>Indeterminate</t>
        </is>
      </c>
      <c r="H57" s="57" t="inlineStr">
        <is>
          <t>large tomatoes</t>
        </is>
      </c>
      <c r="I57" s="57" t="inlineStr">
        <is>
          <t>pink</t>
        </is>
      </c>
      <c r="J57" s="58" t="inlineStr">
        <is>
          <t>N/A</t>
        </is>
      </c>
    </row>
    <row r="58" ht="25" customHeight="1" s="55">
      <c r="A58" s="57" t="n">
        <v>57</v>
      </c>
      <c r="B58" s="57" t="n">
        <v>57</v>
      </c>
      <c r="C58" s="57" t="inlineStr">
        <is>
          <t>NC25210G</t>
        </is>
      </c>
      <c r="D58" s="57" t="inlineStr">
        <is>
          <t>NC 25210G</t>
        </is>
      </c>
      <c r="E58" s="57" t="inlineStr">
        <is>
          <t>Hybrid evaluation</t>
        </is>
      </c>
      <c r="F58" s="57" t="n">
        <v>4</v>
      </c>
      <c r="G58" s="57" t="inlineStr">
        <is>
          <t>Indeterminate</t>
        </is>
      </c>
      <c r="H58" s="57" t="inlineStr">
        <is>
          <t>large tomatoes</t>
        </is>
      </c>
      <c r="I58" s="57" t="inlineStr">
        <is>
          <t>red</t>
        </is>
      </c>
      <c r="J58" s="58" t="inlineStr">
        <is>
          <t>N/A</t>
        </is>
      </c>
    </row>
    <row r="59" ht="25" customHeight="1" s="55">
      <c r="A59" s="57" t="n">
        <v>58</v>
      </c>
      <c r="B59" s="57" t="n">
        <v>58</v>
      </c>
      <c r="C59" s="57" t="inlineStr">
        <is>
          <t>NC25212G</t>
        </is>
      </c>
      <c r="D59" s="57" t="inlineStr">
        <is>
          <t>NC 25212G</t>
        </is>
      </c>
      <c r="E59" s="57" t="inlineStr">
        <is>
          <t>Hybrid evaluation</t>
        </is>
      </c>
      <c r="F59" s="57" t="n">
        <v>4</v>
      </c>
      <c r="G59" s="57" t="inlineStr">
        <is>
          <t>Indeterminate</t>
        </is>
      </c>
      <c r="H59" s="57" t="inlineStr">
        <is>
          <t>large tomatoes</t>
        </is>
      </c>
      <c r="I59" s="57" t="inlineStr">
        <is>
          <t>pink</t>
        </is>
      </c>
      <c r="J59" s="58" t="inlineStr">
        <is>
          <t>N/A</t>
        </is>
      </c>
    </row>
    <row r="60" ht="25" customHeight="1" s="55">
      <c r="A60" s="57" t="n">
        <v>59</v>
      </c>
      <c r="B60" s="57" t="n">
        <v>59</v>
      </c>
      <c r="C60" s="57" t="inlineStr">
        <is>
          <t>NC25217G</t>
        </is>
      </c>
      <c r="D60" s="57" t="inlineStr">
        <is>
          <t>NC 25217G</t>
        </is>
      </c>
      <c r="E60" s="57" t="inlineStr">
        <is>
          <t>Hybrid evaluation</t>
        </is>
      </c>
      <c r="F60" s="57" t="n">
        <v>4</v>
      </c>
      <c r="G60" s="57" t="inlineStr">
        <is>
          <t>Indeterminate</t>
        </is>
      </c>
      <c r="H60" s="57" t="inlineStr">
        <is>
          <t>large tomatoes</t>
        </is>
      </c>
      <c r="I60" s="57" t="inlineStr">
        <is>
          <t>re</t>
        </is>
      </c>
      <c r="J60" s="58" t="inlineStr">
        <is>
          <t>N/A</t>
        </is>
      </c>
    </row>
    <row r="61" ht="25" customHeight="1" s="55">
      <c r="A61" s="57" t="n">
        <v>60</v>
      </c>
      <c r="B61" s="57" t="n">
        <v>60</v>
      </c>
      <c r="C61" s="57" t="inlineStr">
        <is>
          <t>NC25230G</t>
        </is>
      </c>
      <c r="D61" s="57" t="inlineStr">
        <is>
          <t>NC 25230G</t>
        </is>
      </c>
      <c r="E61" s="57" t="inlineStr">
        <is>
          <t>Hybrid evaluation</t>
        </is>
      </c>
      <c r="F61" s="57" t="n">
        <v>4</v>
      </c>
      <c r="G61" s="57" t="inlineStr">
        <is>
          <t>Indeterminate</t>
        </is>
      </c>
      <c r="H61" s="57" t="inlineStr">
        <is>
          <t>large tomatoes</t>
        </is>
      </c>
      <c r="I61" s="57" t="inlineStr">
        <is>
          <t>pink</t>
        </is>
      </c>
      <c r="J61" s="58" t="inlineStr">
        <is>
          <t>N/A</t>
        </is>
      </c>
    </row>
    <row r="62" ht="25" customHeight="1" s="55">
      <c r="A62" s="57" t="n">
        <v>61</v>
      </c>
      <c r="B62" s="57" t="n">
        <v>61</v>
      </c>
      <c r="C62" s="57" t="inlineStr">
        <is>
          <t>NC25231G</t>
        </is>
      </c>
      <c r="D62" s="57" t="inlineStr">
        <is>
          <t>NC 25231G</t>
        </is>
      </c>
      <c r="E62" s="57" t="inlineStr">
        <is>
          <t>Hybrid evaluation</t>
        </is>
      </c>
      <c r="F62" s="57" t="n">
        <v>4</v>
      </c>
      <c r="G62" s="57" t="inlineStr">
        <is>
          <t>Indeterminate</t>
        </is>
      </c>
      <c r="H62" s="57" t="inlineStr">
        <is>
          <t>large tomatoes</t>
        </is>
      </c>
      <c r="I62" s="57" t="inlineStr">
        <is>
          <t>pink</t>
        </is>
      </c>
      <c r="J62" s="58" t="inlineStr">
        <is>
          <t>N/A</t>
        </is>
      </c>
    </row>
    <row r="63" ht="25" customHeight="1" s="55">
      <c r="A63" s="57" t="n">
        <v>62</v>
      </c>
      <c r="B63" s="57" t="n">
        <v>62</v>
      </c>
      <c r="C63" s="57" t="inlineStr">
        <is>
          <t>NC25240G</t>
        </is>
      </c>
      <c r="D63" s="57" t="inlineStr">
        <is>
          <t>NC 25240G</t>
        </is>
      </c>
      <c r="E63" s="57" t="inlineStr">
        <is>
          <t>Hybrid evaluation</t>
        </is>
      </c>
      <c r="F63" s="57" t="n">
        <v>4</v>
      </c>
      <c r="G63" s="57" t="inlineStr">
        <is>
          <t>Indeterminate</t>
        </is>
      </c>
      <c r="H63" s="57" t="inlineStr">
        <is>
          <t>large tomatoes</t>
        </is>
      </c>
      <c r="I63" s="57" t="inlineStr">
        <is>
          <t>pink</t>
        </is>
      </c>
      <c r="J63" s="58" t="inlineStr">
        <is>
          <t>N/A</t>
        </is>
      </c>
    </row>
    <row r="64" ht="25" customHeight="1" s="55">
      <c r="A64" s="57" t="n">
        <v>63</v>
      </c>
      <c r="B64" s="57" t="n">
        <v>63</v>
      </c>
      <c r="C64" s="57" t="inlineStr">
        <is>
          <t>NC25241G</t>
        </is>
      </c>
      <c r="D64" s="57" t="inlineStr">
        <is>
          <t>NC 25241G</t>
        </is>
      </c>
      <c r="E64" s="57" t="inlineStr">
        <is>
          <t>Hybrid evaluation</t>
        </is>
      </c>
      <c r="F64" s="57" t="n">
        <v>4</v>
      </c>
      <c r="G64" s="57" t="inlineStr">
        <is>
          <t>Indeterminate</t>
        </is>
      </c>
      <c r="H64" s="57" t="inlineStr">
        <is>
          <t>large tomatoes</t>
        </is>
      </c>
      <c r="I64" s="57" t="inlineStr">
        <is>
          <t>pink</t>
        </is>
      </c>
      <c r="J64" s="58" t="inlineStr">
        <is>
          <t>N/A</t>
        </is>
      </c>
    </row>
    <row r="65" ht="25" customHeight="1" s="55">
      <c r="A65" s="57" t="n">
        <v>64</v>
      </c>
      <c r="B65" s="57" t="n">
        <v>64</v>
      </c>
      <c r="C65" s="57" t="inlineStr">
        <is>
          <t>NC24271G</t>
        </is>
      </c>
      <c r="D65" s="57" t="inlineStr">
        <is>
          <t>NC 24271G</t>
        </is>
      </c>
      <c r="E65" s="57" t="inlineStr">
        <is>
          <t>Hybrid evaluation</t>
        </is>
      </c>
      <c r="F65" s="57" t="n">
        <v>4</v>
      </c>
      <c r="G65" s="57" t="inlineStr">
        <is>
          <t>Indeterminate</t>
        </is>
      </c>
      <c r="H65" s="57" t="inlineStr">
        <is>
          <t>large tomatoes</t>
        </is>
      </c>
      <c r="I65" s="57" t="inlineStr">
        <is>
          <t>purple</t>
        </is>
      </c>
      <c r="J65" s="58" t="inlineStr">
        <is>
          <t>N/A</t>
        </is>
      </c>
    </row>
    <row r="66" ht="25" customHeight="1" s="55">
      <c r="A66" s="57" t="n">
        <v>65</v>
      </c>
      <c r="B66" s="57" t="n">
        <v>65</v>
      </c>
      <c r="C66" s="57" t="inlineStr">
        <is>
          <t>NC252G</t>
        </is>
      </c>
      <c r="D66" s="57" t="inlineStr">
        <is>
          <t>NC 252G</t>
        </is>
      </c>
      <c r="E66" s="57" t="inlineStr">
        <is>
          <t>Hybrid evaluation</t>
        </is>
      </c>
      <c r="F66" s="57" t="n">
        <v>4</v>
      </c>
      <c r="G66" s="57" t="inlineStr">
        <is>
          <t>Indeterminate</t>
        </is>
      </c>
      <c r="H66" s="57" t="inlineStr">
        <is>
          <t>large tomatoes</t>
        </is>
      </c>
      <c r="I66" s="57" t="inlineStr">
        <is>
          <t>tangerine</t>
        </is>
      </c>
      <c r="J66" s="58" t="inlineStr">
        <is>
          <t>N/A</t>
        </is>
      </c>
    </row>
    <row r="67" ht="25" customHeight="1" s="55">
      <c r="A67" s="57" t="n">
        <v>66</v>
      </c>
      <c r="B67" s="57" t="n">
        <v>66</v>
      </c>
      <c r="C67" s="57" t="inlineStr">
        <is>
          <t>NC255G</t>
        </is>
      </c>
      <c r="D67" s="57" t="inlineStr">
        <is>
          <t>NC 255G</t>
        </is>
      </c>
      <c r="E67" s="57" t="inlineStr">
        <is>
          <t>Hybrid evaluation</t>
        </is>
      </c>
      <c r="F67" s="57" t="n">
        <v>4</v>
      </c>
      <c r="G67" s="57" t="inlineStr">
        <is>
          <t>Indeterminate</t>
        </is>
      </c>
      <c r="H67" s="57" t="inlineStr">
        <is>
          <t>large tomatoes</t>
        </is>
      </c>
      <c r="I67" s="57" t="inlineStr">
        <is>
          <t>tangerine</t>
        </is>
      </c>
      <c r="J67" s="58" t="inlineStr">
        <is>
          <t>N/A</t>
        </is>
      </c>
    </row>
    <row r="68" ht="25" customHeight="1" s="55">
      <c r="A68" s="57" t="n">
        <v>67</v>
      </c>
      <c r="B68" s="57" t="n">
        <v>67</v>
      </c>
      <c r="C68" s="57" t="inlineStr">
        <is>
          <t>NC23706G</t>
        </is>
      </c>
      <c r="D68" s="57" t="inlineStr">
        <is>
          <t>NC 23706G</t>
        </is>
      </c>
      <c r="E68" s="57" t="inlineStr">
        <is>
          <t>Hybrid evaluation</t>
        </is>
      </c>
      <c r="F68" s="57" t="n">
        <v>4</v>
      </c>
      <c r="G68" s="57" t="inlineStr">
        <is>
          <t>Indeterminate</t>
        </is>
      </c>
      <c r="H68" s="57" t="inlineStr">
        <is>
          <t>large tomatoes</t>
        </is>
      </c>
      <c r="I68" s="57" t="inlineStr">
        <is>
          <t>yellow/red bicolor</t>
        </is>
      </c>
      <c r="J68" s="58" t="inlineStr">
        <is>
          <t>N/A</t>
        </is>
      </c>
    </row>
    <row r="69" ht="25" customHeight="1" s="55">
      <c r="A69" s="57" t="n">
        <v>68</v>
      </c>
      <c r="B69" s="57" t="n">
        <v>68</v>
      </c>
      <c r="C69" s="57" t="inlineStr">
        <is>
          <t>NC23926G</t>
        </is>
      </c>
      <c r="D69" s="57" t="inlineStr">
        <is>
          <t>NC 23926G</t>
        </is>
      </c>
      <c r="E69" s="57" t="inlineStr">
        <is>
          <t>Hybrid evaluation</t>
        </is>
      </c>
      <c r="F69" s="57" t="n">
        <v>4</v>
      </c>
      <c r="G69" s="57" t="inlineStr">
        <is>
          <t>Indeterminate</t>
        </is>
      </c>
      <c r="H69" s="57" t="inlineStr">
        <is>
          <t>large tomatoes</t>
        </is>
      </c>
      <c r="I69" s="57" t="inlineStr">
        <is>
          <t>yellow/red bicolor</t>
        </is>
      </c>
      <c r="J69" s="58" t="inlineStr">
        <is>
          <t>N/A</t>
        </is>
      </c>
    </row>
    <row r="70" ht="25" customHeight="1" s="55">
      <c r="A70" s="57" t="n">
        <v>69</v>
      </c>
      <c r="B70" s="57" t="n">
        <v>69</v>
      </c>
      <c r="C70" s="57" t="inlineStr">
        <is>
          <t>NC261G</t>
        </is>
      </c>
      <c r="D70" s="57" t="inlineStr">
        <is>
          <t>NC 261G</t>
        </is>
      </c>
      <c r="E70" s="57" t="inlineStr">
        <is>
          <t>Hybrid evaluation</t>
        </is>
      </c>
      <c r="F70" s="57" t="n">
        <v>4</v>
      </c>
      <c r="G70" s="57" t="inlineStr">
        <is>
          <t>Indeterminate</t>
        </is>
      </c>
      <c r="H70" s="57" t="inlineStr">
        <is>
          <t>large tomatoes</t>
        </is>
      </c>
      <c r="I70" s="57" t="inlineStr">
        <is>
          <t>purple</t>
        </is>
      </c>
      <c r="J70" s="58" t="inlineStr">
        <is>
          <t>N/A</t>
        </is>
      </c>
    </row>
    <row r="71" ht="25" customHeight="1" s="55">
      <c r="A71" s="57" t="n">
        <v>70</v>
      </c>
      <c r="B71" s="57" t="n">
        <v>70</v>
      </c>
      <c r="C71" s="57" t="inlineStr">
        <is>
          <t>NC262G</t>
        </is>
      </c>
      <c r="D71" s="57" t="inlineStr">
        <is>
          <t>NC 262G</t>
        </is>
      </c>
      <c r="E71" s="57" t="inlineStr">
        <is>
          <t>Hybrid evaluation</t>
        </is>
      </c>
      <c r="F71" s="57" t="n">
        <v>4</v>
      </c>
      <c r="G71" s="57" t="inlineStr">
        <is>
          <t>Indeterminate</t>
        </is>
      </c>
      <c r="H71" s="57" t="inlineStr">
        <is>
          <t>large tomatoes</t>
        </is>
      </c>
      <c r="I71" s="57" t="inlineStr">
        <is>
          <t>purple</t>
        </is>
      </c>
      <c r="J71" s="58" t="inlineStr">
        <is>
          <t>N/A</t>
        </is>
      </c>
    </row>
    <row r="72" ht="25" customHeight="1" s="55">
      <c r="A72" s="57" t="n">
        <v>71</v>
      </c>
      <c r="B72" s="57" t="n">
        <v>71</v>
      </c>
      <c r="C72" s="57" t="inlineStr">
        <is>
          <t>NC263G</t>
        </is>
      </c>
      <c r="D72" s="57" t="inlineStr">
        <is>
          <t>NC 263G</t>
        </is>
      </c>
      <c r="E72" s="57" t="inlineStr">
        <is>
          <t>Hybrid evaluation</t>
        </is>
      </c>
      <c r="F72" s="57" t="n">
        <v>4</v>
      </c>
      <c r="G72" s="57" t="inlineStr">
        <is>
          <t>Indeterminate</t>
        </is>
      </c>
      <c r="H72" s="57" t="inlineStr">
        <is>
          <t>large tomatoes</t>
        </is>
      </c>
      <c r="I72" s="57" t="inlineStr">
        <is>
          <t>greeen</t>
        </is>
      </c>
      <c r="J72" s="58" t="inlineStr">
        <is>
          <t>N/A</t>
        </is>
      </c>
    </row>
    <row r="73" ht="25" customHeight="1" s="55">
      <c r="A73" s="57" t="n">
        <v>72</v>
      </c>
      <c r="B73" s="57" t="n">
        <v>72</v>
      </c>
      <c r="C73" s="57" t="inlineStr">
        <is>
          <t>NC264G</t>
        </is>
      </c>
      <c r="D73" s="57" t="inlineStr">
        <is>
          <t>NC 264G</t>
        </is>
      </c>
      <c r="E73" s="57" t="inlineStr">
        <is>
          <t>Hybrid evaluation</t>
        </is>
      </c>
      <c r="F73" s="57" t="n">
        <v>4</v>
      </c>
      <c r="G73" s="57" t="inlineStr">
        <is>
          <t>Indeterminate</t>
        </is>
      </c>
      <c r="H73" s="57" t="inlineStr">
        <is>
          <t>large tomatoes</t>
        </is>
      </c>
      <c r="I73" s="57" t="inlineStr">
        <is>
          <t>red</t>
        </is>
      </c>
      <c r="J73" s="58" t="inlineStr">
        <is>
          <t>N/A</t>
        </is>
      </c>
    </row>
    <row r="74" ht="25" customHeight="1" s="55">
      <c r="A74" s="57" t="n">
        <v>73</v>
      </c>
      <c r="B74" s="57" t="n">
        <v>73</v>
      </c>
      <c r="C74" s="57" t="inlineStr">
        <is>
          <t>NC25218G</t>
        </is>
      </c>
      <c r="D74" s="57" t="inlineStr">
        <is>
          <t>NC 25218G</t>
        </is>
      </c>
      <c r="E74" s="57" t="inlineStr">
        <is>
          <t>Hybrid evaluation</t>
        </is>
      </c>
      <c r="F74" s="57" t="n">
        <v>4</v>
      </c>
      <c r="G74" s="57" t="inlineStr">
        <is>
          <t>Determinate</t>
        </is>
      </c>
      <c r="H74" s="57" t="inlineStr">
        <is>
          <t>large tomatoes</t>
        </is>
      </c>
      <c r="I74" s="57" t="inlineStr">
        <is>
          <t>red</t>
        </is>
      </c>
      <c r="J74" s="58" t="inlineStr">
        <is>
          <t>N/A</t>
        </is>
      </c>
    </row>
    <row r="75" ht="25" customHeight="1" s="55">
      <c r="A75" s="57" t="n">
        <v>74</v>
      </c>
      <c r="B75" s="57" t="n">
        <v>74</v>
      </c>
      <c r="C75" s="57" t="inlineStr">
        <is>
          <t>NC25304G</t>
        </is>
      </c>
      <c r="D75" s="57" t="inlineStr">
        <is>
          <t>NC 25304G</t>
        </is>
      </c>
      <c r="E75" s="57" t="inlineStr">
        <is>
          <t>Hybrid evaluation</t>
        </is>
      </c>
      <c r="F75" s="57" t="n">
        <v>4</v>
      </c>
      <c r="G75" s="57" t="inlineStr">
        <is>
          <t>Determinate</t>
        </is>
      </c>
      <c r="H75" s="57" t="inlineStr">
        <is>
          <t>large tomatoes</t>
        </is>
      </c>
      <c r="I75" s="57" t="inlineStr">
        <is>
          <t>pink</t>
        </is>
      </c>
      <c r="J75" s="58" t="inlineStr">
        <is>
          <t>N/A</t>
        </is>
      </c>
    </row>
    <row r="76" ht="25" customHeight="1" s="55">
      <c r="A76" s="57" t="n">
        <v>75</v>
      </c>
      <c r="B76" s="57" t="n">
        <v>75</v>
      </c>
      <c r="C76" s="57" t="inlineStr">
        <is>
          <t>NC25306G</t>
        </is>
      </c>
      <c r="D76" s="57" t="inlineStr">
        <is>
          <t>NC 25306G</t>
        </is>
      </c>
      <c r="E76" s="57" t="inlineStr">
        <is>
          <t>Hybrid evaluation</t>
        </is>
      </c>
      <c r="F76" s="57" t="n">
        <v>4</v>
      </c>
      <c r="G76" s="57" t="inlineStr">
        <is>
          <t>Determinate</t>
        </is>
      </c>
      <c r="H76" s="57" t="inlineStr">
        <is>
          <t>large tomatoes</t>
        </is>
      </c>
      <c r="I76" s="57" t="inlineStr">
        <is>
          <t>pink</t>
        </is>
      </c>
      <c r="J76" s="58" t="inlineStr">
        <is>
          <t>N/A</t>
        </is>
      </c>
    </row>
    <row r="77" ht="25" customHeight="1" s="55">
      <c r="A77" s="57" t="n">
        <v>76</v>
      </c>
      <c r="B77" s="57" t="n">
        <v>76</v>
      </c>
      <c r="C77" s="57" t="inlineStr">
        <is>
          <t>NC25311G</t>
        </is>
      </c>
      <c r="D77" s="57" t="inlineStr">
        <is>
          <t>NC 25311G</t>
        </is>
      </c>
      <c r="E77" s="57" t="inlineStr">
        <is>
          <t>Hybrid evaluation</t>
        </is>
      </c>
      <c r="F77" s="57" t="n">
        <v>4</v>
      </c>
      <c r="G77" s="57" t="inlineStr">
        <is>
          <t>Determinate</t>
        </is>
      </c>
      <c r="H77" s="57" t="inlineStr">
        <is>
          <t>large tomatoes</t>
        </is>
      </c>
      <c r="I77" s="57" t="inlineStr">
        <is>
          <t>pink</t>
        </is>
      </c>
      <c r="J77" s="58" t="inlineStr">
        <is>
          <t>N/A</t>
        </is>
      </c>
    </row>
    <row r="78" ht="25" customHeight="1" s="55">
      <c r="A78" s="57" t="n">
        <v>77</v>
      </c>
      <c r="B78" s="57" t="n">
        <v>77</v>
      </c>
      <c r="C78" s="57" t="inlineStr">
        <is>
          <t>NC25313G</t>
        </is>
      </c>
      <c r="D78" s="57" t="inlineStr">
        <is>
          <t>NC 25313G</t>
        </is>
      </c>
      <c r="E78" s="57" t="inlineStr">
        <is>
          <t>Hybrid evaluation</t>
        </is>
      </c>
      <c r="F78" s="57" t="n">
        <v>4</v>
      </c>
      <c r="G78" s="57" t="inlineStr">
        <is>
          <t>Determinate</t>
        </is>
      </c>
      <c r="H78" s="57" t="inlineStr">
        <is>
          <t>large tomatoes</t>
        </is>
      </c>
      <c r="I78" s="57" t="inlineStr">
        <is>
          <t>purple</t>
        </is>
      </c>
      <c r="J78" s="58" t="inlineStr">
        <is>
          <t>N/A</t>
        </is>
      </c>
    </row>
    <row r="79" ht="25" customHeight="1" s="55">
      <c r="A79" s="57" t="n">
        <v>78</v>
      </c>
      <c r="B79" s="57" t="n">
        <v>78</v>
      </c>
      <c r="C79" s="57" t="inlineStr">
        <is>
          <t>NC25315G</t>
        </is>
      </c>
      <c r="D79" s="57" t="inlineStr">
        <is>
          <t>NC 25315G</t>
        </is>
      </c>
      <c r="E79" s="57" t="inlineStr">
        <is>
          <t>Hybrid evaluation</t>
        </is>
      </c>
      <c r="F79" s="57" t="n">
        <v>4</v>
      </c>
      <c r="G79" s="57" t="inlineStr">
        <is>
          <t>Determinate</t>
        </is>
      </c>
      <c r="H79" s="57" t="inlineStr">
        <is>
          <t>large tomatoes</t>
        </is>
      </c>
      <c r="I79" s="57" t="inlineStr">
        <is>
          <t>pink</t>
        </is>
      </c>
      <c r="J79" s="58" t="inlineStr">
        <is>
          <t>N/A</t>
        </is>
      </c>
    </row>
    <row r="80" ht="25" customHeight="1" s="55">
      <c r="A80" s="57" t="n">
        <v>79</v>
      </c>
      <c r="B80" s="57" t="n">
        <v>79</v>
      </c>
      <c r="C80" s="57" t="inlineStr">
        <is>
          <t>NC25317G</t>
        </is>
      </c>
      <c r="D80" s="57" t="inlineStr">
        <is>
          <t>NC 25317G</t>
        </is>
      </c>
      <c r="E80" s="57" t="inlineStr">
        <is>
          <t>Hybrid evaluation</t>
        </is>
      </c>
      <c r="F80" s="57" t="n">
        <v>4</v>
      </c>
      <c r="G80" s="57" t="inlineStr">
        <is>
          <t>Determinate</t>
        </is>
      </c>
      <c r="H80" s="57" t="inlineStr">
        <is>
          <t>large tomatoes</t>
        </is>
      </c>
      <c r="I80" s="57" t="inlineStr">
        <is>
          <t>pink</t>
        </is>
      </c>
      <c r="J80" s="58" t="inlineStr">
        <is>
          <t>N/A</t>
        </is>
      </c>
    </row>
    <row r="81" ht="25" customHeight="1" s="55">
      <c r="A81" s="57" t="n">
        <v>80</v>
      </c>
      <c r="B81" s="57" t="n">
        <v>80</v>
      </c>
      <c r="C81" s="57" t="inlineStr">
        <is>
          <t>Mt. Magic</t>
        </is>
      </c>
      <c r="D81" s="57" t="inlineStr">
        <is>
          <t>Mountain Magic</t>
        </is>
      </c>
      <c r="E81" s="57" t="inlineStr">
        <is>
          <t>Hybrid evaluation</t>
        </is>
      </c>
      <c r="F81" s="57" t="n">
        <v>4</v>
      </c>
      <c r="G81" s="57" t="inlineStr">
        <is>
          <t>Determinate</t>
        </is>
      </c>
      <c r="H81" s="57" t="inlineStr">
        <is>
          <t>large tomatoes</t>
        </is>
      </c>
      <c r="I81" s="57" t="inlineStr">
        <is>
          <t>red</t>
        </is>
      </c>
      <c r="J81" s="58" t="inlineStr">
        <is>
          <t>N/A</t>
        </is>
      </c>
    </row>
    <row r="82" ht="25" customHeight="1" s="55">
      <c r="A82" s="57" t="n">
        <v>81</v>
      </c>
      <c r="B82" s="57" t="n">
        <v>81</v>
      </c>
      <c r="C82" s="57" t="inlineStr">
        <is>
          <t>Mt. Girl</t>
        </is>
      </c>
      <c r="D82" s="57" t="inlineStr">
        <is>
          <t>Mountain Girl</t>
        </is>
      </c>
      <c r="E82" s="57" t="inlineStr">
        <is>
          <t>Hybrid evaluation</t>
        </is>
      </c>
      <c r="F82" s="57" t="n">
        <v>4</v>
      </c>
      <c r="G82" s="57" t="inlineStr">
        <is>
          <t>Determinate</t>
        </is>
      </c>
      <c r="H82" s="57" t="inlineStr">
        <is>
          <t>large tomatoes</t>
        </is>
      </c>
      <c r="I82" s="57" t="inlineStr">
        <is>
          <t>red</t>
        </is>
      </c>
      <c r="J82" s="58" t="inlineStr">
        <is>
          <t>N/A</t>
        </is>
      </c>
    </row>
    <row r="83" ht="25" customHeight="1" s="55">
      <c r="A83" s="57" t="n">
        <v>82</v>
      </c>
      <c r="B83" s="57" t="n">
        <v>82</v>
      </c>
      <c r="C83" s="57" t="inlineStr">
        <is>
          <t>Mt. Heritage</t>
        </is>
      </c>
      <c r="D83" s="57" t="inlineStr">
        <is>
          <t>Mountain Heritage</t>
        </is>
      </c>
      <c r="E83" s="57" t="inlineStr">
        <is>
          <t>Hybrid evaluation</t>
        </is>
      </c>
      <c r="F83" s="57" t="n">
        <v>4</v>
      </c>
      <c r="G83" s="57" t="inlineStr">
        <is>
          <t>Determinate</t>
        </is>
      </c>
      <c r="H83" s="57" t="inlineStr">
        <is>
          <t>large tomatoes</t>
        </is>
      </c>
      <c r="I83" s="57" t="inlineStr">
        <is>
          <t>red</t>
        </is>
      </c>
      <c r="J83" s="58" t="inlineStr">
        <is>
          <t>N/A</t>
        </is>
      </c>
    </row>
    <row r="84" ht="25" customHeight="1" s="55">
      <c r="A84" s="57" t="n">
        <v>83</v>
      </c>
      <c r="B84" s="57" t="n">
        <v>83</v>
      </c>
      <c r="C84" s="57" t="inlineStr">
        <is>
          <t>Mt. Gem</t>
        </is>
      </c>
      <c r="D84" s="57" t="inlineStr">
        <is>
          <t>Mountain Gem</t>
        </is>
      </c>
      <c r="E84" s="57" t="inlineStr">
        <is>
          <t>Hybrid evaluation</t>
        </is>
      </c>
      <c r="F84" s="57" t="n">
        <v>4</v>
      </c>
      <c r="G84" s="57" t="inlineStr">
        <is>
          <t>Determinate</t>
        </is>
      </c>
      <c r="H84" s="57" t="inlineStr">
        <is>
          <t>large tomatoes</t>
        </is>
      </c>
      <c r="I84" s="57" t="inlineStr">
        <is>
          <t>red</t>
        </is>
      </c>
      <c r="J84" s="58" t="inlineStr">
        <is>
          <t>N/A</t>
        </is>
      </c>
    </row>
  </sheetData>
  <autoFilter ref="A1:J8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241"/>
  <sheetViews>
    <sheetView showGridLines="1" topLeftCell="A1" zoomScaleNormal="150" zoomScaleSheetLayoutView="100" workbookViewId="0">
      <pane ySplit="2" topLeftCell="A3" activePane="bottomLeft" state="frozen"/>
      <selection pane="bottomLeft" activeCell="A1" sqref="A1"/>
    </sheetView>
  </sheetViews>
  <sheetFormatPr baseColWidth="8" defaultColWidth="10.875" defaultRowHeight="16.5" customHeight="0"/>
  <cols>
    <col width="8" customWidth="1" style="55" min="1" max="1"/>
    <col width="13" customWidth="1" style="55" min="2" max="2"/>
    <col width="13" customWidth="1" style="55" min="3" max="3"/>
    <col width="21" customWidth="1" style="55" min="4" max="4"/>
    <col width="9" customWidth="1" style="55" min="5" max="5"/>
    <col width="11" customWidth="1" style="55" min="6" max="6"/>
    <col width="11" customWidth="1" style="55" min="7" max="7"/>
    <col width="11" customWidth="1" style="55" min="8" max="8"/>
    <col width="23" customWidth="1" style="55" min="9" max="9"/>
    <col width="36" customWidth="1" style="55" min="10" max="10"/>
    <col width="14" customWidth="1" style="55" min="11" max="11"/>
    <col width="11" customWidth="1" style="55" min="12" max="12"/>
  </cols>
  <sheetData>
    <row r="1">
      <c r="A1" s="4" t="n"/>
      <c r="B1" s="4" t="n"/>
      <c r="C1" s="4" t="n"/>
      <c r="D1" s="4" t="n"/>
      <c r="E1" s="4" t="n"/>
      <c r="F1" s="51" t="inlineStr">
        <is>
          <t xml:space="preserve">Specific gravity </t>
        </is>
      </c>
    </row>
    <row r="2" ht="18" customHeight="1" s="55">
      <c r="A2" s="56" t="inlineStr">
        <is>
          <t>SN</t>
        </is>
      </c>
      <c r="B2" s="56" t="inlineStr">
        <is>
          <t>Genotypes</t>
        </is>
      </c>
      <c r="C2" s="56" t="inlineStr">
        <is>
          <t>Location</t>
        </is>
      </c>
      <c r="D2" s="56" t="inlineStr">
        <is>
          <t>Date of harvest</t>
        </is>
      </c>
      <c r="E2" s="56" t="inlineStr">
        <is>
          <t>Harvest</t>
        </is>
      </c>
      <c r="F2" s="56" t="inlineStr">
        <is>
          <t>Reading 1</t>
        </is>
      </c>
      <c r="G2" s="56" t="inlineStr">
        <is>
          <t>Reading 2</t>
        </is>
      </c>
      <c r="H2" s="56" t="inlineStr">
        <is>
          <t>Reading 3</t>
        </is>
      </c>
      <c r="I2" s="56" t="inlineStr">
        <is>
          <t>Average</t>
        </is>
      </c>
      <c r="J2" s="56" t="inlineStr">
        <is>
          <t>Brix</t>
        </is>
      </c>
      <c r="K2" s="56" t="inlineStr">
        <is>
          <t>Genotype_raw</t>
        </is>
      </c>
      <c r="L2" s="56" t="inlineStr">
        <is>
          <t>Replicate</t>
        </is>
      </c>
    </row>
    <row r="3" ht="25" customHeight="1" s="55">
      <c r="A3" s="57" t="n">
        <v>1</v>
      </c>
      <c r="B3" s="57" t="inlineStr">
        <is>
          <t>UKYT-25-001</t>
        </is>
      </c>
      <c r="C3" s="57" t="inlineStr">
        <is>
          <t>High tunnel</t>
        </is>
      </c>
      <c r="D3" s="59" t="n">
        <v>46216</v>
      </c>
      <c r="E3" s="57" t="inlineStr">
        <is>
          <t>First</t>
        </is>
      </c>
      <c r="F3" s="57" t="n">
        <v>1.023</v>
      </c>
      <c r="G3" s="57" t="n">
        <v>1.022</v>
      </c>
      <c r="H3" s="57" t="n">
        <v>1.022</v>
      </c>
      <c r="I3" s="57">
        <f>AVERAGE(F3,G3,H3)</f>
        <v/>
      </c>
      <c r="J3" s="57">
        <f>(143.254*(I3^3))-(648.67*(I3^2))+(1125.805*(I3))-620.389</f>
        <v/>
      </c>
      <c r="K3" s="57" t="inlineStr">
        <is>
          <t>25-001</t>
        </is>
      </c>
      <c r="L3" s="58" t="inlineStr">
        <is>
          <t>N/A</t>
        </is>
      </c>
    </row>
    <row r="4" ht="25" customHeight="1" s="55">
      <c r="A4" s="57" t="n">
        <v>2</v>
      </c>
      <c r="B4" s="57" t="inlineStr">
        <is>
          <t>UKYT-25-002</t>
        </is>
      </c>
      <c r="C4" s="57" t="inlineStr">
        <is>
          <t>High tunnel</t>
        </is>
      </c>
      <c r="D4" s="59" t="n">
        <v>46216</v>
      </c>
      <c r="E4" s="57" t="inlineStr">
        <is>
          <t>First</t>
        </is>
      </c>
      <c r="F4" s="57" t="n">
        <v>1.026</v>
      </c>
      <c r="G4" s="57" t="n">
        <v>1.026</v>
      </c>
      <c r="H4" s="57" t="n">
        <v>1.024</v>
      </c>
      <c r="I4" s="57">
        <f>AVERAGE(F4,G4,H4)</f>
        <v/>
      </c>
      <c r="J4" s="57">
        <f>(143.254*(I4^3))-(648.67*(I4^2))+(1125.805*(I4))-620.389</f>
        <v/>
      </c>
      <c r="K4" s="57" t="inlineStr">
        <is>
          <t>25-002</t>
        </is>
      </c>
      <c r="L4" s="58" t="inlineStr">
        <is>
          <t>N/A</t>
        </is>
      </c>
    </row>
    <row r="5" ht="25" customHeight="1" s="55">
      <c r="A5" s="57" t="n">
        <v>3</v>
      </c>
      <c r="B5" s="57" t="inlineStr">
        <is>
          <t>UKYT-25-003</t>
        </is>
      </c>
      <c r="C5" s="57" t="inlineStr">
        <is>
          <t>High tunnel</t>
        </is>
      </c>
      <c r="D5" s="59" t="n">
        <v>46216</v>
      </c>
      <c r="E5" s="57" t="inlineStr">
        <is>
          <t>First</t>
        </is>
      </c>
      <c r="F5" s="57" t="n">
        <v>1.026</v>
      </c>
      <c r="G5" s="57" t="n">
        <v>1.023</v>
      </c>
      <c r="H5" s="57" t="n">
        <v>1.023</v>
      </c>
      <c r="I5" s="57">
        <f>AVERAGE(F5,G5,H5)</f>
        <v/>
      </c>
      <c r="J5" s="57">
        <f>(143.254*(I5^3))-(648.67*(I5^2))+(1125.805*(I5))-620.389</f>
        <v/>
      </c>
      <c r="K5" s="57" t="inlineStr">
        <is>
          <t>25-003</t>
        </is>
      </c>
      <c r="L5" s="58" t="inlineStr">
        <is>
          <t>N/A</t>
        </is>
      </c>
    </row>
    <row r="6" ht="25" customHeight="1" s="55">
      <c r="A6" s="57" t="n">
        <v>4</v>
      </c>
      <c r="B6" s="57" t="inlineStr">
        <is>
          <t>UKYT-25-004</t>
        </is>
      </c>
      <c r="C6" s="57" t="inlineStr">
        <is>
          <t>High tunnel</t>
        </is>
      </c>
      <c r="D6" s="59" t="n">
        <v>46216</v>
      </c>
      <c r="E6" s="57" t="inlineStr">
        <is>
          <t>First</t>
        </is>
      </c>
      <c r="F6" s="57" t="n">
        <v>1.023</v>
      </c>
      <c r="G6" s="57" t="n">
        <v>1.023</v>
      </c>
      <c r="H6" s="57" t="n">
        <v>1.023</v>
      </c>
      <c r="I6" s="57">
        <f>AVERAGE(F6,G6,H6)</f>
        <v/>
      </c>
      <c r="J6" s="57">
        <f>(143.254*(I6^3))-(648.67*(I6^2))+(1125.805*(I6))-620.389</f>
        <v/>
      </c>
      <c r="K6" s="57" t="inlineStr">
        <is>
          <t>25-004</t>
        </is>
      </c>
      <c r="L6" s="58" t="inlineStr">
        <is>
          <t>N/A</t>
        </is>
      </c>
    </row>
    <row r="7" ht="25" customHeight="1" s="55">
      <c r="A7" s="57" t="n">
        <v>5</v>
      </c>
      <c r="B7" s="57" t="inlineStr">
        <is>
          <t>UKYT-25-006</t>
        </is>
      </c>
      <c r="C7" s="57" t="inlineStr">
        <is>
          <t>High tunnel</t>
        </is>
      </c>
      <c r="D7" s="59" t="n">
        <v>46216</v>
      </c>
      <c r="E7" s="57" t="inlineStr">
        <is>
          <t>First</t>
        </is>
      </c>
      <c r="F7" s="57" t="n">
        <v>1.021</v>
      </c>
      <c r="G7" s="57" t="n">
        <v>1.023</v>
      </c>
      <c r="H7" s="57" t="n">
        <v>1.021</v>
      </c>
      <c r="I7" s="57">
        <f>AVERAGE(F7,G7,H7)</f>
        <v/>
      </c>
      <c r="J7" s="57">
        <f>(143.254*(I7^3))-(648.67*(I7^2))+(1125.805*(I7))-620.389</f>
        <v/>
      </c>
      <c r="K7" s="57" t="inlineStr">
        <is>
          <t>25-006</t>
        </is>
      </c>
      <c r="L7" s="58" t="inlineStr">
        <is>
          <t>N/A</t>
        </is>
      </c>
    </row>
    <row r="8" ht="25" customHeight="1" s="55">
      <c r="A8" s="57" t="n">
        <v>6</v>
      </c>
      <c r="B8" s="57" t="inlineStr">
        <is>
          <t>UKYT-25-007</t>
        </is>
      </c>
      <c r="C8" s="57" t="inlineStr">
        <is>
          <t>High tunnel</t>
        </is>
      </c>
      <c r="D8" s="59" t="n">
        <v>46216</v>
      </c>
      <c r="E8" s="57" t="inlineStr">
        <is>
          <t>First</t>
        </is>
      </c>
      <c r="F8" s="57" t="n">
        <v>1.024</v>
      </c>
      <c r="G8" s="57" t="n">
        <v>1.023</v>
      </c>
      <c r="H8" s="57" t="n">
        <v>1.021</v>
      </c>
      <c r="I8" s="57">
        <f>AVERAGE(F8,G8,H8)</f>
        <v/>
      </c>
      <c r="J8" s="57">
        <f>(143.254*(I8^3))-(648.67*(I8^2))+(1125.805*(I8))-620.389</f>
        <v/>
      </c>
      <c r="K8" s="57" t="inlineStr">
        <is>
          <t>25-007</t>
        </is>
      </c>
      <c r="L8" s="58" t="inlineStr">
        <is>
          <t>N/A</t>
        </is>
      </c>
    </row>
    <row r="9" ht="25" customHeight="1" s="55">
      <c r="A9" s="57" t="n">
        <v>7</v>
      </c>
      <c r="B9" s="57" t="inlineStr">
        <is>
          <t>UKYT-25-008</t>
        </is>
      </c>
      <c r="C9" s="57" t="inlineStr">
        <is>
          <t>High tunnel</t>
        </is>
      </c>
      <c r="D9" s="59" t="n">
        <v>46216</v>
      </c>
      <c r="E9" s="57" t="inlineStr">
        <is>
          <t>First</t>
        </is>
      </c>
      <c r="F9" s="57" t="n">
        <v>1.021</v>
      </c>
      <c r="G9" s="57" t="n">
        <v>1.025</v>
      </c>
      <c r="H9" s="57" t="n">
        <v>1.025</v>
      </c>
      <c r="I9" s="57">
        <f>AVERAGE(F9,G9,H9)</f>
        <v/>
      </c>
      <c r="J9" s="57">
        <f>(143.254*(I9^3))-(648.67*(I9^2))+(1125.805*(I9))-620.389</f>
        <v/>
      </c>
      <c r="K9" s="57" t="inlineStr">
        <is>
          <t>25-008</t>
        </is>
      </c>
      <c r="L9" s="58" t="inlineStr">
        <is>
          <t>N/A</t>
        </is>
      </c>
    </row>
    <row r="10" ht="25" customHeight="1" s="55">
      <c r="A10" s="57" t="n">
        <v>8</v>
      </c>
      <c r="B10" s="57" t="inlineStr">
        <is>
          <t>UKYT-25-009</t>
        </is>
      </c>
      <c r="C10" s="57" t="inlineStr">
        <is>
          <t>High tunnel</t>
        </is>
      </c>
      <c r="D10" s="59" t="n">
        <v>46216</v>
      </c>
      <c r="E10" s="57" t="inlineStr">
        <is>
          <t>First</t>
        </is>
      </c>
      <c r="F10" s="57" t="n">
        <v>1.02</v>
      </c>
      <c r="G10" s="57" t="n">
        <v>1.023</v>
      </c>
      <c r="H10" s="57" t="n">
        <v>1.028</v>
      </c>
      <c r="I10" s="57">
        <f>AVERAGE(F10,G10,H10)</f>
        <v/>
      </c>
      <c r="J10" s="57">
        <f>(143.254*(I10^3))-(648.67*(I10^2))+(1125.805*(I10))-620.389</f>
        <v/>
      </c>
      <c r="K10" s="57" t="inlineStr">
        <is>
          <t>25-009</t>
        </is>
      </c>
      <c r="L10" s="58" t="inlineStr">
        <is>
          <t>N/A</t>
        </is>
      </c>
    </row>
    <row r="11" ht="25" customHeight="1" s="55">
      <c r="A11" s="57" t="n">
        <v>9</v>
      </c>
      <c r="B11" s="57" t="inlineStr">
        <is>
          <t>UKYT-25-010</t>
        </is>
      </c>
      <c r="C11" s="57" t="inlineStr">
        <is>
          <t>High tunnel</t>
        </is>
      </c>
      <c r="D11" s="59" t="n">
        <v>46216</v>
      </c>
      <c r="E11" s="57" t="inlineStr">
        <is>
          <t>First</t>
        </is>
      </c>
      <c r="F11" s="57" t="n">
        <v>1.021</v>
      </c>
      <c r="G11" s="57" t="n">
        <v>1.023</v>
      </c>
      <c r="H11" s="57" t="n">
        <v>1.022</v>
      </c>
      <c r="I11" s="57">
        <f>AVERAGE(F11,G11,H11)</f>
        <v/>
      </c>
      <c r="J11" s="57">
        <f>(143.254*(I11^3))-(648.67*(I11^2))+(1125.805*(I11))-620.389</f>
        <v/>
      </c>
      <c r="K11" s="57" t="inlineStr">
        <is>
          <t>25-010</t>
        </is>
      </c>
      <c r="L11" s="58" t="inlineStr">
        <is>
          <t>N/A</t>
        </is>
      </c>
    </row>
    <row r="12" ht="25" customHeight="1" s="55">
      <c r="A12" s="57" t="n">
        <v>10</v>
      </c>
      <c r="B12" s="57" t="inlineStr">
        <is>
          <t>UKYT-25-011</t>
        </is>
      </c>
      <c r="C12" s="57" t="inlineStr">
        <is>
          <t>High tunnel</t>
        </is>
      </c>
      <c r="D12" s="59" t="n">
        <v>46216</v>
      </c>
      <c r="E12" s="57" t="inlineStr">
        <is>
          <t>First</t>
        </is>
      </c>
      <c r="F12" s="57" t="n">
        <v>1.026</v>
      </c>
      <c r="G12" s="57" t="n">
        <v>1.026</v>
      </c>
      <c r="H12" s="57" t="n">
        <v>1.027</v>
      </c>
      <c r="I12" s="57">
        <f>AVERAGE(F12,G12,H12)</f>
        <v/>
      </c>
      <c r="J12" s="57">
        <f>(143.254*(I12^3))-(648.67*(I12^2))+(1125.805*(I12))-620.389</f>
        <v/>
      </c>
      <c r="K12" s="57" t="inlineStr">
        <is>
          <t>25-011</t>
        </is>
      </c>
      <c r="L12" s="58" t="inlineStr">
        <is>
          <t>N/A</t>
        </is>
      </c>
    </row>
    <row r="13" ht="25" customHeight="1" s="55">
      <c r="A13" s="57" t="n">
        <v>11</v>
      </c>
      <c r="B13" s="57" t="inlineStr">
        <is>
          <t>UKYT-25-012</t>
        </is>
      </c>
      <c r="C13" s="57" t="inlineStr">
        <is>
          <t>High tunnel</t>
        </is>
      </c>
      <c r="D13" s="59" t="n">
        <v>46216</v>
      </c>
      <c r="E13" s="57" t="inlineStr">
        <is>
          <t>First</t>
        </is>
      </c>
      <c r="F13" s="57" t="n">
        <v>1.026</v>
      </c>
      <c r="G13" s="57" t="n">
        <v>1.026</v>
      </c>
      <c r="H13" s="57" t="n">
        <v>1.026</v>
      </c>
      <c r="I13" s="57">
        <f>AVERAGE(F13,G13,H13)</f>
        <v/>
      </c>
      <c r="J13" s="57">
        <f>(143.254*(I13^3))-(648.67*(I13^2))+(1125.805*(I13))-620.389</f>
        <v/>
      </c>
      <c r="K13" s="57" t="inlineStr">
        <is>
          <t>25-012</t>
        </is>
      </c>
      <c r="L13" s="58" t="inlineStr">
        <is>
          <t>N/A</t>
        </is>
      </c>
    </row>
    <row r="14" ht="25" customHeight="1" s="55">
      <c r="A14" s="57" t="n">
        <v>12</v>
      </c>
      <c r="B14" s="57" t="inlineStr">
        <is>
          <t>UKYT-25-013</t>
        </is>
      </c>
      <c r="C14" s="57" t="inlineStr">
        <is>
          <t>High tunnel</t>
        </is>
      </c>
      <c r="D14" s="59" t="n">
        <v>46216</v>
      </c>
      <c r="E14" s="57" t="inlineStr">
        <is>
          <t>First</t>
        </is>
      </c>
      <c r="F14" s="57" t="n">
        <v>1.028</v>
      </c>
      <c r="G14" s="57" t="n">
        <v>1.028</v>
      </c>
      <c r="H14" s="57" t="n">
        <v>1.026</v>
      </c>
      <c r="I14" s="57">
        <f>AVERAGE(F14,G14,H14)</f>
        <v/>
      </c>
      <c r="J14" s="57">
        <f>(143.254*(I14^3))-(648.67*(I14^2))+(1125.805*(I14))-620.389</f>
        <v/>
      </c>
      <c r="K14" s="57" t="inlineStr">
        <is>
          <t>25-013</t>
        </is>
      </c>
      <c r="L14" s="58" t="inlineStr">
        <is>
          <t>N/A</t>
        </is>
      </c>
    </row>
    <row r="15" ht="25" customHeight="1" s="55">
      <c r="A15" s="57" t="n">
        <v>13</v>
      </c>
      <c r="B15" s="57" t="inlineStr">
        <is>
          <t>UKYT-25-014</t>
        </is>
      </c>
      <c r="C15" s="57" t="inlineStr">
        <is>
          <t>High tunnel</t>
        </is>
      </c>
      <c r="D15" s="59" t="n">
        <v>46216</v>
      </c>
      <c r="E15" s="57" t="inlineStr">
        <is>
          <t>First</t>
        </is>
      </c>
      <c r="F15" s="57" t="n">
        <v>1.027</v>
      </c>
      <c r="G15" s="57" t="n">
        <v>1.026</v>
      </c>
      <c r="H15" s="57" t="n">
        <v>1.027</v>
      </c>
      <c r="I15" s="57">
        <f>AVERAGE(F15,G15,H15)</f>
        <v/>
      </c>
      <c r="J15" s="57">
        <f>(143.254*(I15^3))-(648.67*(I15^2))+(1125.805*(I15))-620.389</f>
        <v/>
      </c>
      <c r="K15" s="57" t="inlineStr">
        <is>
          <t>25-014</t>
        </is>
      </c>
      <c r="L15" s="58" t="inlineStr">
        <is>
          <t>N/A</t>
        </is>
      </c>
    </row>
    <row r="16" ht="25" customHeight="1" s="55">
      <c r="A16" s="57" t="n">
        <v>14</v>
      </c>
      <c r="B16" s="57" t="inlineStr">
        <is>
          <t>UKYT-25-015</t>
        </is>
      </c>
      <c r="C16" s="57" t="inlineStr">
        <is>
          <t>High tunnel</t>
        </is>
      </c>
      <c r="D16" s="59" t="n">
        <v>46216</v>
      </c>
      <c r="E16" s="57" t="inlineStr">
        <is>
          <t>First</t>
        </is>
      </c>
      <c r="F16" s="57" t="n">
        <v>1.026</v>
      </c>
      <c r="G16" s="57" t="n">
        <v>1.03</v>
      </c>
      <c r="H16" s="57" t="n">
        <v>1.028</v>
      </c>
      <c r="I16" s="57">
        <f>AVERAGE(F16,G16,H16)</f>
        <v/>
      </c>
      <c r="J16" s="57">
        <f>(143.254*(I16^3))-(648.67*(I16^2))+(1125.805*(I16))-620.389</f>
        <v/>
      </c>
      <c r="K16" s="57" t="inlineStr">
        <is>
          <t>25-015</t>
        </is>
      </c>
      <c r="L16" s="58" t="inlineStr">
        <is>
          <t>N/A</t>
        </is>
      </c>
    </row>
    <row r="17" ht="25" customHeight="1" s="55">
      <c r="A17" s="57" t="n">
        <v>15</v>
      </c>
      <c r="B17" s="57" t="inlineStr">
        <is>
          <t>UKYT-25-017</t>
        </is>
      </c>
      <c r="C17" s="57" t="inlineStr">
        <is>
          <t>High tunnel</t>
        </is>
      </c>
      <c r="D17" s="59" t="n">
        <v>46216</v>
      </c>
      <c r="E17" s="57" t="inlineStr">
        <is>
          <t>First</t>
        </is>
      </c>
      <c r="F17" s="57" t="n">
        <v>1.031</v>
      </c>
      <c r="G17" s="57" t="n">
        <v>1.026</v>
      </c>
      <c r="H17" s="57" t="n">
        <v>1.027</v>
      </c>
      <c r="I17" s="57">
        <f>AVERAGE(F17,G17,H17)</f>
        <v/>
      </c>
      <c r="J17" s="57">
        <f>(143.254*(I17^3))-(648.67*(I17^2))+(1125.805*(I17))-620.389</f>
        <v/>
      </c>
      <c r="K17" s="57" t="inlineStr">
        <is>
          <t>25-017</t>
        </is>
      </c>
      <c r="L17" s="58" t="inlineStr">
        <is>
          <t>N/A</t>
        </is>
      </c>
    </row>
    <row r="18" ht="25" customHeight="1" s="55">
      <c r="A18" s="57" t="n">
        <v>16</v>
      </c>
      <c r="B18" s="57" t="inlineStr">
        <is>
          <t>UKYT-26-006</t>
        </is>
      </c>
      <c r="C18" s="57" t="inlineStr">
        <is>
          <t>High tunnel</t>
        </is>
      </c>
      <c r="D18" s="59" t="n">
        <v>46216</v>
      </c>
      <c r="E18" s="57" t="inlineStr">
        <is>
          <t>First</t>
        </is>
      </c>
      <c r="F18" s="57" t="n">
        <v>1.024</v>
      </c>
      <c r="G18" s="57" t="n">
        <v>1.024</v>
      </c>
      <c r="H18" s="57" t="n">
        <v>1.023</v>
      </c>
      <c r="I18" s="57">
        <f>AVERAGE(F18,G18,H18)</f>
        <v/>
      </c>
      <c r="J18" s="57">
        <f>(143.254*(I18^3))-(648.67*(I18^2))+(1125.805*(I18))-620.389</f>
        <v/>
      </c>
      <c r="K18" s="57" t="inlineStr">
        <is>
          <t>26-006</t>
        </is>
      </c>
      <c r="L18" s="58" t="inlineStr">
        <is>
          <t>N/A</t>
        </is>
      </c>
    </row>
    <row r="19" ht="25" customHeight="1" s="55">
      <c r="A19" s="57" t="n">
        <v>17</v>
      </c>
      <c r="B19" s="57" t="inlineStr">
        <is>
          <t>UKYT-25-001</t>
        </is>
      </c>
      <c r="C19" s="57" t="inlineStr">
        <is>
          <t>High tunnel</t>
        </is>
      </c>
      <c r="D19" s="59" t="n">
        <v>46223</v>
      </c>
      <c r="E19" s="57" t="inlineStr">
        <is>
          <t>Second</t>
        </is>
      </c>
      <c r="F19" s="57" t="n">
        <v>1.028</v>
      </c>
      <c r="G19" s="57" t="n">
        <v>1.033</v>
      </c>
      <c r="H19" s="57" t="n">
        <v>1.027</v>
      </c>
      <c r="I19" s="57">
        <f>AVERAGE(F19,G19,H19)</f>
        <v/>
      </c>
      <c r="J19" s="57">
        <f>(143.254*(I19^3))-(648.67*(I19^2))+(1125.805*(I19))-620.389</f>
        <v/>
      </c>
      <c r="K19" s="57" t="inlineStr">
        <is>
          <t>25-001</t>
        </is>
      </c>
      <c r="L19" s="58" t="inlineStr">
        <is>
          <t>N/A</t>
        </is>
      </c>
    </row>
    <row r="20" ht="25" customHeight="1" s="55">
      <c r="A20" s="57" t="n">
        <v>18</v>
      </c>
      <c r="B20" s="57" t="inlineStr">
        <is>
          <t>UKYT-25-002</t>
        </is>
      </c>
      <c r="C20" s="57" t="inlineStr">
        <is>
          <t>High tunnel</t>
        </is>
      </c>
      <c r="D20" s="59" t="n">
        <v>46223</v>
      </c>
      <c r="E20" s="57" t="inlineStr">
        <is>
          <t>Second</t>
        </is>
      </c>
      <c r="F20" s="57" t="n">
        <v>1.024</v>
      </c>
      <c r="G20" s="57" t="n">
        <v>1.025</v>
      </c>
      <c r="H20" s="57" t="n">
        <v>1.019</v>
      </c>
      <c r="I20" s="57">
        <f>AVERAGE(F20,G20,H20)</f>
        <v/>
      </c>
      <c r="J20" s="57">
        <f>(143.254*(I20^3))-(648.67*(I20^2))+(1125.805*(I20))-620.389</f>
        <v/>
      </c>
      <c r="K20" s="57" t="inlineStr">
        <is>
          <t>25-002</t>
        </is>
      </c>
      <c r="L20" s="58" t="inlineStr">
        <is>
          <t>N/A</t>
        </is>
      </c>
    </row>
    <row r="21" ht="25" customHeight="1" s="55">
      <c r="A21" s="57" t="n">
        <v>19</v>
      </c>
      <c r="B21" s="57" t="inlineStr">
        <is>
          <t>UKYT-25-003</t>
        </is>
      </c>
      <c r="C21" s="57" t="inlineStr">
        <is>
          <t>High tunnel</t>
        </is>
      </c>
      <c r="D21" s="59" t="n">
        <v>46223</v>
      </c>
      <c r="E21" s="57" t="inlineStr">
        <is>
          <t>Second</t>
        </is>
      </c>
      <c r="F21" s="57" t="n">
        <v>1.027</v>
      </c>
      <c r="G21" s="57" t="n">
        <v>1.025</v>
      </c>
      <c r="H21" s="57" t="n">
        <v>1.029</v>
      </c>
      <c r="I21" s="57">
        <f>AVERAGE(F21,G21,H21)</f>
        <v/>
      </c>
      <c r="J21" s="57">
        <f>(143.254*(I21^3))-(648.67*(I21^2))+(1125.805*(I21))-620.389</f>
        <v/>
      </c>
      <c r="K21" s="57" t="inlineStr">
        <is>
          <t>25-003</t>
        </is>
      </c>
      <c r="L21" s="58" t="inlineStr">
        <is>
          <t>N/A</t>
        </is>
      </c>
    </row>
    <row r="22" ht="25" customHeight="1" s="55">
      <c r="A22" s="57" t="n">
        <v>20</v>
      </c>
      <c r="B22" s="57" t="inlineStr">
        <is>
          <t>UKYT-25-004</t>
        </is>
      </c>
      <c r="C22" s="57" t="inlineStr">
        <is>
          <t>High tunnel</t>
        </is>
      </c>
      <c r="D22" s="59" t="n">
        <v>46223</v>
      </c>
      <c r="E22" s="57" t="inlineStr">
        <is>
          <t>Second</t>
        </is>
      </c>
      <c r="F22" s="57" t="n">
        <v>1.022</v>
      </c>
      <c r="G22" s="57" t="n">
        <v>1.025</v>
      </c>
      <c r="H22" s="57" t="n">
        <v>1.023</v>
      </c>
      <c r="I22" s="57">
        <f>AVERAGE(F22,G22,H22)</f>
        <v/>
      </c>
      <c r="J22" s="57">
        <f>(143.254*(I22^3))-(648.67*(I22^2))+(1125.805*(I22))-620.389</f>
        <v/>
      </c>
      <c r="K22" s="57" t="inlineStr">
        <is>
          <t>25-004</t>
        </is>
      </c>
      <c r="L22" s="58" t="inlineStr">
        <is>
          <t>N/A</t>
        </is>
      </c>
    </row>
    <row r="23" ht="25" customHeight="1" s="55">
      <c r="A23" s="57" t="n">
        <v>21</v>
      </c>
      <c r="B23" s="57" t="inlineStr">
        <is>
          <t>UKYT-25-005</t>
        </is>
      </c>
      <c r="C23" s="57" t="inlineStr">
        <is>
          <t>High tunnel</t>
        </is>
      </c>
      <c r="D23" s="59" t="n">
        <v>46223</v>
      </c>
      <c r="E23" s="57" t="inlineStr">
        <is>
          <t>Second</t>
        </is>
      </c>
      <c r="F23" s="57" t="n">
        <v>1.024</v>
      </c>
      <c r="G23" s="57" t="n">
        <v>1.023</v>
      </c>
      <c r="H23" s="57" t="n">
        <v>1.022</v>
      </c>
      <c r="I23" s="57">
        <f>AVERAGE(F23,G23,H23)</f>
        <v/>
      </c>
      <c r="J23" s="57">
        <f>(143.254*(I23^3))-(648.67*(I23^2))+(1125.805*(I23))-620.389</f>
        <v/>
      </c>
      <c r="K23" s="57" t="inlineStr">
        <is>
          <t>25-005</t>
        </is>
      </c>
      <c r="L23" s="58" t="inlineStr">
        <is>
          <t>N/A</t>
        </is>
      </c>
    </row>
    <row r="24" ht="25" customHeight="1" s="55">
      <c r="A24" s="57" t="n">
        <v>22</v>
      </c>
      <c r="B24" s="57" t="inlineStr">
        <is>
          <t>UKYT-25-006</t>
        </is>
      </c>
      <c r="C24" s="57" t="inlineStr">
        <is>
          <t>High tunnel</t>
        </is>
      </c>
      <c r="D24" s="59" t="n">
        <v>46223</v>
      </c>
      <c r="E24" s="57" t="inlineStr">
        <is>
          <t>Second</t>
        </is>
      </c>
      <c r="F24" s="57" t="n">
        <v>1.023</v>
      </c>
      <c r="G24" s="57" t="n">
        <v>1.021</v>
      </c>
      <c r="H24" s="57" t="n">
        <v>1.02</v>
      </c>
      <c r="I24" s="57">
        <f>AVERAGE(F24,G24,H24)</f>
        <v/>
      </c>
      <c r="J24" s="57">
        <f>(143.254*(I24^3))-(648.67*(I24^2))+(1125.805*(I24))-620.389</f>
        <v/>
      </c>
      <c r="K24" s="57" t="inlineStr">
        <is>
          <t>25-006</t>
        </is>
      </c>
      <c r="L24" s="58" t="inlineStr">
        <is>
          <t>N/A</t>
        </is>
      </c>
    </row>
    <row r="25" ht="25" customHeight="1" s="55">
      <c r="A25" s="57" t="n">
        <v>23</v>
      </c>
      <c r="B25" s="57" t="inlineStr">
        <is>
          <t>UKYT-25-007</t>
        </is>
      </c>
      <c r="C25" s="57" t="inlineStr">
        <is>
          <t>High tunnel</t>
        </is>
      </c>
      <c r="D25" s="59" t="n">
        <v>46223</v>
      </c>
      <c r="E25" s="57" t="inlineStr">
        <is>
          <t>Second</t>
        </is>
      </c>
      <c r="F25" s="57" t="n">
        <v>1.023</v>
      </c>
      <c r="G25" s="57" t="n">
        <v>1.026</v>
      </c>
      <c r="H25" s="57" t="n">
        <v>1.025</v>
      </c>
      <c r="I25" s="57">
        <f>AVERAGE(F25,G25,H25)</f>
        <v/>
      </c>
      <c r="J25" s="57">
        <f>(143.254*(I25^3))-(648.67*(I25^2))+(1125.805*(I25))-620.389</f>
        <v/>
      </c>
      <c r="K25" s="57" t="inlineStr">
        <is>
          <t>25-007</t>
        </is>
      </c>
      <c r="L25" s="58" t="inlineStr">
        <is>
          <t>N/A</t>
        </is>
      </c>
    </row>
    <row r="26" ht="25" customHeight="1" s="55">
      <c r="A26" s="57" t="n">
        <v>24</v>
      </c>
      <c r="B26" s="57" t="inlineStr">
        <is>
          <t>UKYT-25-008</t>
        </is>
      </c>
      <c r="C26" s="57" t="inlineStr">
        <is>
          <t>High tunnel</t>
        </is>
      </c>
      <c r="D26" s="59" t="n">
        <v>46223</v>
      </c>
      <c r="E26" s="57" t="inlineStr">
        <is>
          <t>Second</t>
        </is>
      </c>
      <c r="F26" s="57" t="n">
        <v>1.027</v>
      </c>
      <c r="G26" s="57" t="n">
        <v>1.026</v>
      </c>
      <c r="H26" s="57" t="n">
        <v>1.024</v>
      </c>
      <c r="I26" s="57">
        <f>AVERAGE(F26,G26,H26)</f>
        <v/>
      </c>
      <c r="J26" s="57">
        <f>(143.254*(I26^3))-(648.67*(I26^2))+(1125.805*(I26))-620.389</f>
        <v/>
      </c>
      <c r="K26" s="57" t="inlineStr">
        <is>
          <t>25-008</t>
        </is>
      </c>
      <c r="L26" s="58" t="inlineStr">
        <is>
          <t>N/A</t>
        </is>
      </c>
    </row>
    <row r="27" ht="25" customHeight="1" s="55">
      <c r="A27" s="57" t="n">
        <v>25</v>
      </c>
      <c r="B27" s="57" t="inlineStr">
        <is>
          <t>UKYT-25-009</t>
        </is>
      </c>
      <c r="C27" s="57" t="inlineStr">
        <is>
          <t>High tunnel</t>
        </is>
      </c>
      <c r="D27" s="59" t="n">
        <v>46223</v>
      </c>
      <c r="E27" s="57" t="inlineStr">
        <is>
          <t>Second</t>
        </is>
      </c>
      <c r="F27" s="57" t="n">
        <v>1.021</v>
      </c>
      <c r="G27" s="57" t="n">
        <v>1.02</v>
      </c>
      <c r="H27" s="57" t="n">
        <v>1.018</v>
      </c>
      <c r="I27" s="57">
        <f>AVERAGE(F27,G27,H27)</f>
        <v/>
      </c>
      <c r="J27" s="57">
        <f>(143.254*(I27^3))-(648.67*(I27^2))+(1125.805*(I27))-620.389</f>
        <v/>
      </c>
      <c r="K27" s="57" t="inlineStr">
        <is>
          <t>25-009</t>
        </is>
      </c>
      <c r="L27" s="58" t="inlineStr">
        <is>
          <t>N/A</t>
        </is>
      </c>
    </row>
    <row r="28" ht="25" customHeight="1" s="55">
      <c r="A28" s="57" t="n">
        <v>26</v>
      </c>
      <c r="B28" s="57" t="inlineStr">
        <is>
          <t>UKYT-25-010</t>
        </is>
      </c>
      <c r="C28" s="57" t="inlineStr">
        <is>
          <t>High tunnel</t>
        </is>
      </c>
      <c r="D28" s="59" t="n">
        <v>46223</v>
      </c>
      <c r="E28" s="57" t="inlineStr">
        <is>
          <t>Second</t>
        </is>
      </c>
      <c r="F28" s="57" t="n">
        <v>1.027</v>
      </c>
      <c r="G28" s="57" t="n">
        <v>1.02</v>
      </c>
      <c r="H28" s="57" t="n">
        <v>1.02</v>
      </c>
      <c r="I28" s="57">
        <f>AVERAGE(F28,G28,H28)</f>
        <v/>
      </c>
      <c r="J28" s="57">
        <f>(143.254*(I28^3))-(648.67*(I28^2))+(1125.805*(I28))-620.389</f>
        <v/>
      </c>
      <c r="K28" s="57" t="inlineStr">
        <is>
          <t>25-010</t>
        </is>
      </c>
      <c r="L28" s="58" t="inlineStr">
        <is>
          <t>N/A</t>
        </is>
      </c>
    </row>
    <row r="29" ht="25" customHeight="1" s="55">
      <c r="A29" s="57" t="n">
        <v>27</v>
      </c>
      <c r="B29" s="57" t="inlineStr">
        <is>
          <t>UKYT-25-011</t>
        </is>
      </c>
      <c r="C29" s="57" t="inlineStr">
        <is>
          <t>High tunnel</t>
        </is>
      </c>
      <c r="D29" s="59" t="n">
        <v>46223</v>
      </c>
      <c r="E29" s="57" t="inlineStr">
        <is>
          <t>Second</t>
        </is>
      </c>
      <c r="F29" s="57" t="n">
        <v>1.02</v>
      </c>
      <c r="G29" s="57" t="n">
        <v>1.026</v>
      </c>
      <c r="H29" s="57" t="n">
        <v>1.023</v>
      </c>
      <c r="I29" s="57">
        <f>AVERAGE(F29,G29,H29)</f>
        <v/>
      </c>
      <c r="J29" s="57">
        <f>(143.254*(I29^3))-(648.67*(I29^2))+(1125.805*(I29))-620.389</f>
        <v/>
      </c>
      <c r="K29" s="57" t="inlineStr">
        <is>
          <t>25-011</t>
        </is>
      </c>
      <c r="L29" s="58" t="inlineStr">
        <is>
          <t>N/A</t>
        </is>
      </c>
    </row>
    <row r="30" ht="25" customHeight="1" s="55">
      <c r="A30" s="57" t="n">
        <v>28</v>
      </c>
      <c r="B30" s="57" t="inlineStr">
        <is>
          <t>UKYT-25-012</t>
        </is>
      </c>
      <c r="C30" s="57" t="inlineStr">
        <is>
          <t>High tunnel</t>
        </is>
      </c>
      <c r="D30" s="59" t="n">
        <v>46223</v>
      </c>
      <c r="E30" s="57" t="inlineStr">
        <is>
          <t>Second</t>
        </is>
      </c>
      <c r="F30" s="57" t="n">
        <v>1.026</v>
      </c>
      <c r="G30" s="57" t="n">
        <v>1.026</v>
      </c>
      <c r="H30" s="57" t="n">
        <v>1.027</v>
      </c>
      <c r="I30" s="57">
        <f>AVERAGE(F30,G30,H30)</f>
        <v/>
      </c>
      <c r="J30" s="57">
        <f>(143.254*(I30^3))-(648.67*(I30^2))+(1125.805*(I30))-620.389</f>
        <v/>
      </c>
      <c r="K30" s="57" t="inlineStr">
        <is>
          <t>25-012</t>
        </is>
      </c>
      <c r="L30" s="58" t="inlineStr">
        <is>
          <t>N/A</t>
        </is>
      </c>
    </row>
    <row r="31" ht="25" customHeight="1" s="55">
      <c r="A31" s="57" t="n">
        <v>29</v>
      </c>
      <c r="B31" s="57" t="inlineStr">
        <is>
          <t>UKYT-25-013</t>
        </is>
      </c>
      <c r="C31" s="57" t="inlineStr">
        <is>
          <t>High tunnel</t>
        </is>
      </c>
      <c r="D31" s="59" t="n">
        <v>46223</v>
      </c>
      <c r="E31" s="57" t="inlineStr">
        <is>
          <t>Second</t>
        </is>
      </c>
      <c r="F31" s="57" t="n">
        <v>1.011</v>
      </c>
      <c r="G31" s="57" t="n">
        <v>1.017</v>
      </c>
      <c r="H31" s="57" t="inlineStr">
        <is>
          <t>****</t>
        </is>
      </c>
      <c r="I31" s="57">
        <f>AVERAGE(F31,G31,H31)</f>
        <v/>
      </c>
      <c r="J31" s="57">
        <f>(143.254*(I31^3))-(648.67*(I31^2))+(1125.805*(I31))-620.389</f>
        <v/>
      </c>
      <c r="K31" s="57" t="inlineStr">
        <is>
          <t>25-013</t>
        </is>
      </c>
      <c r="L31" s="58" t="inlineStr">
        <is>
          <t>N/A</t>
        </is>
      </c>
    </row>
    <row r="32" ht="25" customHeight="1" s="55">
      <c r="A32" s="57" t="n">
        <v>30</v>
      </c>
      <c r="B32" s="57" t="inlineStr">
        <is>
          <t>UKYT-25-014</t>
        </is>
      </c>
      <c r="C32" s="57" t="inlineStr">
        <is>
          <t>High tunnel</t>
        </is>
      </c>
      <c r="D32" s="59" t="n">
        <v>46223</v>
      </c>
      <c r="E32" s="57" t="inlineStr">
        <is>
          <t>Second</t>
        </is>
      </c>
      <c r="F32" s="57" t="n">
        <v>1.028</v>
      </c>
      <c r="G32" s="57" t="n">
        <v>1.025</v>
      </c>
      <c r="H32" s="57" t="n">
        <v>1.026</v>
      </c>
      <c r="I32" s="57">
        <f>AVERAGE(F32,G32,H32)</f>
        <v/>
      </c>
      <c r="J32" s="57">
        <f>(143.254*(I32^3))-(648.67*(I32^2))+(1125.805*(I32))-620.389</f>
        <v/>
      </c>
      <c r="K32" s="57" t="inlineStr">
        <is>
          <t>25-014</t>
        </is>
      </c>
      <c r="L32" s="58" t="inlineStr">
        <is>
          <t>N/A</t>
        </is>
      </c>
    </row>
    <row r="33" ht="25" customHeight="1" s="55">
      <c r="A33" s="57" t="n">
        <v>31</v>
      </c>
      <c r="B33" s="57" t="inlineStr">
        <is>
          <t>UKYT-25-017</t>
        </is>
      </c>
      <c r="C33" s="57" t="inlineStr">
        <is>
          <t>High tunnel</t>
        </is>
      </c>
      <c r="D33" s="59" t="n">
        <v>46223</v>
      </c>
      <c r="E33" s="57" t="inlineStr">
        <is>
          <t>Second</t>
        </is>
      </c>
      <c r="F33" s="57" t="n">
        <v>1.022</v>
      </c>
      <c r="G33" s="57" t="n">
        <v>1.021</v>
      </c>
      <c r="H33" s="57" t="n">
        <v>1.019</v>
      </c>
      <c r="I33" s="57">
        <f>AVERAGE(F33,G33,H33)</f>
        <v/>
      </c>
      <c r="J33" s="57">
        <f>(143.254*(I33^3))-(648.67*(I33^2))+(1125.805*(I33))-620.389</f>
        <v/>
      </c>
      <c r="K33" s="57" t="inlineStr">
        <is>
          <t>25-017</t>
        </is>
      </c>
      <c r="L33" s="58" t="inlineStr">
        <is>
          <t>N/A</t>
        </is>
      </c>
    </row>
    <row r="34" ht="25" customHeight="1" s="55">
      <c r="A34" s="57" t="n">
        <v>32</v>
      </c>
      <c r="B34" s="57" t="inlineStr">
        <is>
          <t>UKYT-26-001</t>
        </is>
      </c>
      <c r="C34" s="57" t="inlineStr">
        <is>
          <t>High tunnel</t>
        </is>
      </c>
      <c r="D34" s="59" t="n">
        <v>46223</v>
      </c>
      <c r="E34" s="57" t="inlineStr">
        <is>
          <t>Second</t>
        </is>
      </c>
      <c r="F34" s="57" t="n">
        <v>1.016</v>
      </c>
      <c r="G34" s="57" t="n">
        <v>1.017</v>
      </c>
      <c r="H34" s="57" t="n">
        <v>1.016</v>
      </c>
      <c r="I34" s="57">
        <f>AVERAGE(F34,G34,H34)</f>
        <v/>
      </c>
      <c r="J34" s="57">
        <f>(143.254*(I34^3))-(648.67*(I34^2))+(1125.805*(I34))-620.389</f>
        <v/>
      </c>
      <c r="K34" s="57" t="inlineStr">
        <is>
          <t>26-001</t>
        </is>
      </c>
      <c r="L34" s="58" t="inlineStr">
        <is>
          <t>N/A</t>
        </is>
      </c>
    </row>
    <row r="35" ht="25" customHeight="1" s="55">
      <c r="A35" s="57" t="n">
        <v>33</v>
      </c>
      <c r="B35" s="57" t="inlineStr">
        <is>
          <t>UKYT-26-006</t>
        </is>
      </c>
      <c r="C35" s="57" t="inlineStr">
        <is>
          <t>High tunnel</t>
        </is>
      </c>
      <c r="D35" s="59" t="n">
        <v>46223</v>
      </c>
      <c r="E35" s="57" t="inlineStr">
        <is>
          <t>Second</t>
        </is>
      </c>
      <c r="F35" s="57" t="n">
        <v>1.027</v>
      </c>
      <c r="G35" s="57" t="n">
        <v>1.025</v>
      </c>
      <c r="H35" s="57" t="n">
        <v>1.027</v>
      </c>
      <c r="I35" s="57">
        <f>AVERAGE(F35,G35,H35)</f>
        <v/>
      </c>
      <c r="J35" s="57">
        <f>(143.254*(I35^3))-(648.67*(I35^2))+(1125.805*(I35))-620.389</f>
        <v/>
      </c>
      <c r="K35" s="57" t="inlineStr">
        <is>
          <t>26-006</t>
        </is>
      </c>
      <c r="L35" s="58" t="inlineStr">
        <is>
          <t>N/A</t>
        </is>
      </c>
    </row>
    <row r="36" ht="25" customHeight="1" s="55">
      <c r="A36" s="57" t="n">
        <v>34</v>
      </c>
      <c r="B36" s="57" t="inlineStr">
        <is>
          <t>UKYT-26-011</t>
        </is>
      </c>
      <c r="C36" s="57" t="inlineStr">
        <is>
          <t>High tunnel</t>
        </is>
      </c>
      <c r="D36" s="59" t="n">
        <v>46223</v>
      </c>
      <c r="E36" s="57" t="inlineStr">
        <is>
          <t>Second</t>
        </is>
      </c>
      <c r="F36" s="57" t="n">
        <v>1.023</v>
      </c>
      <c r="G36" s="57" t="n">
        <v>1.022</v>
      </c>
      <c r="H36" s="57" t="n">
        <v>1.023</v>
      </c>
      <c r="I36" s="57">
        <f>AVERAGE(F36,G36,H36)</f>
        <v/>
      </c>
      <c r="J36" s="57">
        <f>(143.254*(I36^3))-(648.67*(I36^2))+(1125.805*(I36))-620.389</f>
        <v/>
      </c>
      <c r="K36" s="57" t="inlineStr">
        <is>
          <t>26-011</t>
        </is>
      </c>
      <c r="L36" s="58" t="inlineStr">
        <is>
          <t>N/A</t>
        </is>
      </c>
    </row>
    <row r="37" ht="25" customHeight="1" s="55">
      <c r="A37" s="57" t="n">
        <v>35</v>
      </c>
      <c r="B37" s="57" t="inlineStr">
        <is>
          <t>UKYT-26-014</t>
        </is>
      </c>
      <c r="C37" s="57" t="inlineStr">
        <is>
          <t>High tunnel</t>
        </is>
      </c>
      <c r="D37" s="59" t="n">
        <v>46223</v>
      </c>
      <c r="E37" s="57" t="inlineStr">
        <is>
          <t>Second</t>
        </is>
      </c>
      <c r="F37" s="57" t="n">
        <v>1.023</v>
      </c>
      <c r="G37" s="57" t="n">
        <v>1.023</v>
      </c>
      <c r="H37" s="57" t="n">
        <v>1.023</v>
      </c>
      <c r="I37" s="57">
        <f>AVERAGE(F37,G37,H37)</f>
        <v/>
      </c>
      <c r="J37" s="57">
        <f>(143.254*(I37^3))-(648.67*(I37^2))+(1125.805*(I37))-620.389</f>
        <v/>
      </c>
      <c r="K37" s="57" t="inlineStr">
        <is>
          <t>26-014</t>
        </is>
      </c>
      <c r="L37" s="58" t="inlineStr">
        <is>
          <t>N/A</t>
        </is>
      </c>
    </row>
    <row r="38" ht="25" customHeight="1" s="55">
      <c r="A38" s="57" t="n">
        <v>36</v>
      </c>
      <c r="B38" s="57" t="inlineStr">
        <is>
          <t>UKYT-25-002</t>
        </is>
      </c>
      <c r="C38" s="57" t="inlineStr">
        <is>
          <t>High tunnel</t>
        </is>
      </c>
      <c r="D38" s="59" t="n">
        <v>46230</v>
      </c>
      <c r="E38" s="57" t="inlineStr">
        <is>
          <t>Third</t>
        </is>
      </c>
      <c r="F38" s="57" t="n">
        <v>1.021</v>
      </c>
      <c r="G38" s="57" t="n">
        <v>1.021</v>
      </c>
      <c r="H38" s="57" t="n">
        <v>1.021</v>
      </c>
      <c r="I38" s="57">
        <f>AVERAGE(F38,G38,H38)</f>
        <v/>
      </c>
      <c r="J38" s="57">
        <f>(143.254*(I38^3))-(648.67*(I38^2))+(1125.805*(I38))-620.389</f>
        <v/>
      </c>
      <c r="K38" s="57" t="inlineStr">
        <is>
          <t>25-002</t>
        </is>
      </c>
      <c r="L38" s="58" t="inlineStr">
        <is>
          <t>N/A</t>
        </is>
      </c>
    </row>
    <row r="39" ht="25" customHeight="1" s="55">
      <c r="A39" s="57" t="n">
        <v>37</v>
      </c>
      <c r="B39" s="57" t="inlineStr">
        <is>
          <t>UKYT-25-003</t>
        </is>
      </c>
      <c r="C39" s="57" t="inlineStr">
        <is>
          <t>High tunnel</t>
        </is>
      </c>
      <c r="D39" s="59" t="n">
        <v>46230</v>
      </c>
      <c r="E39" s="57" t="inlineStr">
        <is>
          <t>Third</t>
        </is>
      </c>
      <c r="F39" s="57" t="n">
        <v>1.03</v>
      </c>
      <c r="G39" s="57" t="n">
        <v>1.03</v>
      </c>
      <c r="H39" s="57" t="n">
        <v>1.031</v>
      </c>
      <c r="I39" s="57">
        <f>AVERAGE(F39,G39,H39)</f>
        <v/>
      </c>
      <c r="J39" s="57">
        <f>(143.254*(I39^3))-(648.67*(I39^2))+(1125.805*(I39))-620.389</f>
        <v/>
      </c>
      <c r="K39" s="57" t="inlineStr">
        <is>
          <t>25-003</t>
        </is>
      </c>
      <c r="L39" s="58" t="inlineStr">
        <is>
          <t>N/A</t>
        </is>
      </c>
    </row>
    <row r="40" ht="25" customHeight="1" s="55">
      <c r="A40" s="57" t="n">
        <v>38</v>
      </c>
      <c r="B40" s="57" t="inlineStr">
        <is>
          <t>UKYT-25-004</t>
        </is>
      </c>
      <c r="C40" s="57" t="inlineStr">
        <is>
          <t>High tunnel</t>
        </is>
      </c>
      <c r="D40" s="59" t="n">
        <v>46230</v>
      </c>
      <c r="E40" s="57" t="inlineStr">
        <is>
          <t>Third</t>
        </is>
      </c>
      <c r="F40" s="57" t="n">
        <v>1.026</v>
      </c>
      <c r="G40" s="57" t="n">
        <v>1.027</v>
      </c>
      <c r="H40" s="57" t="n">
        <v>1.028</v>
      </c>
      <c r="I40" s="57">
        <f>AVERAGE(F40,G40,H40)</f>
        <v/>
      </c>
      <c r="J40" s="57">
        <f>(143.254*(I40^3))-(648.67*(I40^2))+(1125.805*(I40))-620.389</f>
        <v/>
      </c>
      <c r="K40" s="57" t="inlineStr">
        <is>
          <t>25-004</t>
        </is>
      </c>
      <c r="L40" s="58" t="inlineStr">
        <is>
          <t>N/A</t>
        </is>
      </c>
    </row>
    <row r="41" ht="25" customHeight="1" s="55">
      <c r="A41" s="57" t="n">
        <v>39</v>
      </c>
      <c r="B41" s="57" t="inlineStr">
        <is>
          <t>UKYT-25-005</t>
        </is>
      </c>
      <c r="C41" s="57" t="inlineStr">
        <is>
          <t>High tunnel</t>
        </is>
      </c>
      <c r="D41" s="59" t="n">
        <v>46230</v>
      </c>
      <c r="E41" s="57" t="inlineStr">
        <is>
          <t>Third</t>
        </is>
      </c>
      <c r="F41" s="57" t="n">
        <v>1.03</v>
      </c>
      <c r="G41" s="57" t="n">
        <v>1.031</v>
      </c>
      <c r="H41" s="57" t="n">
        <v>1.032</v>
      </c>
      <c r="I41" s="57">
        <f>AVERAGE(F41,G41,H41)</f>
        <v/>
      </c>
      <c r="J41" s="57">
        <f>(143.254*(I41^3))-(648.67*(I41^2))+(1125.805*(I41))-620.389</f>
        <v/>
      </c>
      <c r="K41" s="57" t="inlineStr">
        <is>
          <t>25-005</t>
        </is>
      </c>
      <c r="L41" s="58" t="inlineStr">
        <is>
          <t>N/A</t>
        </is>
      </c>
    </row>
    <row r="42" ht="25" customHeight="1" s="55">
      <c r="A42" s="57" t="n">
        <v>40</v>
      </c>
      <c r="B42" s="57" t="inlineStr">
        <is>
          <t>UKYT-25-006</t>
        </is>
      </c>
      <c r="C42" s="57" t="inlineStr">
        <is>
          <t>High tunnel</t>
        </is>
      </c>
      <c r="D42" s="59" t="n">
        <v>46230</v>
      </c>
      <c r="E42" s="57" t="inlineStr">
        <is>
          <t>Third</t>
        </is>
      </c>
      <c r="F42" s="57" t="n">
        <v>1.021</v>
      </c>
      <c r="G42" s="57" t="n">
        <v>1.021</v>
      </c>
      <c r="H42" s="57" t="n">
        <v>1.028</v>
      </c>
      <c r="I42" s="57">
        <f>AVERAGE(F42,G42,H42)</f>
        <v/>
      </c>
      <c r="J42" s="57">
        <f>(143.254*(I42^3))-(648.67*(I42^2))+(1125.805*(I42))-620.389</f>
        <v/>
      </c>
      <c r="K42" s="57" t="inlineStr">
        <is>
          <t>25-006</t>
        </is>
      </c>
      <c r="L42" s="58" t="inlineStr">
        <is>
          <t>N/A</t>
        </is>
      </c>
    </row>
    <row r="43" ht="25" customHeight="1" s="55">
      <c r="A43" s="57" t="n">
        <v>41</v>
      </c>
      <c r="B43" s="57" t="inlineStr">
        <is>
          <t>UKYT-25-007</t>
        </is>
      </c>
      <c r="C43" s="58" t="inlineStr">
        <is>
          <t>N/A</t>
        </is>
      </c>
      <c r="D43" s="59" t="n">
        <v>46230</v>
      </c>
      <c r="E43" s="58" t="inlineStr">
        <is>
          <t>N/A</t>
        </is>
      </c>
      <c r="F43" s="57" t="n">
        <v>1.023</v>
      </c>
      <c r="G43" s="57" t="n">
        <v>1.023</v>
      </c>
      <c r="H43" s="57" t="n">
        <v>1.022</v>
      </c>
      <c r="I43" s="57">
        <f>AVERAGE(F43,G43,H43)</f>
        <v/>
      </c>
      <c r="J43" s="57">
        <f>(143.254*(I43^3))-(648.67*(I43^2))+(1125.805*(I43))-620.389</f>
        <v/>
      </c>
      <c r="K43" s="57" t="inlineStr">
        <is>
          <t>25-007</t>
        </is>
      </c>
      <c r="L43" s="58" t="inlineStr">
        <is>
          <t>N/A</t>
        </is>
      </c>
    </row>
    <row r="44" ht="25" customHeight="1" s="55">
      <c r="A44" s="57" t="n">
        <v>42</v>
      </c>
      <c r="B44" s="57" t="inlineStr">
        <is>
          <t>UKYT-25-008</t>
        </is>
      </c>
      <c r="C44" s="57" t="inlineStr">
        <is>
          <t>High tunnel</t>
        </is>
      </c>
      <c r="D44" s="59" t="n">
        <v>46230</v>
      </c>
      <c r="E44" s="57" t="inlineStr">
        <is>
          <t>Third</t>
        </is>
      </c>
      <c r="F44" s="57" t="n">
        <v>1.031</v>
      </c>
      <c r="G44" s="57" t="n">
        <v>1.032</v>
      </c>
      <c r="H44" s="57" t="n">
        <v>1.031</v>
      </c>
      <c r="I44" s="57">
        <f>AVERAGE(F44,G44,H44)</f>
        <v/>
      </c>
      <c r="J44" s="57">
        <f>(143.254*(I44^3))-(648.67*(I44^2))+(1125.805*(I44))-620.389</f>
        <v/>
      </c>
      <c r="K44" s="57" t="inlineStr">
        <is>
          <t>25-008</t>
        </is>
      </c>
      <c r="L44" s="58" t="inlineStr">
        <is>
          <t>N/A</t>
        </is>
      </c>
    </row>
    <row r="45" ht="25" customHeight="1" s="55">
      <c r="A45" s="57" t="n">
        <v>43</v>
      </c>
      <c r="B45" s="57" t="inlineStr">
        <is>
          <t>UKYT-25-009</t>
        </is>
      </c>
      <c r="C45" s="58" t="inlineStr">
        <is>
          <t>N/A</t>
        </is>
      </c>
      <c r="D45" s="59" t="n">
        <v>46230</v>
      </c>
      <c r="E45" s="58" t="inlineStr">
        <is>
          <t>N/A</t>
        </is>
      </c>
      <c r="F45" s="57" t="n">
        <v>1.02</v>
      </c>
      <c r="G45" s="57" t="n">
        <v>1.02</v>
      </c>
      <c r="H45" s="57" t="n">
        <v>1.02</v>
      </c>
      <c r="I45" s="57">
        <f>AVERAGE(F45,G45,H45)</f>
        <v/>
      </c>
      <c r="J45" s="57">
        <f>(143.254*(I45^3))-(648.67*(I45^2))+(1125.805*(I45))-620.389</f>
        <v/>
      </c>
      <c r="K45" s="57" t="inlineStr">
        <is>
          <t>25-009</t>
        </is>
      </c>
      <c r="L45" s="58" t="inlineStr">
        <is>
          <t>N/A</t>
        </is>
      </c>
    </row>
    <row r="46" ht="25" customHeight="1" s="55">
      <c r="A46" s="57" t="n">
        <v>44</v>
      </c>
      <c r="B46" s="57" t="inlineStr">
        <is>
          <t>UKYT-25-010</t>
        </is>
      </c>
      <c r="C46" s="57" t="inlineStr">
        <is>
          <t>High tunnel</t>
        </is>
      </c>
      <c r="D46" s="59" t="n">
        <v>46230</v>
      </c>
      <c r="E46" s="57" t="inlineStr">
        <is>
          <t>Third</t>
        </is>
      </c>
      <c r="F46" s="57" t="n">
        <v>1.026</v>
      </c>
      <c r="G46" s="57" t="n">
        <v>1.025</v>
      </c>
      <c r="H46" s="57" t="n">
        <v>1.024</v>
      </c>
      <c r="I46" s="57">
        <f>AVERAGE(F46,G46,H46)</f>
        <v/>
      </c>
      <c r="J46" s="57">
        <f>(143.254*(I46^3))-(648.67*(I46^2))+(1125.805*(I46))-620.389</f>
        <v/>
      </c>
      <c r="K46" s="57" t="inlineStr">
        <is>
          <t>25-010</t>
        </is>
      </c>
      <c r="L46" s="58" t="inlineStr">
        <is>
          <t>N/A</t>
        </is>
      </c>
    </row>
    <row r="47" ht="25" customHeight="1" s="55">
      <c r="A47" s="57" t="n">
        <v>45</v>
      </c>
      <c r="B47" s="57" t="inlineStr">
        <is>
          <t>UKYT-25-011</t>
        </is>
      </c>
      <c r="C47" s="57" t="inlineStr">
        <is>
          <t>High tunnel</t>
        </is>
      </c>
      <c r="D47" s="59" t="n">
        <v>46230</v>
      </c>
      <c r="E47" s="57" t="inlineStr">
        <is>
          <t>Third</t>
        </is>
      </c>
      <c r="F47" s="57" t="n">
        <v>1.029</v>
      </c>
      <c r="G47" s="57" t="n">
        <v>1.03</v>
      </c>
      <c r="H47" s="57" t="n">
        <v>1.024</v>
      </c>
      <c r="I47" s="57">
        <f>AVERAGE(F47,G47,H47)</f>
        <v/>
      </c>
      <c r="J47" s="57">
        <f>(143.254*(I47^3))-(648.67*(I47^2))+(1125.805*(I47))-620.389</f>
        <v/>
      </c>
      <c r="K47" s="57" t="inlineStr">
        <is>
          <t>25-011</t>
        </is>
      </c>
      <c r="L47" s="58" t="inlineStr">
        <is>
          <t>N/A</t>
        </is>
      </c>
    </row>
    <row r="48" ht="25" customHeight="1" s="55">
      <c r="A48" s="57" t="n">
        <v>46</v>
      </c>
      <c r="B48" s="57" t="inlineStr">
        <is>
          <t>UKYT-25-012</t>
        </is>
      </c>
      <c r="C48" s="58" t="inlineStr">
        <is>
          <t>N/A</t>
        </is>
      </c>
      <c r="D48" s="59" t="n">
        <v>46230</v>
      </c>
      <c r="E48" s="58" t="inlineStr">
        <is>
          <t>N/A</t>
        </is>
      </c>
      <c r="F48" s="57" t="n">
        <v>1.027</v>
      </c>
      <c r="G48" s="57" t="n">
        <v>1.026</v>
      </c>
      <c r="H48" s="57" t="n">
        <v>1.027</v>
      </c>
      <c r="I48" s="57">
        <f>AVERAGE(F48,G48,H48)</f>
        <v/>
      </c>
      <c r="J48" s="57">
        <f>(143.254*(I48^3))-(648.67*(I48^2))+(1125.805*(I48))-620.389</f>
        <v/>
      </c>
      <c r="K48" s="57" t="inlineStr">
        <is>
          <t>25-012</t>
        </is>
      </c>
      <c r="L48" s="58" t="inlineStr">
        <is>
          <t>N/A</t>
        </is>
      </c>
    </row>
    <row r="49" ht="25" customHeight="1" s="55">
      <c r="A49" s="57" t="n">
        <v>47</v>
      </c>
      <c r="B49" s="57" t="inlineStr">
        <is>
          <t>UKYT-25-013</t>
        </is>
      </c>
      <c r="C49" s="57" t="inlineStr">
        <is>
          <t>High tunnel</t>
        </is>
      </c>
      <c r="D49" s="59" t="n">
        <v>46230</v>
      </c>
      <c r="E49" s="57" t="inlineStr">
        <is>
          <t>Third</t>
        </is>
      </c>
      <c r="F49" s="57" t="n">
        <v>1.027</v>
      </c>
      <c r="G49" s="57" t="n">
        <v>1.031</v>
      </c>
      <c r="H49" s="57" t="n">
        <v>1.028</v>
      </c>
      <c r="I49" s="57">
        <f>AVERAGE(F49,G49,H49)</f>
        <v/>
      </c>
      <c r="J49" s="57">
        <f>(143.254*(I49^3))-(648.67*(I49^2))+(1125.805*(I49))-620.389</f>
        <v/>
      </c>
      <c r="K49" s="57" t="inlineStr">
        <is>
          <t>25-013</t>
        </is>
      </c>
      <c r="L49" s="58" t="inlineStr">
        <is>
          <t>N/A</t>
        </is>
      </c>
    </row>
    <row r="50" ht="25" customHeight="1" s="55">
      <c r="A50" s="57" t="n">
        <v>48</v>
      </c>
      <c r="B50" s="57" t="inlineStr">
        <is>
          <t>UKYT-25-014</t>
        </is>
      </c>
      <c r="C50" s="58" t="inlineStr">
        <is>
          <t>N/A</t>
        </is>
      </c>
      <c r="D50" s="59" t="n">
        <v>46230</v>
      </c>
      <c r="E50" s="58" t="inlineStr">
        <is>
          <t>N/A</t>
        </is>
      </c>
      <c r="F50" s="57" t="n">
        <v>1.023</v>
      </c>
      <c r="G50" s="57" t="n">
        <v>1.024</v>
      </c>
      <c r="H50" s="57" t="n">
        <v>1.023</v>
      </c>
      <c r="I50" s="57">
        <f>AVERAGE(F50,G50,H50)</f>
        <v/>
      </c>
      <c r="J50" s="57">
        <f>(143.254*(I50^3))-(648.67*(I50^2))+(1125.805*(I50))-620.389</f>
        <v/>
      </c>
      <c r="K50" s="57" t="inlineStr">
        <is>
          <t>25-014</t>
        </is>
      </c>
      <c r="L50" s="58" t="inlineStr">
        <is>
          <t>N/A</t>
        </is>
      </c>
    </row>
    <row r="51" ht="25" customHeight="1" s="55">
      <c r="A51" s="57" t="n">
        <v>49</v>
      </c>
      <c r="B51" s="57" t="inlineStr">
        <is>
          <t>UKYT-25-015</t>
        </is>
      </c>
      <c r="C51" s="57" t="inlineStr">
        <is>
          <t>High tunnel</t>
        </is>
      </c>
      <c r="D51" s="59" t="n">
        <v>46230</v>
      </c>
      <c r="E51" s="57" t="inlineStr">
        <is>
          <t>Second</t>
        </is>
      </c>
      <c r="F51" s="57" t="n">
        <v>1.032</v>
      </c>
      <c r="G51" s="57" t="n">
        <v>1.032</v>
      </c>
      <c r="H51" s="57" t="n">
        <v>1.032</v>
      </c>
      <c r="I51" s="57">
        <f>AVERAGE(F51,G51,H51)</f>
        <v/>
      </c>
      <c r="J51" s="57">
        <f>(143.254*(I51^3))-(648.67*(I51^2))+(1125.805*(I51))-620.389</f>
        <v/>
      </c>
      <c r="K51" s="57" t="inlineStr">
        <is>
          <t>25-015</t>
        </is>
      </c>
      <c r="L51" s="58" t="inlineStr">
        <is>
          <t>N/A</t>
        </is>
      </c>
    </row>
    <row r="52" ht="25" customHeight="1" s="55">
      <c r="A52" s="57" t="n">
        <v>50</v>
      </c>
      <c r="B52" s="57" t="inlineStr">
        <is>
          <t>UKYT-26-016</t>
        </is>
      </c>
      <c r="C52" s="57" t="inlineStr">
        <is>
          <t>High tunnel</t>
        </is>
      </c>
      <c r="D52" s="59" t="n">
        <v>46230</v>
      </c>
      <c r="E52" s="57" t="inlineStr">
        <is>
          <t>First</t>
        </is>
      </c>
      <c r="F52" s="57" t="n">
        <v>1.023</v>
      </c>
      <c r="G52" s="57" t="n">
        <v>1.022</v>
      </c>
      <c r="H52" s="57" t="n">
        <v>1.021</v>
      </c>
      <c r="I52" s="57">
        <f>AVERAGE(F52,G52,H52)</f>
        <v/>
      </c>
      <c r="J52" s="57">
        <f>(143.254*(I52^3))-(648.67*(I52^2))+(1125.805*(I52))-620.389</f>
        <v/>
      </c>
      <c r="K52" s="57" t="inlineStr">
        <is>
          <t>26-016</t>
        </is>
      </c>
      <c r="L52" s="58" t="inlineStr">
        <is>
          <t>N/A</t>
        </is>
      </c>
    </row>
    <row r="53" ht="25" customHeight="1" s="55">
      <c r="A53" s="57" t="n">
        <v>51</v>
      </c>
      <c r="B53" s="57" t="inlineStr">
        <is>
          <t>UKYT-26-017</t>
        </is>
      </c>
      <c r="C53" s="57" t="inlineStr">
        <is>
          <t>High tunnel</t>
        </is>
      </c>
      <c r="D53" s="59" t="n">
        <v>46230</v>
      </c>
      <c r="E53" s="57" t="inlineStr">
        <is>
          <t>First</t>
        </is>
      </c>
      <c r="F53" s="57" t="n">
        <v>1.02</v>
      </c>
      <c r="G53" s="57" t="n">
        <v>1.023</v>
      </c>
      <c r="H53" s="57" t="n">
        <v>1.022</v>
      </c>
      <c r="I53" s="57">
        <f>AVERAGE(F53,G53,H53)</f>
        <v/>
      </c>
      <c r="J53" s="57">
        <f>(143.254*(I53^3))-(648.67*(I53^2))+(1125.805*(I53))-620.389</f>
        <v/>
      </c>
      <c r="K53" s="57" t="inlineStr">
        <is>
          <t>26-017</t>
        </is>
      </c>
      <c r="L53" s="58" t="inlineStr">
        <is>
          <t>N/A</t>
        </is>
      </c>
    </row>
    <row r="54" ht="25" customHeight="1" s="55">
      <c r="A54" s="57" t="n">
        <v>52</v>
      </c>
      <c r="B54" s="57" t="inlineStr">
        <is>
          <t>UKYT-25-011</t>
        </is>
      </c>
      <c r="C54" s="57" t="inlineStr">
        <is>
          <t>Open field</t>
        </is>
      </c>
      <c r="D54" s="59" t="n">
        <v>46226</v>
      </c>
      <c r="E54" s="57" t="inlineStr">
        <is>
          <t>First</t>
        </is>
      </c>
      <c r="F54" s="57" t="n">
        <v>1.033</v>
      </c>
      <c r="G54" s="57" t="n">
        <v>1.026</v>
      </c>
      <c r="H54" s="57" t="n">
        <v>1.027</v>
      </c>
      <c r="I54" s="57">
        <f>AVERAGE(F54,G54,H54)</f>
        <v/>
      </c>
      <c r="J54" s="57">
        <f>(143.254*(I54^3))-(648.67*(I54^2))+(1125.805*(I54))-620.389</f>
        <v/>
      </c>
      <c r="K54" s="57" t="inlineStr">
        <is>
          <t>25-011 R1</t>
        </is>
      </c>
      <c r="L54" s="57" t="inlineStr">
        <is>
          <t>R1</t>
        </is>
      </c>
    </row>
    <row r="55" ht="25" customHeight="1" s="55">
      <c r="A55" s="57" t="n">
        <v>53</v>
      </c>
      <c r="B55" s="57" t="inlineStr">
        <is>
          <t>UKYT-25-010</t>
        </is>
      </c>
      <c r="C55" s="57" t="inlineStr">
        <is>
          <t>Open field</t>
        </is>
      </c>
      <c r="D55" s="59" t="n">
        <v>46215</v>
      </c>
      <c r="E55" s="57" t="inlineStr">
        <is>
          <t>First</t>
        </is>
      </c>
      <c r="F55" s="57" t="n">
        <v>1.03</v>
      </c>
      <c r="G55" s="57" t="n">
        <v>1.027</v>
      </c>
      <c r="H55" s="57" t="n">
        <v>1.031</v>
      </c>
      <c r="I55" s="57">
        <f>AVERAGE(F55,G55,H55)</f>
        <v/>
      </c>
      <c r="J55" s="57">
        <f>(143.254*(I55^3))-(648.67*(I55^2))+(1125.805*(I55))-620.389</f>
        <v/>
      </c>
      <c r="K55" s="57" t="inlineStr">
        <is>
          <t>25-010 R1</t>
        </is>
      </c>
      <c r="L55" s="57" t="inlineStr">
        <is>
          <t>R1</t>
        </is>
      </c>
    </row>
    <row r="56" ht="25" customHeight="1" s="55">
      <c r="A56" s="57" t="n">
        <v>54</v>
      </c>
      <c r="B56" s="57" t="inlineStr">
        <is>
          <t>UKYT-26-002</t>
        </is>
      </c>
      <c r="C56" s="57" t="inlineStr">
        <is>
          <t>Open field</t>
        </is>
      </c>
      <c r="D56" s="59" t="n">
        <v>46215</v>
      </c>
      <c r="E56" s="57" t="inlineStr">
        <is>
          <t>First</t>
        </is>
      </c>
      <c r="F56" s="57" t="n">
        <v>1.022</v>
      </c>
      <c r="G56" s="57" t="n">
        <v>1.021</v>
      </c>
      <c r="H56" s="57" t="n">
        <v>1.022</v>
      </c>
      <c r="I56" s="57">
        <f>AVERAGE(F56,G56,H56)</f>
        <v/>
      </c>
      <c r="J56" s="57">
        <f>(143.254*(I56^3))-(648.67*(I56^2))+(1125.805*(I56))-620.389</f>
        <v/>
      </c>
      <c r="K56" s="57" t="inlineStr">
        <is>
          <t>26-002 R1</t>
        </is>
      </c>
      <c r="L56" s="57" t="inlineStr">
        <is>
          <t>R1</t>
        </is>
      </c>
    </row>
    <row r="57" ht="25" customHeight="1" s="55">
      <c r="A57" s="57" t="n">
        <v>55</v>
      </c>
      <c r="B57" s="57" t="inlineStr">
        <is>
          <t>UKYT-25-018</t>
        </is>
      </c>
      <c r="C57" s="57" t="inlineStr">
        <is>
          <t>Open field</t>
        </is>
      </c>
      <c r="D57" s="59" t="n">
        <v>46215</v>
      </c>
      <c r="E57" s="57" t="inlineStr">
        <is>
          <t>First</t>
        </is>
      </c>
      <c r="F57" s="57" t="n">
        <v>1.03</v>
      </c>
      <c r="G57" s="57" t="n">
        <v>1.03</v>
      </c>
      <c r="H57" s="57" t="n">
        <v>1.03</v>
      </c>
      <c r="I57" s="57">
        <f>AVERAGE(F57,G57,H57)</f>
        <v/>
      </c>
      <c r="J57" s="57">
        <f>(143.254*(I57^3))-(648.67*(I57^2))+(1125.805*(I57))-620.389</f>
        <v/>
      </c>
      <c r="K57" s="57" t="inlineStr">
        <is>
          <t>25-018 R1</t>
        </is>
      </c>
      <c r="L57" s="57" t="inlineStr">
        <is>
          <t>R1</t>
        </is>
      </c>
    </row>
    <row r="58" ht="25" customHeight="1" s="55">
      <c r="A58" s="57" t="n">
        <v>56</v>
      </c>
      <c r="B58" s="57" t="inlineStr">
        <is>
          <t>UKYT-26-007</t>
        </is>
      </c>
      <c r="C58" s="57" t="inlineStr">
        <is>
          <t>Open field</t>
        </is>
      </c>
      <c r="D58" s="59" t="n">
        <v>46215</v>
      </c>
      <c r="E58" s="57" t="inlineStr">
        <is>
          <t>First</t>
        </is>
      </c>
      <c r="F58" s="57" t="n">
        <v>1.026</v>
      </c>
      <c r="G58" s="57" t="n">
        <v>1.028</v>
      </c>
      <c r="H58" s="57" t="n">
        <v>1.033</v>
      </c>
      <c r="I58" s="57">
        <f>AVERAGE(F58,G58,H58)</f>
        <v/>
      </c>
      <c r="J58" s="57">
        <f>(143.254*(I58^3))-(648.67*(I58^2))+(1125.805*(I58))-620.389</f>
        <v/>
      </c>
      <c r="K58" s="57" t="inlineStr">
        <is>
          <t>26-007 R1</t>
        </is>
      </c>
      <c r="L58" s="57" t="inlineStr">
        <is>
          <t>R1</t>
        </is>
      </c>
    </row>
    <row r="59" ht="25" customHeight="1" s="55">
      <c r="A59" s="57" t="n">
        <v>57</v>
      </c>
      <c r="B59" s="57" t="inlineStr">
        <is>
          <t>UKYT-25-005</t>
        </is>
      </c>
      <c r="C59" s="57" t="inlineStr">
        <is>
          <t>Open field</t>
        </is>
      </c>
      <c r="D59" s="59" t="n">
        <v>46215</v>
      </c>
      <c r="E59" s="57" t="inlineStr">
        <is>
          <t>First</t>
        </is>
      </c>
      <c r="F59" s="57" t="n">
        <v>1.024</v>
      </c>
      <c r="G59" s="57" t="n">
        <v>1.025</v>
      </c>
      <c r="H59" s="57" t="n">
        <v>1.024</v>
      </c>
      <c r="I59" s="57">
        <f>AVERAGE(F59,G59,H59)</f>
        <v/>
      </c>
      <c r="J59" s="57">
        <f>(143.254*(I59^3))-(648.67*(I59^2))+(1125.805*(I59))-620.389</f>
        <v/>
      </c>
      <c r="K59" s="57" t="inlineStr">
        <is>
          <t>25-005 R1</t>
        </is>
      </c>
      <c r="L59" s="57" t="inlineStr">
        <is>
          <t>R1</t>
        </is>
      </c>
    </row>
    <row r="60" ht="25" customHeight="1" s="55">
      <c r="A60" s="57" t="n">
        <v>58</v>
      </c>
      <c r="B60" s="57" t="inlineStr">
        <is>
          <t>NC2555G</t>
        </is>
      </c>
      <c r="C60" s="57" t="inlineStr">
        <is>
          <t>Open field</t>
        </is>
      </c>
      <c r="D60" s="59" t="n">
        <v>46215</v>
      </c>
      <c r="E60" s="57" t="inlineStr">
        <is>
          <t>First</t>
        </is>
      </c>
      <c r="F60" s="57" t="n">
        <v>1.025</v>
      </c>
      <c r="G60" s="57" t="n">
        <v>1.023</v>
      </c>
      <c r="H60" s="57" t="n">
        <v>1.024</v>
      </c>
      <c r="I60" s="57">
        <f>AVERAGE(F60,G60,H60)</f>
        <v/>
      </c>
      <c r="J60" s="57">
        <f>(143.254*(I60^3))-(648.67*(I60^2))+(1125.805*(I60))-620.389</f>
        <v/>
      </c>
      <c r="K60" s="57" t="inlineStr">
        <is>
          <t>NC2555G-1</t>
        </is>
      </c>
      <c r="L60" s="58" t="inlineStr">
        <is>
          <t>N/A</t>
        </is>
      </c>
    </row>
    <row r="61" ht="25" customHeight="1" s="55">
      <c r="A61" s="57" t="n">
        <v>59</v>
      </c>
      <c r="B61" s="57" t="inlineStr">
        <is>
          <t>NC25217G</t>
        </is>
      </c>
      <c r="C61" s="57" t="inlineStr">
        <is>
          <t>Open field</t>
        </is>
      </c>
      <c r="D61" s="59" t="n">
        <v>46215</v>
      </c>
      <c r="E61" s="57" t="inlineStr">
        <is>
          <t>First</t>
        </is>
      </c>
      <c r="F61" s="57" t="n">
        <v>1.021</v>
      </c>
      <c r="G61" s="57" t="n">
        <v>1.022</v>
      </c>
      <c r="H61" s="57" t="n">
        <v>1.021</v>
      </c>
      <c r="I61" s="57">
        <f>AVERAGE(F61,G61,H61)</f>
        <v/>
      </c>
      <c r="J61" s="57">
        <f>(143.254*(I61^3))-(648.67*(I61^2))+(1125.805*(I61))-620.389</f>
        <v/>
      </c>
      <c r="K61" s="57" t="inlineStr">
        <is>
          <t>NC25217G-1</t>
        </is>
      </c>
      <c r="L61" s="58" t="inlineStr">
        <is>
          <t>N/A</t>
        </is>
      </c>
    </row>
    <row r="62" ht="25" customHeight="1" s="55">
      <c r="A62" s="57" t="n">
        <v>60</v>
      </c>
      <c r="B62" s="57" t="inlineStr">
        <is>
          <t>NC262G</t>
        </is>
      </c>
      <c r="C62" s="57" t="inlineStr">
        <is>
          <t>Open field</t>
        </is>
      </c>
      <c r="D62" s="59" t="n">
        <v>46215</v>
      </c>
      <c r="E62" s="57" t="inlineStr">
        <is>
          <t>First</t>
        </is>
      </c>
      <c r="F62" s="57" t="n">
        <v>1.023</v>
      </c>
      <c r="G62" s="57" t="n">
        <v>1.024</v>
      </c>
      <c r="H62" s="57" t="n">
        <v>1.023</v>
      </c>
      <c r="I62" s="57">
        <f>AVERAGE(F62,G62,H62)</f>
        <v/>
      </c>
      <c r="J62" s="57">
        <f>(143.254*(I62^3))-(648.67*(I62^2))+(1125.805*(I62))-620.389</f>
        <v/>
      </c>
      <c r="K62" s="57" t="inlineStr">
        <is>
          <t>NS262G-1</t>
        </is>
      </c>
      <c r="L62" s="58" t="inlineStr">
        <is>
          <t>N/A</t>
        </is>
      </c>
    </row>
    <row r="63" ht="25" customHeight="1" s="55">
      <c r="A63" s="57" t="n">
        <v>61</v>
      </c>
      <c r="B63" s="57" t="inlineStr">
        <is>
          <t>UKYT-26-001</t>
        </is>
      </c>
      <c r="C63" s="57" t="inlineStr">
        <is>
          <t>Open field</t>
        </is>
      </c>
      <c r="D63" s="59" t="n">
        <v>46215</v>
      </c>
      <c r="E63" s="57" t="inlineStr">
        <is>
          <t>First</t>
        </is>
      </c>
      <c r="F63" s="57" t="n">
        <v>1.018</v>
      </c>
      <c r="G63" s="57" t="n">
        <v>1.018</v>
      </c>
      <c r="H63" s="57" t="n">
        <v>1.018</v>
      </c>
      <c r="I63" s="57">
        <f>AVERAGE(F63,G63,H63)</f>
        <v/>
      </c>
      <c r="J63" s="57">
        <f>(143.254*(I63^3))-(648.67*(I63^2))+(1125.805*(I63))-620.389</f>
        <v/>
      </c>
      <c r="K63" s="57" t="inlineStr">
        <is>
          <t>26-001 R1</t>
        </is>
      </c>
      <c r="L63" s="57" t="inlineStr">
        <is>
          <t>R1</t>
        </is>
      </c>
    </row>
    <row r="64" ht="25" customHeight="1" s="55">
      <c r="A64" s="57" t="n">
        <v>62</v>
      </c>
      <c r="B64" s="57" t="inlineStr">
        <is>
          <t>UKYT-26-005</t>
        </is>
      </c>
      <c r="C64" s="57" t="inlineStr">
        <is>
          <t>Open field</t>
        </is>
      </c>
      <c r="D64" s="59" t="n">
        <v>46215</v>
      </c>
      <c r="E64" s="57" t="inlineStr">
        <is>
          <t>First</t>
        </is>
      </c>
      <c r="F64" s="57" t="n">
        <v>1.022</v>
      </c>
      <c r="G64" s="57" t="n">
        <v>1.022</v>
      </c>
      <c r="H64" s="57" t="n">
        <v>1.022</v>
      </c>
      <c r="I64" s="57">
        <f>AVERAGE(F64,G64,H64)</f>
        <v/>
      </c>
      <c r="J64" s="57">
        <f>(143.254*(I64^3))-(648.67*(I64^2))+(1125.805*(I64))-620.389</f>
        <v/>
      </c>
      <c r="K64" s="57" t="inlineStr">
        <is>
          <t>26-005 R1</t>
        </is>
      </c>
      <c r="L64" s="57" t="inlineStr">
        <is>
          <t>R1</t>
        </is>
      </c>
    </row>
    <row r="65" ht="25" customHeight="1" s="55">
      <c r="A65" s="57" t="n">
        <v>63</v>
      </c>
      <c r="B65" s="57" t="inlineStr">
        <is>
          <t>NC25240G</t>
        </is>
      </c>
      <c r="C65" s="57" t="inlineStr">
        <is>
          <t>Open field</t>
        </is>
      </c>
      <c r="D65" s="59" t="n">
        <v>46215</v>
      </c>
      <c r="E65" s="57" t="inlineStr">
        <is>
          <t>First</t>
        </is>
      </c>
      <c r="F65" s="57" t="n">
        <v>1.023</v>
      </c>
      <c r="G65" s="57" t="n">
        <v>1.023</v>
      </c>
      <c r="H65" s="57" t="n">
        <v>1.023</v>
      </c>
      <c r="I65" s="57">
        <f>AVERAGE(F65,G65,H65)</f>
        <v/>
      </c>
      <c r="J65" s="57">
        <f>(143.254*(I65^3))-(648.67*(I65^2))+(1125.805*(I65))-620.389</f>
        <v/>
      </c>
      <c r="K65" s="57" t="inlineStr">
        <is>
          <t>NC25240G-1</t>
        </is>
      </c>
      <c r="L65" s="58" t="inlineStr">
        <is>
          <t>N/A</t>
        </is>
      </c>
    </row>
    <row r="66" ht="25" customHeight="1" s="55">
      <c r="A66" s="57" t="n">
        <v>64</v>
      </c>
      <c r="B66" s="57" t="inlineStr">
        <is>
          <t>NC25230G</t>
        </is>
      </c>
      <c r="C66" s="57" t="inlineStr">
        <is>
          <t>Open field</t>
        </is>
      </c>
      <c r="D66" s="59" t="n">
        <v>46215</v>
      </c>
      <c r="E66" s="57" t="inlineStr">
        <is>
          <t>First</t>
        </is>
      </c>
      <c r="F66" s="57" t="n">
        <v>1.019</v>
      </c>
      <c r="G66" s="57" t="n">
        <v>1.019</v>
      </c>
      <c r="H66" s="57" t="n">
        <v>1.019</v>
      </c>
      <c r="I66" s="57">
        <f>AVERAGE(F66,G66,H66)</f>
        <v/>
      </c>
      <c r="J66" s="57">
        <f>(143.254*(I66^3))-(648.67*(I66^2))+(1125.805*(I66))-620.389</f>
        <v/>
      </c>
      <c r="K66" s="57" t="inlineStr">
        <is>
          <t>NC25230G-1</t>
        </is>
      </c>
      <c r="L66" s="58" t="inlineStr">
        <is>
          <t>N/A</t>
        </is>
      </c>
    </row>
    <row r="67" ht="25" customHeight="1" s="55">
      <c r="A67" s="57" t="n">
        <v>65</v>
      </c>
      <c r="B67" s="57" t="inlineStr">
        <is>
          <t>NC252125</t>
        </is>
      </c>
      <c r="C67" s="57" t="inlineStr">
        <is>
          <t>Open field</t>
        </is>
      </c>
      <c r="D67" s="59" t="n">
        <v>46215</v>
      </c>
      <c r="E67" s="57" t="inlineStr">
        <is>
          <t>First</t>
        </is>
      </c>
      <c r="F67" s="57" t="n">
        <v>1.02</v>
      </c>
      <c r="G67" s="57" t="n">
        <v>1.02</v>
      </c>
      <c r="H67" s="57" t="n">
        <v>1.02</v>
      </c>
      <c r="I67" s="57">
        <f>AVERAGE(F67,G67,H67)</f>
        <v/>
      </c>
      <c r="J67" s="57">
        <f>(143.254*(I67^3))-(648.67*(I67^2))+(1125.805*(I67))-620.389</f>
        <v/>
      </c>
      <c r="K67" s="57" t="inlineStr">
        <is>
          <t>NC252125-1</t>
        </is>
      </c>
      <c r="L67" s="58" t="inlineStr">
        <is>
          <t>N/A</t>
        </is>
      </c>
    </row>
    <row r="68" ht="25" customHeight="1" s="55">
      <c r="A68" s="57" t="n">
        <v>66</v>
      </c>
      <c r="B68" s="57" t="inlineStr">
        <is>
          <t>UKYT-25-013</t>
        </is>
      </c>
      <c r="C68" s="57" t="inlineStr">
        <is>
          <t>Open field</t>
        </is>
      </c>
      <c r="D68" s="59" t="n">
        <v>46215</v>
      </c>
      <c r="E68" s="57" t="inlineStr">
        <is>
          <t>First</t>
        </is>
      </c>
      <c r="F68" s="57" t="n">
        <v>1.027</v>
      </c>
      <c r="G68" s="57" t="n">
        <v>1.031</v>
      </c>
      <c r="H68" s="57" t="n">
        <v>1.029</v>
      </c>
      <c r="I68" s="57">
        <f>AVERAGE(F68,G68,H68)</f>
        <v/>
      </c>
      <c r="J68" s="57">
        <f>(143.254*(I68^3))-(648.67*(I68^2))+(1125.805*(I68))-620.389</f>
        <v/>
      </c>
      <c r="K68" s="57" t="inlineStr">
        <is>
          <t>25-013 R1</t>
        </is>
      </c>
      <c r="L68" s="57" t="inlineStr">
        <is>
          <t>R1</t>
        </is>
      </c>
    </row>
    <row r="69" ht="25" customHeight="1" s="55">
      <c r="A69" s="57" t="n">
        <v>67</v>
      </c>
      <c r="B69" s="57" t="inlineStr">
        <is>
          <t>NC25241G</t>
        </is>
      </c>
      <c r="C69" s="57" t="inlineStr">
        <is>
          <t>Open field</t>
        </is>
      </c>
      <c r="D69" s="59" t="n">
        <v>46215</v>
      </c>
      <c r="E69" s="57" t="inlineStr">
        <is>
          <t>First</t>
        </is>
      </c>
      <c r="F69" s="57" t="n">
        <v>1.026</v>
      </c>
      <c r="G69" s="57" t="n">
        <v>1.026</v>
      </c>
      <c r="H69" s="57" t="n">
        <v>1.026</v>
      </c>
      <c r="I69" s="57">
        <f>AVERAGE(F69,G69,H69)</f>
        <v/>
      </c>
      <c r="J69" s="57">
        <f>(143.254*(I69^3))-(648.67*(I69^2))+(1125.805*(I69))-620.389</f>
        <v/>
      </c>
      <c r="K69" s="57" t="inlineStr">
        <is>
          <t>NC25241G-1</t>
        </is>
      </c>
      <c r="L69" s="58" t="inlineStr">
        <is>
          <t>N/A</t>
        </is>
      </c>
    </row>
    <row r="70" ht="25" customHeight="1" s="55">
      <c r="A70" s="57" t="n">
        <v>68</v>
      </c>
      <c r="B70" s="57" t="inlineStr">
        <is>
          <t>UKYT-25-009</t>
        </is>
      </c>
      <c r="C70" s="57" t="inlineStr">
        <is>
          <t>Robinson</t>
        </is>
      </c>
      <c r="D70" s="59" t="n">
        <v>46246</v>
      </c>
      <c r="E70" s="57" t="inlineStr">
        <is>
          <t>First</t>
        </is>
      </c>
      <c r="F70" s="57" t="n">
        <v>1.025</v>
      </c>
      <c r="G70" s="57" t="n">
        <v>1.025</v>
      </c>
      <c r="H70" s="57" t="n">
        <v>1.025</v>
      </c>
      <c r="I70" s="57">
        <f>AVERAGE(F70,G70,H70)</f>
        <v/>
      </c>
      <c r="J70" s="57">
        <f>(143.254*(I70^3))-(648.67*(I70^2))+(1125.805*(I70))-620.389</f>
        <v/>
      </c>
      <c r="K70" s="57" t="inlineStr">
        <is>
          <t>25-009</t>
        </is>
      </c>
      <c r="L70" s="58" t="inlineStr">
        <is>
          <t>N/A</t>
        </is>
      </c>
    </row>
    <row r="71" ht="25" customHeight="1" s="55">
      <c r="A71" s="57" t="n">
        <v>69</v>
      </c>
      <c r="B71" s="57" t="inlineStr">
        <is>
          <t>UKYT-25-008</t>
        </is>
      </c>
      <c r="C71" s="57" t="inlineStr">
        <is>
          <t>Robinson</t>
        </is>
      </c>
      <c r="D71" s="59" t="n">
        <v>46246</v>
      </c>
      <c r="E71" s="57" t="inlineStr">
        <is>
          <t>First</t>
        </is>
      </c>
      <c r="F71" s="57" t="n">
        <v>1.027</v>
      </c>
      <c r="G71" s="57" t="n">
        <v>1.03</v>
      </c>
      <c r="H71" s="57" t="n">
        <v>1.029</v>
      </c>
      <c r="I71" s="57">
        <f>AVERAGE(F71,G71,H71)</f>
        <v/>
      </c>
      <c r="J71" s="57">
        <f>(143.254*(I71^3))-(648.67*(I71^2))+(1125.805*(I71))-620.389</f>
        <v/>
      </c>
      <c r="K71" s="57" t="inlineStr">
        <is>
          <t>25-008</t>
        </is>
      </c>
      <c r="L71" s="58" t="inlineStr">
        <is>
          <t>N/A</t>
        </is>
      </c>
    </row>
    <row r="72" ht="25" customHeight="1" s="55">
      <c r="A72" s="57" t="n">
        <v>70</v>
      </c>
      <c r="B72" s="57" t="inlineStr">
        <is>
          <t>UKYT-25-014</t>
        </is>
      </c>
      <c r="C72" s="57" t="inlineStr">
        <is>
          <t>Robinson</t>
        </is>
      </c>
      <c r="D72" s="59" t="n">
        <v>46246</v>
      </c>
      <c r="E72" s="57" t="inlineStr">
        <is>
          <t>First</t>
        </is>
      </c>
      <c r="F72" s="57" t="n">
        <v>1.027</v>
      </c>
      <c r="G72" s="57" t="n">
        <v>1.027</v>
      </c>
      <c r="H72" s="57" t="n">
        <v>1.027</v>
      </c>
      <c r="I72" s="57">
        <f>AVERAGE(F72,G72,H72)</f>
        <v/>
      </c>
      <c r="J72" s="57">
        <f>(143.254*(I72^3))-(648.67*(I72^2))+(1125.805*(I72))-620.389</f>
        <v/>
      </c>
      <c r="K72" s="57" t="inlineStr">
        <is>
          <t>25-014</t>
        </is>
      </c>
      <c r="L72" s="58" t="inlineStr">
        <is>
          <t>N/A</t>
        </is>
      </c>
    </row>
    <row r="73" ht="25" customHeight="1" s="55">
      <c r="A73" s="57" t="n">
        <v>71</v>
      </c>
      <c r="B73" s="57" t="inlineStr">
        <is>
          <t>UKYT-25-017</t>
        </is>
      </c>
      <c r="C73" s="57" t="inlineStr">
        <is>
          <t>Robinson</t>
        </is>
      </c>
      <c r="D73" s="59" t="n">
        <v>46246</v>
      </c>
      <c r="E73" s="57" t="inlineStr">
        <is>
          <t>First</t>
        </is>
      </c>
      <c r="F73" s="57" t="n">
        <v>1.034</v>
      </c>
      <c r="G73" s="57" t="n">
        <v>1.029</v>
      </c>
      <c r="H73" s="57" t="n">
        <v>1.029</v>
      </c>
      <c r="I73" s="57">
        <f>AVERAGE(F73,G73,H73)</f>
        <v/>
      </c>
      <c r="J73" s="57">
        <f>(143.254*(I73^3))-(648.67*(I73^2))+(1125.805*(I73))-620.389</f>
        <v/>
      </c>
      <c r="K73" s="57" t="inlineStr">
        <is>
          <t>25-017</t>
        </is>
      </c>
      <c r="L73" s="58" t="inlineStr">
        <is>
          <t>N/A</t>
        </is>
      </c>
    </row>
    <row r="74" ht="25" customHeight="1" s="55">
      <c r="A74" s="57" t="n">
        <v>72</v>
      </c>
      <c r="B74" s="57" t="inlineStr">
        <is>
          <t>UKYT-25-035</t>
        </is>
      </c>
      <c r="C74" s="57" t="inlineStr">
        <is>
          <t>Robinson</t>
        </is>
      </c>
      <c r="D74" s="59" t="n">
        <v>46246</v>
      </c>
      <c r="E74" s="57" t="inlineStr">
        <is>
          <t>First</t>
        </is>
      </c>
      <c r="F74" s="57" t="n">
        <v>1.03</v>
      </c>
      <c r="G74" s="57" t="n">
        <v>1.029</v>
      </c>
      <c r="H74" s="57" t="n">
        <v>1.029</v>
      </c>
      <c r="I74" s="57">
        <f>AVERAGE(F74,G74,H74)</f>
        <v/>
      </c>
      <c r="J74" s="57">
        <f>(143.254*(I74^3))-(648.67*(I74^2))+(1125.805*(I74))-620.389</f>
        <v/>
      </c>
      <c r="K74" s="57" t="inlineStr">
        <is>
          <t>25-035</t>
        </is>
      </c>
      <c r="L74" s="58" t="inlineStr">
        <is>
          <t>N/A</t>
        </is>
      </c>
    </row>
    <row r="75" ht="25" customHeight="1" s="55">
      <c r="A75" s="57" t="n">
        <v>73</v>
      </c>
      <c r="B75" s="57" t="inlineStr">
        <is>
          <t>UKYT-25-006</t>
        </is>
      </c>
      <c r="C75" s="57" t="inlineStr">
        <is>
          <t>Robinson</t>
        </is>
      </c>
      <c r="D75" s="59" t="n">
        <v>46246</v>
      </c>
      <c r="E75" s="57" t="inlineStr">
        <is>
          <t>First</t>
        </is>
      </c>
      <c r="F75" s="57" t="n">
        <v>1.031</v>
      </c>
      <c r="G75" s="57" t="n">
        <v>1.029</v>
      </c>
      <c r="H75" s="57" t="n">
        <v>1.029</v>
      </c>
      <c r="I75" s="57">
        <f>AVERAGE(F75,G75,H75)</f>
        <v/>
      </c>
      <c r="J75" s="57">
        <f>(143.254*(I75^3))-(648.67*(I75^2))+(1125.805*(I75))-620.389</f>
        <v/>
      </c>
      <c r="K75" s="57" t="inlineStr">
        <is>
          <t>25-006</t>
        </is>
      </c>
      <c r="L75" s="58" t="inlineStr">
        <is>
          <t>N/A</t>
        </is>
      </c>
    </row>
    <row r="76" ht="25" customHeight="1" s="55">
      <c r="A76" s="57" t="n">
        <v>74</v>
      </c>
      <c r="B76" s="57" t="inlineStr">
        <is>
          <t>UKYT-25-002</t>
        </is>
      </c>
      <c r="C76" s="57" t="inlineStr">
        <is>
          <t>Robinson</t>
        </is>
      </c>
      <c r="D76" s="59" t="n">
        <v>46246</v>
      </c>
      <c r="E76" s="57" t="inlineStr">
        <is>
          <t>First</t>
        </is>
      </c>
      <c r="F76" s="57" t="n">
        <v>1.029</v>
      </c>
      <c r="G76" s="57" t="n">
        <v>1.028</v>
      </c>
      <c r="H76" s="57" t="n">
        <v>1.028</v>
      </c>
      <c r="I76" s="57">
        <f>AVERAGE(F76,G76,H76)</f>
        <v/>
      </c>
      <c r="J76" s="57">
        <f>(143.254*(I76^3))-(648.67*(I76^2))+(1125.805*(I76))-620.389</f>
        <v/>
      </c>
      <c r="K76" s="57" t="inlineStr">
        <is>
          <t>25-002</t>
        </is>
      </c>
      <c r="L76" s="58" t="inlineStr">
        <is>
          <t>N/A</t>
        </is>
      </c>
    </row>
    <row r="77" ht="25" customHeight="1" s="55">
      <c r="A77" s="57" t="n">
        <v>75</v>
      </c>
      <c r="B77" s="57" t="inlineStr">
        <is>
          <t>UKYT-26-039</t>
        </is>
      </c>
      <c r="C77" s="57" t="inlineStr">
        <is>
          <t>Robinson</t>
        </is>
      </c>
      <c r="D77" s="59" t="n">
        <v>46246</v>
      </c>
      <c r="E77" s="57" t="inlineStr">
        <is>
          <t>First</t>
        </is>
      </c>
      <c r="F77" s="57" t="n">
        <v>1.022</v>
      </c>
      <c r="G77" s="57" t="n">
        <v>1.028</v>
      </c>
      <c r="H77" s="57" t="n">
        <v>1.028</v>
      </c>
      <c r="I77" s="57">
        <f>AVERAGE(F77,G77,H77)</f>
        <v/>
      </c>
      <c r="J77" s="57">
        <f>(143.254*(I77^3))-(648.67*(I77^2))+(1125.805*(I77))-620.389</f>
        <v/>
      </c>
      <c r="K77" s="57" t="inlineStr">
        <is>
          <t>26-039</t>
        </is>
      </c>
      <c r="L77" s="58" t="inlineStr">
        <is>
          <t>N/A</t>
        </is>
      </c>
    </row>
    <row r="78" ht="25" customHeight="1" s="55">
      <c r="A78" s="57" t="n">
        <v>76</v>
      </c>
      <c r="B78" s="57" t="inlineStr">
        <is>
          <t>UKYT-25-012</t>
        </is>
      </c>
      <c r="C78" s="57" t="inlineStr">
        <is>
          <t>Robinson</t>
        </is>
      </c>
      <c r="D78" s="59" t="n">
        <v>46246</v>
      </c>
      <c r="E78" s="57" t="inlineStr">
        <is>
          <t>First</t>
        </is>
      </c>
      <c r="F78" s="57" t="n">
        <v>1.036</v>
      </c>
      <c r="G78" s="57" t="n">
        <v>1.031</v>
      </c>
      <c r="H78" s="57" t="n">
        <v>1.031</v>
      </c>
      <c r="I78" s="57">
        <f>AVERAGE(F78,G78,H78)</f>
        <v/>
      </c>
      <c r="J78" s="57">
        <f>(143.254*(I78^3))-(648.67*(I78^2))+(1125.805*(I78))-620.389</f>
        <v/>
      </c>
      <c r="K78" s="57" t="inlineStr">
        <is>
          <t>25-012</t>
        </is>
      </c>
      <c r="L78" s="58" t="inlineStr">
        <is>
          <t>N/A</t>
        </is>
      </c>
    </row>
    <row r="79" ht="25" customHeight="1" s="55">
      <c r="A79" s="57" t="n">
        <v>77</v>
      </c>
      <c r="B79" s="57" t="inlineStr">
        <is>
          <t>UKYT-26-036</t>
        </is>
      </c>
      <c r="C79" s="57" t="inlineStr">
        <is>
          <t>Robinson</t>
        </is>
      </c>
      <c r="D79" s="59" t="n">
        <v>46246</v>
      </c>
      <c r="E79" s="57" t="inlineStr">
        <is>
          <t>First</t>
        </is>
      </c>
      <c r="F79" s="57" t="n">
        <v>1.024</v>
      </c>
      <c r="G79" s="57" t="n">
        <v>1.024</v>
      </c>
      <c r="H79" s="57" t="n">
        <v>1.024</v>
      </c>
      <c r="I79" s="57">
        <f>AVERAGE(F79,G79,H79)</f>
        <v/>
      </c>
      <c r="J79" s="57">
        <f>(143.254*(I79^3))-(648.67*(I79^2))+(1125.805*(I79))-620.389</f>
        <v/>
      </c>
      <c r="K79" s="57" t="inlineStr">
        <is>
          <t>26-036</t>
        </is>
      </c>
      <c r="L79" s="58" t="inlineStr">
        <is>
          <t>N/A</t>
        </is>
      </c>
    </row>
    <row r="80" ht="25" customHeight="1" s="55">
      <c r="A80" s="57" t="n">
        <v>78</v>
      </c>
      <c r="B80" s="57" t="inlineStr">
        <is>
          <t>UKYT-25-006</t>
        </is>
      </c>
      <c r="C80" s="57" t="inlineStr">
        <is>
          <t>Robinson</t>
        </is>
      </c>
      <c r="D80" s="59" t="n">
        <v>46246</v>
      </c>
      <c r="E80" s="57" t="inlineStr">
        <is>
          <t>First</t>
        </is>
      </c>
      <c r="F80" s="57" t="n">
        <v>1.036</v>
      </c>
      <c r="G80" s="57" t="n">
        <v>1.028</v>
      </c>
      <c r="H80" s="57" t="n">
        <v>1.033</v>
      </c>
      <c r="I80" s="57">
        <f>AVERAGE(F80,G80,H80)</f>
        <v/>
      </c>
      <c r="J80" s="57">
        <f>(143.254*(I80^3))-(648.67*(I80^2))+(1125.805*(I80))-620.389</f>
        <v/>
      </c>
      <c r="K80" s="57" t="inlineStr">
        <is>
          <t>25-006</t>
        </is>
      </c>
      <c r="L80" s="58" t="inlineStr">
        <is>
          <t>N/A</t>
        </is>
      </c>
    </row>
    <row r="81" ht="25" customHeight="1" s="55">
      <c r="A81" s="57" t="n">
        <v>79</v>
      </c>
      <c r="B81" s="57" t="inlineStr">
        <is>
          <t>UKYT-25-015</t>
        </is>
      </c>
      <c r="C81" s="57" t="inlineStr">
        <is>
          <t>Robinson</t>
        </is>
      </c>
      <c r="D81" s="59" t="n">
        <v>46246</v>
      </c>
      <c r="E81" s="57" t="inlineStr">
        <is>
          <t>First</t>
        </is>
      </c>
      <c r="F81" s="57" t="n">
        <v>1.032</v>
      </c>
      <c r="G81" s="57" t="n">
        <v>1.032</v>
      </c>
      <c r="H81" s="57" t="n">
        <v>1.032</v>
      </c>
      <c r="I81" s="57">
        <f>AVERAGE(F81,G81,H81)</f>
        <v/>
      </c>
      <c r="J81" s="57">
        <f>(143.254*(I81^3))-(648.67*(I81^2))+(1125.805*(I81))-620.389</f>
        <v/>
      </c>
      <c r="K81" s="57" t="inlineStr">
        <is>
          <t>25-015</t>
        </is>
      </c>
      <c r="L81" s="58" t="inlineStr">
        <is>
          <t>N/A</t>
        </is>
      </c>
    </row>
    <row r="82" ht="25" customHeight="1" s="55">
      <c r="A82" s="57" t="n">
        <v>80</v>
      </c>
      <c r="B82" s="57" t="inlineStr">
        <is>
          <t>UKYT-25-004</t>
        </is>
      </c>
      <c r="C82" s="57" t="inlineStr">
        <is>
          <t>Robinson</t>
        </is>
      </c>
      <c r="D82" s="59" t="n">
        <v>46246</v>
      </c>
      <c r="E82" s="57" t="inlineStr">
        <is>
          <t>First</t>
        </is>
      </c>
      <c r="F82" s="57" t="n">
        <v>1.031</v>
      </c>
      <c r="G82" s="57" t="n">
        <v>1.031</v>
      </c>
      <c r="H82" s="57" t="n">
        <v>1.031</v>
      </c>
      <c r="I82" s="57">
        <f>AVERAGE(F82,G82,H82)</f>
        <v/>
      </c>
      <c r="J82" s="57">
        <f>(143.254*(I82^3))-(648.67*(I82^2))+(1125.805*(I82))-620.389</f>
        <v/>
      </c>
      <c r="K82" s="57" t="inlineStr">
        <is>
          <t>25-004</t>
        </is>
      </c>
      <c r="L82" s="58" t="inlineStr">
        <is>
          <t>N/A</t>
        </is>
      </c>
    </row>
    <row r="83" ht="25" customHeight="1" s="55">
      <c r="A83" s="57" t="n">
        <v>81</v>
      </c>
      <c r="B83" s="57" t="inlineStr">
        <is>
          <t>UKYT-25-007</t>
        </is>
      </c>
      <c r="C83" s="57" t="inlineStr">
        <is>
          <t>Robinson</t>
        </is>
      </c>
      <c r="D83" s="59" t="n">
        <v>46246</v>
      </c>
      <c r="E83" s="57" t="inlineStr">
        <is>
          <t>First</t>
        </is>
      </c>
      <c r="F83" s="57" t="n">
        <v>1.03</v>
      </c>
      <c r="G83" s="57" t="n">
        <v>1.029</v>
      </c>
      <c r="H83" s="57" t="n">
        <v>1.029</v>
      </c>
      <c r="I83" s="57">
        <f>AVERAGE(F83,G83,H83)</f>
        <v/>
      </c>
      <c r="J83" s="57">
        <f>(143.254*(I83^3))-(648.67*(I83^2))+(1125.805*(I83))-620.389</f>
        <v/>
      </c>
      <c r="K83" s="57" t="inlineStr">
        <is>
          <t>25-007</t>
        </is>
      </c>
      <c r="L83" s="58" t="inlineStr">
        <is>
          <t>N/A</t>
        </is>
      </c>
    </row>
    <row r="84" ht="25" customHeight="1" s="55">
      <c r="A84" s="57" t="n">
        <v>82</v>
      </c>
      <c r="B84" s="57" t="inlineStr">
        <is>
          <t>UKYT-25-011</t>
        </is>
      </c>
      <c r="C84" s="57" t="inlineStr">
        <is>
          <t>Robinson</t>
        </is>
      </c>
      <c r="D84" s="59" t="n">
        <v>46246</v>
      </c>
      <c r="E84" s="57" t="inlineStr">
        <is>
          <t>First</t>
        </is>
      </c>
      <c r="F84" s="57" t="n">
        <v>1.028</v>
      </c>
      <c r="G84" s="57" t="n">
        <v>1.027</v>
      </c>
      <c r="H84" s="57" t="n">
        <v>1.029</v>
      </c>
      <c r="I84" s="57">
        <f>AVERAGE(F84,G84,H84)</f>
        <v/>
      </c>
      <c r="J84" s="57">
        <f>(143.254*(I84^3))-(648.67*(I84^2))+(1125.805*(I84))-620.389</f>
        <v/>
      </c>
      <c r="K84" s="57" t="inlineStr">
        <is>
          <t>25-011</t>
        </is>
      </c>
      <c r="L84" s="58" t="inlineStr">
        <is>
          <t>N/A</t>
        </is>
      </c>
    </row>
    <row r="85" ht="25" customHeight="1" s="55">
      <c r="A85" s="57" t="n">
        <v>83</v>
      </c>
      <c r="B85" s="57" t="inlineStr">
        <is>
          <t>UKYT-25-005</t>
        </is>
      </c>
      <c r="C85" s="57" t="inlineStr">
        <is>
          <t>Robinson</t>
        </is>
      </c>
      <c r="D85" s="59" t="n">
        <v>46246</v>
      </c>
      <c r="E85" s="57" t="inlineStr">
        <is>
          <t>First</t>
        </is>
      </c>
      <c r="F85" s="57" t="n">
        <v>1.027</v>
      </c>
      <c r="G85" s="57" t="n">
        <v>1.027</v>
      </c>
      <c r="H85" s="57" t="n">
        <v>1.027</v>
      </c>
      <c r="I85" s="57">
        <f>AVERAGE(F85,G85,H85)</f>
        <v/>
      </c>
      <c r="J85" s="57">
        <f>(143.254*(I85^3))-(648.67*(I85^2))+(1125.805*(I85))-620.389</f>
        <v/>
      </c>
      <c r="K85" s="57" t="inlineStr">
        <is>
          <t>25-005</t>
        </is>
      </c>
      <c r="L85" s="58" t="inlineStr">
        <is>
          <t>N/A</t>
        </is>
      </c>
    </row>
    <row r="86" ht="25" customHeight="1" s="55">
      <c r="A86" s="57" t="n">
        <v>84</v>
      </c>
      <c r="B86" s="57" t="inlineStr">
        <is>
          <t>UKYT-25-010</t>
        </is>
      </c>
      <c r="C86" s="57" t="inlineStr">
        <is>
          <t>Robinson</t>
        </is>
      </c>
      <c r="D86" s="59" t="n">
        <v>46246</v>
      </c>
      <c r="E86" s="57" t="inlineStr">
        <is>
          <t>First</t>
        </is>
      </c>
      <c r="F86" s="57" t="n">
        <v>1.027</v>
      </c>
      <c r="G86" s="57" t="n">
        <v>1.027</v>
      </c>
      <c r="H86" s="57" t="n">
        <v>1.027</v>
      </c>
      <c r="I86" s="57">
        <f>AVERAGE(F86,G86,H86)</f>
        <v/>
      </c>
      <c r="J86" s="57">
        <f>(143.254*(I86^3))-(648.67*(I86^2))+(1125.805*(I86))-620.389</f>
        <v/>
      </c>
      <c r="K86" s="57" t="inlineStr">
        <is>
          <t>25-010</t>
        </is>
      </c>
      <c r="L86" s="58" t="inlineStr">
        <is>
          <t>N/A</t>
        </is>
      </c>
    </row>
    <row r="87" ht="25" customHeight="1" s="55">
      <c r="A87" s="57" t="n">
        <v>85</v>
      </c>
      <c r="B87" s="57" t="inlineStr">
        <is>
          <t>Cherokee Purple</t>
        </is>
      </c>
      <c r="C87" s="57" t="inlineStr">
        <is>
          <t>Robinson</t>
        </is>
      </c>
      <c r="D87" s="59" t="n">
        <v>46246</v>
      </c>
      <c r="E87" s="57" t="inlineStr">
        <is>
          <t>First</t>
        </is>
      </c>
      <c r="F87" s="57" t="n">
        <v>1.021</v>
      </c>
      <c r="G87" s="57" t="n">
        <v>1.021</v>
      </c>
      <c r="H87" s="57" t="n">
        <v>1.021</v>
      </c>
      <c r="I87" s="57">
        <f>AVERAGE(F87,G87,H87)</f>
        <v/>
      </c>
      <c r="J87" s="57">
        <f>(143.254*(I87^3))-(648.67*(I87^2))+(1125.805*(I87))-620.389</f>
        <v/>
      </c>
      <c r="K87" s="57" t="inlineStr">
        <is>
          <t>Cherokee Purple</t>
        </is>
      </c>
      <c r="L87" s="58" t="inlineStr">
        <is>
          <t>N/A</t>
        </is>
      </c>
    </row>
    <row r="88" ht="25" customHeight="1" s="55">
      <c r="A88" s="57" t="n">
        <v>86</v>
      </c>
      <c r="B88" s="57" t="inlineStr">
        <is>
          <t>UKYT-25-013</t>
        </is>
      </c>
      <c r="C88" s="57" t="inlineStr">
        <is>
          <t>Robinson</t>
        </is>
      </c>
      <c r="D88" s="59" t="n">
        <v>46246</v>
      </c>
      <c r="E88" s="57" t="inlineStr">
        <is>
          <t>First</t>
        </is>
      </c>
      <c r="F88" s="57" t="n">
        <v>1.028</v>
      </c>
      <c r="G88" s="57" t="n">
        <v>1.04</v>
      </c>
      <c r="H88" s="57" t="n">
        <v>1.035</v>
      </c>
      <c r="I88" s="57">
        <f>AVERAGE(F88,G88,H88)</f>
        <v/>
      </c>
      <c r="J88" s="57">
        <f>(143.254*(I88^3))-(648.67*(I88^2))+(1125.805*(I88))-620.389</f>
        <v/>
      </c>
      <c r="K88" s="57" t="inlineStr">
        <is>
          <t>25-013</t>
        </is>
      </c>
      <c r="L88" s="58" t="inlineStr">
        <is>
          <t>N/A</t>
        </is>
      </c>
    </row>
    <row r="89" ht="25" customHeight="1" s="55">
      <c r="A89" s="57" t="n">
        <v>87</v>
      </c>
      <c r="B89" s="57" t="inlineStr">
        <is>
          <t>UKYT-26-018</t>
        </is>
      </c>
      <c r="C89" s="57" t="inlineStr">
        <is>
          <t>Robinson</t>
        </is>
      </c>
      <c r="D89" s="59" t="n">
        <v>46246</v>
      </c>
      <c r="E89" s="57" t="inlineStr">
        <is>
          <t>First</t>
        </is>
      </c>
      <c r="F89" s="57" t="n">
        <v>1.018</v>
      </c>
      <c r="G89" s="57" t="n">
        <v>1.02</v>
      </c>
      <c r="H89" s="57" t="n">
        <v>1.02</v>
      </c>
      <c r="I89" s="57">
        <f>AVERAGE(F89,G89,H89)</f>
        <v/>
      </c>
      <c r="J89" s="57">
        <f>(143.254*(I89^3))-(648.67*(I89^2))+(1125.805*(I89))-620.389</f>
        <v/>
      </c>
      <c r="K89" s="57" t="inlineStr">
        <is>
          <t>26-018</t>
        </is>
      </c>
      <c r="L89" s="58" t="inlineStr">
        <is>
          <t>N/A</t>
        </is>
      </c>
    </row>
    <row r="90" ht="25" customHeight="1" s="55">
      <c r="A90" s="57" t="n">
        <v>88</v>
      </c>
      <c r="B90" s="57" t="inlineStr">
        <is>
          <t>UKYT-25-016</t>
        </is>
      </c>
      <c r="C90" s="57" t="inlineStr">
        <is>
          <t>Robinson</t>
        </is>
      </c>
      <c r="D90" s="59" t="n">
        <v>46246</v>
      </c>
      <c r="E90" s="57" t="inlineStr">
        <is>
          <t>First</t>
        </is>
      </c>
      <c r="F90" s="57" t="n">
        <v>1.032</v>
      </c>
      <c r="G90" s="57" t="n">
        <v>1.035</v>
      </c>
      <c r="H90" s="57" t="n">
        <v>1.033</v>
      </c>
      <c r="I90" s="57">
        <f>AVERAGE(F90,G90,H90)</f>
        <v/>
      </c>
      <c r="J90" s="57">
        <f>(143.254*(I90^3))-(648.67*(I90^2))+(1125.805*(I90))-620.389</f>
        <v/>
      </c>
      <c r="K90" s="57" t="inlineStr">
        <is>
          <t>25-016</t>
        </is>
      </c>
      <c r="L90" s="58" t="inlineStr">
        <is>
          <t>N/A</t>
        </is>
      </c>
    </row>
    <row r="91" ht="25" customHeight="1" s="55">
      <c r="A91" s="57" t="n">
        <v>89</v>
      </c>
      <c r="B91" s="57" t="inlineStr">
        <is>
          <t>UKYT-26-031</t>
        </is>
      </c>
      <c r="C91" s="57" t="inlineStr">
        <is>
          <t>Robinson</t>
        </is>
      </c>
      <c r="D91" s="59" t="n">
        <v>46246</v>
      </c>
      <c r="E91" s="57" t="inlineStr">
        <is>
          <t>First</t>
        </is>
      </c>
      <c r="F91" s="57" t="n">
        <v>1.029</v>
      </c>
      <c r="G91" s="57" t="n">
        <v>1.029</v>
      </c>
      <c r="H91" s="57" t="n">
        <v>1.029</v>
      </c>
      <c r="I91" s="57">
        <f>AVERAGE(F91,G91,H91)</f>
        <v/>
      </c>
      <c r="J91" s="57">
        <f>(143.254*(I91^3))-(648.67*(I91^2))+(1125.805*(I91))-620.389</f>
        <v/>
      </c>
      <c r="K91" s="57" t="inlineStr">
        <is>
          <t>26-031</t>
        </is>
      </c>
      <c r="L91" s="58" t="inlineStr">
        <is>
          <t>N/A</t>
        </is>
      </c>
    </row>
    <row r="92" ht="25" customHeight="1" s="55">
      <c r="A92" s="57" t="n">
        <v>90</v>
      </c>
      <c r="B92" s="57" t="inlineStr">
        <is>
          <t>UKYT-25-003</t>
        </is>
      </c>
      <c r="C92" s="57" t="inlineStr">
        <is>
          <t>Robinson</t>
        </is>
      </c>
      <c r="D92" s="59" t="n">
        <v>46246</v>
      </c>
      <c r="E92" s="57" t="inlineStr">
        <is>
          <t>First</t>
        </is>
      </c>
      <c r="F92" s="57" t="n">
        <v>1.031</v>
      </c>
      <c r="G92" s="57" t="n">
        <v>1.028</v>
      </c>
      <c r="H92" s="57" t="n">
        <v>1.029</v>
      </c>
      <c r="I92" s="57">
        <f>AVERAGE(F92,G92,H92)</f>
        <v/>
      </c>
      <c r="J92" s="57">
        <f>(143.254*(I92^3))-(648.67*(I92^2))+(1125.805*(I92))-620.389</f>
        <v/>
      </c>
      <c r="K92" s="57" t="inlineStr">
        <is>
          <t>25-003</t>
        </is>
      </c>
      <c r="L92" s="58" t="inlineStr">
        <is>
          <t>N/A</t>
        </is>
      </c>
    </row>
    <row r="93" ht="25" customHeight="1" s="55">
      <c r="A93" s="57" t="n">
        <v>91</v>
      </c>
      <c r="B93" s="57" t="inlineStr">
        <is>
          <t>Mountain Fresh Plus</t>
        </is>
      </c>
      <c r="C93" s="57" t="inlineStr">
        <is>
          <t>Robinson</t>
        </is>
      </c>
      <c r="D93" s="59" t="n">
        <v>46246</v>
      </c>
      <c r="E93" s="57" t="inlineStr">
        <is>
          <t>First</t>
        </is>
      </c>
      <c r="F93" s="57" t="n">
        <v>1.02</v>
      </c>
      <c r="G93" s="57" t="n">
        <v>1.02</v>
      </c>
      <c r="H93" s="57" t="n">
        <v>1.02</v>
      </c>
      <c r="I93" s="57">
        <f>AVERAGE(F93,G93,H93)</f>
        <v/>
      </c>
      <c r="J93" s="57">
        <f>(143.254*(I93^3))-(648.67*(I93^2))+(1125.805*(I93))-620.389</f>
        <v/>
      </c>
      <c r="K93" s="57" t="inlineStr">
        <is>
          <t>Mt. Fresh Plus</t>
        </is>
      </c>
      <c r="L93" s="58" t="inlineStr">
        <is>
          <t>N/A</t>
        </is>
      </c>
    </row>
    <row r="94" ht="25" customHeight="1" s="55">
      <c r="A94" s="57" t="n">
        <v>92</v>
      </c>
      <c r="B94" s="57" t="inlineStr">
        <is>
          <t>UKYT-26-028</t>
        </is>
      </c>
      <c r="C94" s="57" t="inlineStr">
        <is>
          <t>Robinson</t>
        </is>
      </c>
      <c r="D94" s="59" t="n">
        <v>46246</v>
      </c>
      <c r="E94" s="57" t="inlineStr">
        <is>
          <t>First</t>
        </is>
      </c>
      <c r="F94" s="57" t="n">
        <v>1.031</v>
      </c>
      <c r="G94" s="57" t="n">
        <v>1.031</v>
      </c>
      <c r="H94" s="57" t="n">
        <v>1.031</v>
      </c>
      <c r="I94" s="57">
        <f>AVERAGE(F94,G94,H94)</f>
        <v/>
      </c>
      <c r="J94" s="57">
        <f>(143.254*(I94^3))-(648.67*(I94^2))+(1125.805*(I94))-620.389</f>
        <v/>
      </c>
      <c r="K94" s="57" t="inlineStr">
        <is>
          <t>26-28</t>
        </is>
      </c>
      <c r="L94" s="58" t="inlineStr">
        <is>
          <t>N/A</t>
        </is>
      </c>
    </row>
    <row r="95" ht="25" customHeight="1" s="55">
      <c r="A95" s="57" t="n">
        <v>93</v>
      </c>
      <c r="B95" s="57" t="inlineStr">
        <is>
          <t>UKYT-26-001</t>
        </is>
      </c>
      <c r="C95" s="57" t="inlineStr">
        <is>
          <t>Robinson</t>
        </is>
      </c>
      <c r="D95" s="59" t="n">
        <v>46246</v>
      </c>
      <c r="E95" s="57" t="inlineStr">
        <is>
          <t>First</t>
        </is>
      </c>
      <c r="F95" s="57" t="n">
        <v>1.018</v>
      </c>
      <c r="G95" s="57" t="n">
        <v>1.018</v>
      </c>
      <c r="H95" s="57" t="n">
        <v>1.018</v>
      </c>
      <c r="I95" s="57">
        <f>AVERAGE(F95,G95,H95)</f>
        <v/>
      </c>
      <c r="J95" s="57">
        <f>(143.254*(I95^3))-(648.67*(I95^2))+(1125.805*(I95))-620.389</f>
        <v/>
      </c>
      <c r="K95" s="57" t="inlineStr">
        <is>
          <t>26-001</t>
        </is>
      </c>
      <c r="L95" s="58" t="inlineStr">
        <is>
          <t>N/A</t>
        </is>
      </c>
    </row>
    <row r="96" ht="25" customHeight="1" s="55">
      <c r="A96" s="57" t="n">
        <v>94</v>
      </c>
      <c r="B96" s="57" t="inlineStr">
        <is>
          <t>UKYT-26-032</t>
        </is>
      </c>
      <c r="C96" s="57" t="inlineStr">
        <is>
          <t>Robinson</t>
        </is>
      </c>
      <c r="D96" s="59" t="n">
        <v>46246</v>
      </c>
      <c r="E96" s="57" t="inlineStr">
        <is>
          <t>First</t>
        </is>
      </c>
      <c r="F96" s="57" t="n">
        <v>1.021</v>
      </c>
      <c r="G96" s="57" t="n">
        <v>1.021</v>
      </c>
      <c r="H96" s="57" t="n">
        <v>1.021</v>
      </c>
      <c r="I96" s="57">
        <f>AVERAGE(F96,G96,H96)</f>
        <v/>
      </c>
      <c r="J96" s="57">
        <f>(143.254*(I96^3))-(648.67*(I96^2))+(1125.805*(I96))-620.389</f>
        <v/>
      </c>
      <c r="K96" s="57" t="inlineStr">
        <is>
          <t>26-032</t>
        </is>
      </c>
      <c r="L96" s="58" t="inlineStr">
        <is>
          <t>N/A</t>
        </is>
      </c>
    </row>
    <row r="97" ht="25" customHeight="1" s="55">
      <c r="A97" s="57" t="n">
        <v>95</v>
      </c>
      <c r="B97" s="57" t="inlineStr">
        <is>
          <t>UKYT-26-035</t>
        </is>
      </c>
      <c r="C97" s="57" t="inlineStr">
        <is>
          <t>Robinson</t>
        </is>
      </c>
      <c r="D97" s="59" t="n">
        <v>46246</v>
      </c>
      <c r="E97" s="57" t="inlineStr">
        <is>
          <t>First</t>
        </is>
      </c>
      <c r="F97" s="57" t="n">
        <v>1.026</v>
      </c>
      <c r="G97" s="57" t="n">
        <v>1.026</v>
      </c>
      <c r="H97" s="57" t="n">
        <v>1.026</v>
      </c>
      <c r="I97" s="57">
        <f>AVERAGE(F97,G97,H97)</f>
        <v/>
      </c>
      <c r="J97" s="57">
        <f>(143.254*(I97^3))-(648.67*(I97^2))+(1125.805*(I97))-620.389</f>
        <v/>
      </c>
      <c r="K97" s="57" t="inlineStr">
        <is>
          <t>26-035</t>
        </is>
      </c>
      <c r="L97" s="58" t="inlineStr">
        <is>
          <t>N/A</t>
        </is>
      </c>
    </row>
    <row r="98" ht="25" customHeight="1" s="55">
      <c r="A98" s="57" t="n">
        <v>96</v>
      </c>
      <c r="B98" s="57" t="inlineStr">
        <is>
          <t>UKYT-26-038</t>
        </is>
      </c>
      <c r="C98" s="57" t="inlineStr">
        <is>
          <t>Robinson</t>
        </is>
      </c>
      <c r="D98" s="59" t="n">
        <v>46246</v>
      </c>
      <c r="E98" s="57" t="inlineStr">
        <is>
          <t>First</t>
        </is>
      </c>
      <c r="F98" s="57" t="n">
        <v>1.02</v>
      </c>
      <c r="G98" s="57" t="n">
        <v>1.02</v>
      </c>
      <c r="H98" s="57" t="n">
        <v>1.02</v>
      </c>
      <c r="I98" s="57">
        <f>AVERAGE(F98,G98,H98)</f>
        <v/>
      </c>
      <c r="J98" s="57">
        <f>(143.254*(I98^3))-(648.67*(I98^2))+(1125.805*(I98))-620.389</f>
        <v/>
      </c>
      <c r="K98" s="57" t="inlineStr">
        <is>
          <t>26-038</t>
        </is>
      </c>
      <c r="L98" s="58" t="inlineStr">
        <is>
          <t>N/A</t>
        </is>
      </c>
    </row>
    <row r="99" ht="25" customHeight="1" s="55">
      <c r="A99" s="57" t="n">
        <v>97</v>
      </c>
      <c r="B99" s="57" t="inlineStr">
        <is>
          <t>NC25231G</t>
        </is>
      </c>
      <c r="C99" s="57" t="inlineStr">
        <is>
          <t>Robinson</t>
        </is>
      </c>
      <c r="D99" s="59" t="n">
        <v>46246</v>
      </c>
      <c r="E99" s="57" t="inlineStr">
        <is>
          <t>First</t>
        </is>
      </c>
      <c r="F99" s="57" t="n">
        <v>1.02</v>
      </c>
      <c r="G99" s="57" t="n">
        <v>1.02</v>
      </c>
      <c r="H99" s="57" t="n">
        <v>1.02</v>
      </c>
      <c r="I99" s="57">
        <f>AVERAGE(F99,G99,H99)</f>
        <v/>
      </c>
      <c r="J99" s="57">
        <f>(143.254*(I99^3))-(648.67*(I99^2))+(1125.805*(I99))-620.389</f>
        <v/>
      </c>
      <c r="K99" s="57" t="inlineStr">
        <is>
          <t>NC25231G</t>
        </is>
      </c>
      <c r="L99" s="58" t="inlineStr">
        <is>
          <t>N/A</t>
        </is>
      </c>
    </row>
    <row r="100" ht="25" customHeight="1" s="55">
      <c r="A100" s="57" t="n">
        <v>98</v>
      </c>
      <c r="B100" s="57" t="inlineStr">
        <is>
          <t>Mt. Heritage</t>
        </is>
      </c>
      <c r="C100" s="57" t="inlineStr">
        <is>
          <t>Robinson</t>
        </is>
      </c>
      <c r="D100" s="59" t="n">
        <v>46246</v>
      </c>
      <c r="E100" s="57" t="inlineStr">
        <is>
          <t>First</t>
        </is>
      </c>
      <c r="F100" s="57" t="n">
        <v>1.02</v>
      </c>
      <c r="G100" s="57" t="n">
        <v>1.02</v>
      </c>
      <c r="H100" s="57" t="n">
        <v>1.02</v>
      </c>
      <c r="I100" s="57">
        <f>AVERAGE(F100,G100,H100)</f>
        <v/>
      </c>
      <c r="J100" s="57">
        <f>(143.254*(I100^3))-(648.67*(I100^2))+(1125.805*(I100))-620.389</f>
        <v/>
      </c>
      <c r="K100" s="57" t="inlineStr">
        <is>
          <t>Mt. Heritage</t>
        </is>
      </c>
      <c r="L100" s="58" t="inlineStr">
        <is>
          <t>N/A</t>
        </is>
      </c>
    </row>
    <row r="101" ht="25" customHeight="1" s="55">
      <c r="A101" s="57" t="n">
        <v>99</v>
      </c>
      <c r="B101" s="57" t="inlineStr">
        <is>
          <t>Mt. Magic</t>
        </is>
      </c>
      <c r="C101" s="57" t="inlineStr">
        <is>
          <t>Robinson</t>
        </is>
      </c>
      <c r="D101" s="59" t="n">
        <v>46246</v>
      </c>
      <c r="E101" s="57" t="inlineStr">
        <is>
          <t>First</t>
        </is>
      </c>
      <c r="F101" s="57" t="n">
        <v>1.029</v>
      </c>
      <c r="G101" s="57" t="n">
        <v>1.025</v>
      </c>
      <c r="H101" s="57" t="n">
        <v>1.026</v>
      </c>
      <c r="I101" s="57">
        <f>AVERAGE(F101,G101,H101)</f>
        <v/>
      </c>
      <c r="J101" s="57">
        <f>(143.254*(I101^3))-(648.67*(I101^2))+(1125.805*(I101))-620.389</f>
        <v/>
      </c>
      <c r="K101" s="57" t="inlineStr">
        <is>
          <t>Mt. Magic</t>
        </is>
      </c>
      <c r="L101" s="58" t="inlineStr">
        <is>
          <t>N/A</t>
        </is>
      </c>
    </row>
    <row r="102" ht="25" customHeight="1" s="55">
      <c r="A102" s="57" t="n">
        <v>100</v>
      </c>
      <c r="B102" s="57" t="inlineStr">
        <is>
          <t>UKYT-26-033</t>
        </is>
      </c>
      <c r="C102" s="57" t="inlineStr">
        <is>
          <t>Robinson</t>
        </is>
      </c>
      <c r="D102" s="59" t="n">
        <v>46246</v>
      </c>
      <c r="E102" s="57" t="inlineStr">
        <is>
          <t>First</t>
        </is>
      </c>
      <c r="F102" s="57" t="n">
        <v>1.024</v>
      </c>
      <c r="G102" s="57" t="n">
        <v>1.024</v>
      </c>
      <c r="H102" s="57" t="n">
        <v>1.024</v>
      </c>
      <c r="I102" s="57">
        <f>AVERAGE(F102,G102,H102)</f>
        <v/>
      </c>
      <c r="J102" s="57">
        <f>(143.254*(I102^3))-(648.67*(I102^2))+(1125.805*(I102))-620.389</f>
        <v/>
      </c>
      <c r="K102" s="57" t="inlineStr">
        <is>
          <t>26-033</t>
        </is>
      </c>
      <c r="L102" s="58" t="inlineStr">
        <is>
          <t>N/A</t>
        </is>
      </c>
    </row>
    <row r="103" ht="25" customHeight="1" s="55">
      <c r="A103" s="57" t="n">
        <v>101</v>
      </c>
      <c r="B103" s="57" t="inlineStr">
        <is>
          <t>UKYT-26-015</t>
        </is>
      </c>
      <c r="C103" s="57" t="inlineStr">
        <is>
          <t>Robinson</t>
        </is>
      </c>
      <c r="D103" s="59" t="n">
        <v>46246</v>
      </c>
      <c r="E103" s="57" t="inlineStr">
        <is>
          <t>First</t>
        </is>
      </c>
      <c r="F103" s="57" t="n">
        <v>1.019</v>
      </c>
      <c r="G103" s="57" t="n">
        <v>1.018</v>
      </c>
      <c r="H103" s="57" t="n">
        <v>1.019</v>
      </c>
      <c r="I103" s="57">
        <f>AVERAGE(F103,G103,H103)</f>
        <v/>
      </c>
      <c r="J103" s="57">
        <f>(143.254*(I103^3))-(648.67*(I103^2))+(1125.805*(I103))-620.389</f>
        <v/>
      </c>
      <c r="K103" s="57" t="inlineStr">
        <is>
          <t>26-015</t>
        </is>
      </c>
      <c r="L103" s="58" t="inlineStr">
        <is>
          <t>N/A</t>
        </is>
      </c>
    </row>
    <row r="104" ht="25" customHeight="1" s="55">
      <c r="A104" s="57" t="n">
        <v>102</v>
      </c>
      <c r="B104" s="57" t="inlineStr">
        <is>
          <t>UKYT-26-037</t>
        </is>
      </c>
      <c r="C104" s="57" t="inlineStr">
        <is>
          <t>Robinson</t>
        </is>
      </c>
      <c r="D104" s="59" t="n">
        <v>46246</v>
      </c>
      <c r="E104" s="57" t="inlineStr">
        <is>
          <t>First</t>
        </is>
      </c>
      <c r="F104" s="57" t="n">
        <v>1.025</v>
      </c>
      <c r="G104" s="57" t="n">
        <v>1.025</v>
      </c>
      <c r="H104" s="57" t="n">
        <v>1.026</v>
      </c>
      <c r="I104" s="57">
        <f>AVERAGE(F104,G104,H104)</f>
        <v/>
      </c>
      <c r="J104" s="57">
        <f>(143.254*(I104^3))-(648.67*(I104^2))+(1125.805*(I104))-620.389</f>
        <v/>
      </c>
      <c r="K104" s="57" t="inlineStr">
        <is>
          <t>26-037</t>
        </is>
      </c>
      <c r="L104" s="58" t="inlineStr">
        <is>
          <t>N/A</t>
        </is>
      </c>
    </row>
    <row r="105" ht="25" customHeight="1" s="55">
      <c r="A105" s="57" t="n">
        <v>103</v>
      </c>
      <c r="B105" s="57" t="inlineStr">
        <is>
          <t>NC261G</t>
        </is>
      </c>
      <c r="C105" s="57" t="inlineStr">
        <is>
          <t>Robinson</t>
        </is>
      </c>
      <c r="D105" s="59" t="n">
        <v>46246</v>
      </c>
      <c r="E105" s="57" t="inlineStr">
        <is>
          <t>First</t>
        </is>
      </c>
      <c r="F105" s="57" t="n">
        <v>1.026</v>
      </c>
      <c r="G105" s="57" t="n">
        <v>1.025</v>
      </c>
      <c r="H105" s="57" t="n">
        <v>1.023</v>
      </c>
      <c r="I105" s="57">
        <f>AVERAGE(F105,G105,H105)</f>
        <v/>
      </c>
      <c r="J105" s="57">
        <f>(143.254*(I105^3))-(648.67*(I105^2))+(1125.805*(I105))-620.389</f>
        <v/>
      </c>
      <c r="K105" s="57" t="inlineStr">
        <is>
          <t>261G</t>
        </is>
      </c>
      <c r="L105" s="58" t="inlineStr">
        <is>
          <t>N/A</t>
        </is>
      </c>
    </row>
    <row r="106" ht="25" customHeight="1" s="55">
      <c r="A106" s="57" t="n">
        <v>104</v>
      </c>
      <c r="B106" s="57" t="inlineStr">
        <is>
          <t>NC25304G</t>
        </is>
      </c>
      <c r="C106" s="57" t="inlineStr">
        <is>
          <t>Robinson</t>
        </is>
      </c>
      <c r="D106" s="59" t="n">
        <v>46246</v>
      </c>
      <c r="E106" s="57" t="inlineStr">
        <is>
          <t>First</t>
        </is>
      </c>
      <c r="F106" s="57" t="n">
        <v>1.02</v>
      </c>
      <c r="G106" s="57" t="n">
        <v>1.02</v>
      </c>
      <c r="H106" s="57" t="n">
        <v>1.02</v>
      </c>
      <c r="I106" s="57">
        <f>AVERAGE(F106,G106,H106)</f>
        <v/>
      </c>
      <c r="J106" s="57">
        <f>(143.254*(I106^3))-(648.67*(I106^2))+(1125.805*(I106))-620.389</f>
        <v/>
      </c>
      <c r="K106" s="57" t="inlineStr">
        <is>
          <t>NC25304G</t>
        </is>
      </c>
      <c r="L106" s="58" t="inlineStr">
        <is>
          <t>N/A</t>
        </is>
      </c>
    </row>
    <row r="107" ht="25" customHeight="1" s="55">
      <c r="A107" s="57" t="n">
        <v>105</v>
      </c>
      <c r="B107" s="57" t="inlineStr">
        <is>
          <t>UKYT-26-030</t>
        </is>
      </c>
      <c r="C107" s="57" t="inlineStr">
        <is>
          <t>Robinson</t>
        </is>
      </c>
      <c r="D107" s="59" t="n">
        <v>46246</v>
      </c>
      <c r="E107" s="57" t="inlineStr">
        <is>
          <t>First</t>
        </is>
      </c>
      <c r="F107" s="57" t="n">
        <v>1.034</v>
      </c>
      <c r="G107" s="57" t="n">
        <v>1.027</v>
      </c>
      <c r="H107" s="57" t="n">
        <v>1.028</v>
      </c>
      <c r="I107" s="57">
        <f>AVERAGE(F107,G107,H107)</f>
        <v/>
      </c>
      <c r="J107" s="57">
        <f>(143.254*(I107^3))-(648.67*(I107^2))+(1125.805*(I107))-620.389</f>
        <v/>
      </c>
      <c r="K107" s="57" t="inlineStr">
        <is>
          <t>26-030</t>
        </is>
      </c>
      <c r="L107" s="58" t="inlineStr">
        <is>
          <t>N/A</t>
        </is>
      </c>
    </row>
    <row r="108" ht="25" customHeight="1" s="55">
      <c r="A108" s="57" t="n">
        <v>106</v>
      </c>
      <c r="B108" s="57" t="inlineStr">
        <is>
          <t>NC25205G</t>
        </is>
      </c>
      <c r="C108" s="57" t="inlineStr">
        <is>
          <t>Robinson</t>
        </is>
      </c>
      <c r="D108" s="59" t="n">
        <v>46246</v>
      </c>
      <c r="E108" s="57" t="inlineStr">
        <is>
          <t>First</t>
        </is>
      </c>
      <c r="F108" s="57" t="n">
        <v>1.019</v>
      </c>
      <c r="G108" s="57" t="n">
        <v>1.019</v>
      </c>
      <c r="H108" s="57" t="n">
        <v>1.019</v>
      </c>
      <c r="I108" s="57">
        <f>AVERAGE(F108,G108,H108)</f>
        <v/>
      </c>
      <c r="J108" s="57">
        <f>(143.254*(I108^3))-(648.67*(I108^2))+(1125.805*(I108))-620.389</f>
        <v/>
      </c>
      <c r="K108" s="57" t="inlineStr">
        <is>
          <t>NC25205G</t>
        </is>
      </c>
      <c r="L108" s="58" t="inlineStr">
        <is>
          <t>N/A</t>
        </is>
      </c>
    </row>
    <row r="109" ht="25" customHeight="1" s="55">
      <c r="A109" s="57" t="n">
        <v>107</v>
      </c>
      <c r="B109" s="57" t="inlineStr">
        <is>
          <t>NG25210G</t>
        </is>
      </c>
      <c r="C109" s="57" t="inlineStr">
        <is>
          <t>Robinson</t>
        </is>
      </c>
      <c r="D109" s="59" t="n">
        <v>46246</v>
      </c>
      <c r="E109" s="57" t="inlineStr">
        <is>
          <t>First</t>
        </is>
      </c>
      <c r="F109" s="57" t="n">
        <v>1.02</v>
      </c>
      <c r="G109" s="57" t="n">
        <v>1.02</v>
      </c>
      <c r="H109" s="57" t="n">
        <v>1.02</v>
      </c>
      <c r="I109" s="57">
        <f>AVERAGE(F109,G109,H109)</f>
        <v/>
      </c>
      <c r="J109" s="57">
        <f>(143.254*(I109^3))-(648.67*(I109^2))+(1125.805*(I109))-620.389</f>
        <v/>
      </c>
      <c r="K109" s="57" t="inlineStr">
        <is>
          <t>NG25210G</t>
        </is>
      </c>
      <c r="L109" s="58" t="inlineStr">
        <is>
          <t>N/A</t>
        </is>
      </c>
    </row>
    <row r="110" ht="25" customHeight="1" s="55">
      <c r="A110" s="57" t="n">
        <v>108</v>
      </c>
      <c r="B110" s="57" t="inlineStr">
        <is>
          <t>NC25207G</t>
        </is>
      </c>
      <c r="C110" s="57" t="inlineStr">
        <is>
          <t>Robinson</t>
        </is>
      </c>
      <c r="D110" s="59" t="n">
        <v>46246</v>
      </c>
      <c r="E110" s="57" t="inlineStr">
        <is>
          <t>First</t>
        </is>
      </c>
      <c r="F110" s="57" t="n">
        <v>1.022</v>
      </c>
      <c r="G110" s="57" t="n">
        <v>1.022</v>
      </c>
      <c r="H110" s="57" t="n">
        <v>1.022</v>
      </c>
      <c r="I110" s="57">
        <f>AVERAGE(F110,G110,H110)</f>
        <v/>
      </c>
      <c r="J110" s="57">
        <f>(143.254*(I110^3))-(648.67*(I110^2))+(1125.805*(I110))-620.389</f>
        <v/>
      </c>
      <c r="K110" s="57" t="inlineStr">
        <is>
          <t>NC25207G</t>
        </is>
      </c>
      <c r="L110" s="58" t="inlineStr">
        <is>
          <t>N/A</t>
        </is>
      </c>
    </row>
    <row r="111" ht="25" customHeight="1" s="55">
      <c r="A111" s="57" t="n">
        <v>109</v>
      </c>
      <c r="B111" s="57" t="inlineStr">
        <is>
          <t>Mt. Girl</t>
        </is>
      </c>
      <c r="C111" s="57" t="inlineStr">
        <is>
          <t>Robinson</t>
        </is>
      </c>
      <c r="D111" s="59" t="n">
        <v>46246</v>
      </c>
      <c r="E111" s="57" t="inlineStr">
        <is>
          <t>First</t>
        </is>
      </c>
      <c r="F111" s="57" t="n">
        <v>1.02</v>
      </c>
      <c r="G111" s="57" t="n">
        <v>1.02</v>
      </c>
      <c r="H111" s="57" t="n">
        <v>1.02</v>
      </c>
      <c r="I111" s="57">
        <f>AVERAGE(F111,G111,H111)</f>
        <v/>
      </c>
      <c r="J111" s="57">
        <f>(143.254*(I111^3))-(648.67*(I111^2))+(1125.805*(I111))-620.389</f>
        <v/>
      </c>
      <c r="K111" s="57" t="inlineStr">
        <is>
          <t>Mt. Girl</t>
        </is>
      </c>
      <c r="L111" s="58" t="inlineStr">
        <is>
          <t>N/A</t>
        </is>
      </c>
    </row>
    <row r="112" ht="25" customHeight="1" s="55">
      <c r="A112" s="57" t="n">
        <v>110</v>
      </c>
      <c r="B112" s="57" t="inlineStr">
        <is>
          <t>NG25217G</t>
        </is>
      </c>
      <c r="C112" s="57" t="inlineStr">
        <is>
          <t>Robinson</t>
        </is>
      </c>
      <c r="D112" s="59" t="n">
        <v>46246</v>
      </c>
      <c r="E112" s="57" t="inlineStr">
        <is>
          <t>First</t>
        </is>
      </c>
      <c r="F112" s="57" t="n">
        <v>1.024</v>
      </c>
      <c r="G112" s="57" t="n">
        <v>1.024</v>
      </c>
      <c r="H112" s="57" t="n">
        <v>1.024</v>
      </c>
      <c r="I112" s="57">
        <f>AVERAGE(F112,G112,H112)</f>
        <v/>
      </c>
      <c r="J112" s="57">
        <f>(143.254*(I112^3))-(648.67*(I112^2))+(1125.805*(I112))-620.389</f>
        <v/>
      </c>
      <c r="K112" s="57" t="inlineStr">
        <is>
          <t>NG25217G</t>
        </is>
      </c>
      <c r="L112" s="58" t="inlineStr">
        <is>
          <t>N/A</t>
        </is>
      </c>
    </row>
    <row r="113" ht="25" customHeight="1" s="55">
      <c r="A113" s="57" t="n">
        <v>111</v>
      </c>
      <c r="B113" s="57" t="inlineStr">
        <is>
          <t>NC255G</t>
        </is>
      </c>
      <c r="C113" s="57" t="inlineStr">
        <is>
          <t>Robinson</t>
        </is>
      </c>
      <c r="D113" s="59" t="n">
        <v>46246</v>
      </c>
      <c r="E113" s="57" t="inlineStr">
        <is>
          <t>First</t>
        </is>
      </c>
      <c r="F113" s="57" t="n">
        <v>1.026</v>
      </c>
      <c r="G113" s="57" t="n">
        <v>1.026</v>
      </c>
      <c r="H113" s="57" t="n">
        <v>1.026</v>
      </c>
      <c r="I113" s="57">
        <f>AVERAGE(F113,G113,H113)</f>
        <v/>
      </c>
      <c r="J113" s="57">
        <f>(143.254*(I113^3))-(648.67*(I113^2))+(1125.805*(I113))-620.389</f>
        <v/>
      </c>
      <c r="K113" s="57" t="inlineStr">
        <is>
          <t>NC255G</t>
        </is>
      </c>
      <c r="L113" s="58" t="inlineStr">
        <is>
          <t>N/A</t>
        </is>
      </c>
    </row>
    <row r="114" ht="25" customHeight="1" s="55">
      <c r="A114" s="57" t="n">
        <v>112</v>
      </c>
      <c r="B114" s="57" t="inlineStr">
        <is>
          <t>NC24271G</t>
        </is>
      </c>
      <c r="C114" s="57" t="inlineStr">
        <is>
          <t>Robinson</t>
        </is>
      </c>
      <c r="D114" s="59" t="n">
        <v>46246</v>
      </c>
      <c r="E114" s="57" t="inlineStr">
        <is>
          <t>First</t>
        </is>
      </c>
      <c r="F114" s="57" t="n">
        <v>1.021</v>
      </c>
      <c r="G114" s="57" t="n">
        <v>1.021</v>
      </c>
      <c r="H114" s="57" t="n">
        <v>1.021</v>
      </c>
      <c r="I114" s="57">
        <f>AVERAGE(F114,G114,H114)</f>
        <v/>
      </c>
      <c r="J114" s="57">
        <f>(143.254*(I114^3))-(648.67*(I114^2))+(1125.805*(I114))-620.389</f>
        <v/>
      </c>
      <c r="K114" s="57" t="inlineStr">
        <is>
          <t>NC24271G</t>
        </is>
      </c>
      <c r="L114" s="58" t="inlineStr">
        <is>
          <t>N/A</t>
        </is>
      </c>
    </row>
    <row r="115" ht="25" customHeight="1" s="55">
      <c r="A115" s="57" t="n">
        <v>113</v>
      </c>
      <c r="B115" s="57" t="inlineStr">
        <is>
          <t>NC252G</t>
        </is>
      </c>
      <c r="C115" s="57" t="inlineStr">
        <is>
          <t>Robinson</t>
        </is>
      </c>
      <c r="D115" s="59" t="n">
        <v>46246</v>
      </c>
      <c r="E115" s="57" t="inlineStr">
        <is>
          <t>First</t>
        </is>
      </c>
      <c r="F115" s="57" t="n">
        <v>1.02</v>
      </c>
      <c r="G115" s="57" t="n">
        <v>1.02</v>
      </c>
      <c r="H115" s="57" t="n">
        <v>1.02</v>
      </c>
      <c r="I115" s="57">
        <f>AVERAGE(F115,G115,H115)</f>
        <v/>
      </c>
      <c r="J115" s="57">
        <f>(143.254*(I115^3))-(648.67*(I115^2))+(1125.805*(I115))-620.389</f>
        <v/>
      </c>
      <c r="K115" s="57" t="inlineStr">
        <is>
          <t>252G</t>
        </is>
      </c>
      <c r="L115" s="58" t="inlineStr">
        <is>
          <t>N/A</t>
        </is>
      </c>
    </row>
    <row r="116" ht="25" customHeight="1" s="55">
      <c r="A116" s="57" t="n">
        <v>114</v>
      </c>
      <c r="B116" s="57" t="inlineStr">
        <is>
          <t>NC25300G</t>
        </is>
      </c>
      <c r="C116" s="57" t="inlineStr">
        <is>
          <t>Robinson</t>
        </is>
      </c>
      <c r="D116" s="59" t="n">
        <v>46246</v>
      </c>
      <c r="E116" s="57" t="inlineStr">
        <is>
          <t>First</t>
        </is>
      </c>
      <c r="F116" s="57" t="n">
        <v>1.018</v>
      </c>
      <c r="G116" s="57" t="n">
        <v>1.018</v>
      </c>
      <c r="H116" s="57" t="n">
        <v>1.018</v>
      </c>
      <c r="I116" s="57">
        <f>AVERAGE(F116,G116,H116)</f>
        <v/>
      </c>
      <c r="J116" s="57">
        <f>(143.254*(I116^3))-(648.67*(I116^2))+(1125.805*(I116))-620.389</f>
        <v/>
      </c>
      <c r="K116" s="57" t="inlineStr">
        <is>
          <t>25300G</t>
        </is>
      </c>
      <c r="L116" s="58" t="inlineStr">
        <is>
          <t>N/A</t>
        </is>
      </c>
    </row>
    <row r="117" ht="25" customHeight="1" s="55">
      <c r="A117" s="57" t="n">
        <v>115</v>
      </c>
      <c r="B117" s="57" t="inlineStr">
        <is>
          <t>NC25209G</t>
        </is>
      </c>
      <c r="C117" s="57" t="inlineStr">
        <is>
          <t>Robinson</t>
        </is>
      </c>
      <c r="D117" s="59" t="n">
        <v>46246</v>
      </c>
      <c r="E117" s="57" t="inlineStr">
        <is>
          <t>First</t>
        </is>
      </c>
      <c r="F117" s="57" t="n">
        <v>1.02</v>
      </c>
      <c r="G117" s="57" t="n">
        <v>1.02</v>
      </c>
      <c r="H117" s="57" t="n">
        <v>1.02</v>
      </c>
      <c r="I117" s="57">
        <f>AVERAGE(F117,G117,H117)</f>
        <v/>
      </c>
      <c r="J117" s="57">
        <f>(143.254*(I117^3))-(648.67*(I117^2))+(1125.805*(I117))-620.389</f>
        <v/>
      </c>
      <c r="K117" s="57" t="inlineStr">
        <is>
          <t>NC25209G</t>
        </is>
      </c>
      <c r="L117" s="58" t="inlineStr">
        <is>
          <t>N/A</t>
        </is>
      </c>
    </row>
    <row r="118" ht="25" customHeight="1" s="55">
      <c r="A118" s="57" t="n">
        <v>116</v>
      </c>
      <c r="B118" s="57" t="inlineStr">
        <is>
          <t>NC25218G</t>
        </is>
      </c>
      <c r="C118" s="57" t="inlineStr">
        <is>
          <t>Robinson</t>
        </is>
      </c>
      <c r="D118" s="59" t="n">
        <v>46246</v>
      </c>
      <c r="E118" s="57" t="inlineStr">
        <is>
          <t>First</t>
        </is>
      </c>
      <c r="F118" s="57" t="n">
        <v>1.021</v>
      </c>
      <c r="G118" s="57" t="n">
        <v>1.021</v>
      </c>
      <c r="H118" s="57" t="n">
        <v>1.021</v>
      </c>
      <c r="I118" s="57">
        <f>AVERAGE(F118,G118,H118)</f>
        <v/>
      </c>
      <c r="J118" s="57">
        <f>(143.254*(I118^3))-(648.67*(I118^2))+(1125.805*(I118))-620.389</f>
        <v/>
      </c>
      <c r="K118" s="57" t="inlineStr">
        <is>
          <t>25218G</t>
        </is>
      </c>
      <c r="L118" s="58" t="inlineStr">
        <is>
          <t>N/A</t>
        </is>
      </c>
    </row>
    <row r="119" ht="25" customHeight="1" s="55">
      <c r="A119" s="57" t="n">
        <v>117</v>
      </c>
      <c r="B119" s="57" t="inlineStr">
        <is>
          <t>NG25208G</t>
        </is>
      </c>
      <c r="C119" s="57" t="inlineStr">
        <is>
          <t>Robinson</t>
        </is>
      </c>
      <c r="D119" s="59" t="n">
        <v>46246</v>
      </c>
      <c r="E119" s="57" t="inlineStr">
        <is>
          <t>First</t>
        </is>
      </c>
      <c r="F119" s="57" t="n">
        <v>1.025</v>
      </c>
      <c r="G119" s="57" t="n">
        <v>1.025</v>
      </c>
      <c r="H119" s="57" t="n">
        <v>1.025</v>
      </c>
      <c r="I119" s="57">
        <f>AVERAGE(F119,G119,H119)</f>
        <v/>
      </c>
      <c r="J119" s="57">
        <f>(143.254*(I119^3))-(648.67*(I119^2))+(1125.805*(I119))-620.389</f>
        <v/>
      </c>
      <c r="K119" s="57" t="inlineStr">
        <is>
          <t>NG25208G</t>
        </is>
      </c>
      <c r="L119" s="58" t="inlineStr">
        <is>
          <t>N/A</t>
        </is>
      </c>
    </row>
    <row r="120" ht="25" customHeight="1" s="55">
      <c r="A120" s="57" t="n">
        <v>118</v>
      </c>
      <c r="B120" s="57" t="inlineStr">
        <is>
          <t>NC25202G</t>
        </is>
      </c>
      <c r="C120" s="57" t="inlineStr">
        <is>
          <t>Robinson</t>
        </is>
      </c>
      <c r="D120" s="59" t="n">
        <v>46246</v>
      </c>
      <c r="E120" s="57" t="inlineStr">
        <is>
          <t>First</t>
        </is>
      </c>
      <c r="F120" s="57" t="n">
        <v>1.018</v>
      </c>
      <c r="G120" s="57" t="n">
        <v>1.018</v>
      </c>
      <c r="H120" s="57" t="n">
        <v>1.018</v>
      </c>
      <c r="I120" s="57">
        <f>AVERAGE(F120,G120,H120)</f>
        <v/>
      </c>
      <c r="J120" s="57">
        <f>(143.254*(I120^3))-(648.67*(I120^2))+(1125.805*(I120))-620.389</f>
        <v/>
      </c>
      <c r="K120" s="57" t="inlineStr">
        <is>
          <t>NC25202G</t>
        </is>
      </c>
      <c r="L120" s="58" t="inlineStr">
        <is>
          <t>N/A</t>
        </is>
      </c>
    </row>
    <row r="121" ht="25" customHeight="1" s="55">
      <c r="A121" s="57" t="n">
        <v>119</v>
      </c>
      <c r="B121" s="57" t="inlineStr">
        <is>
          <t>UKYT-26-012</t>
        </is>
      </c>
      <c r="C121" s="57" t="inlineStr">
        <is>
          <t>Robinson</t>
        </is>
      </c>
      <c r="D121" s="59" t="n">
        <v>46246</v>
      </c>
      <c r="E121" s="57" t="inlineStr">
        <is>
          <t>First</t>
        </is>
      </c>
      <c r="F121" s="57" t="n">
        <v>1.019</v>
      </c>
      <c r="G121" s="57" t="n">
        <v>1.019</v>
      </c>
      <c r="H121" s="57" t="n">
        <v>1.019</v>
      </c>
      <c r="I121" s="57">
        <f>AVERAGE(F121,G121,H121)</f>
        <v/>
      </c>
      <c r="J121" s="57">
        <f>(143.254*(I121^3))-(648.67*(I121^2))+(1125.805*(I121))-620.389</f>
        <v/>
      </c>
      <c r="K121" s="57" t="inlineStr">
        <is>
          <t>26-12</t>
        </is>
      </c>
      <c r="L121" s="58" t="inlineStr">
        <is>
          <t>N/A</t>
        </is>
      </c>
    </row>
    <row r="122" ht="25" customHeight="1" s="55">
      <c r="A122" s="57" t="n">
        <v>120</v>
      </c>
      <c r="B122" s="57" t="inlineStr">
        <is>
          <t>NC264G</t>
        </is>
      </c>
      <c r="C122" s="57" t="inlineStr">
        <is>
          <t>Robinson</t>
        </is>
      </c>
      <c r="D122" s="59" t="n">
        <v>46246</v>
      </c>
      <c r="E122" s="57" t="inlineStr">
        <is>
          <t>First</t>
        </is>
      </c>
      <c r="F122" s="57" t="n">
        <v>1.022</v>
      </c>
      <c r="G122" s="57" t="n">
        <v>1.022</v>
      </c>
      <c r="H122" s="57" t="n">
        <v>1.022</v>
      </c>
      <c r="I122" s="57">
        <f>AVERAGE(F122,G122,H122)</f>
        <v/>
      </c>
      <c r="J122" s="57">
        <f>(143.254*(I122^3))-(648.67*(I122^2))+(1125.805*(I122))-620.389</f>
        <v/>
      </c>
      <c r="K122" s="57" t="inlineStr">
        <is>
          <t>264G</t>
        </is>
      </c>
      <c r="L122" s="58" t="inlineStr">
        <is>
          <t>N/A</t>
        </is>
      </c>
    </row>
    <row r="123" ht="25" customHeight="1" s="55">
      <c r="A123" s="57" t="n">
        <v>121</v>
      </c>
      <c r="B123" s="57" t="inlineStr">
        <is>
          <t>NC264G</t>
        </is>
      </c>
      <c r="C123" s="57" t="inlineStr">
        <is>
          <t>Open field</t>
        </is>
      </c>
      <c r="D123" s="59" t="n">
        <v>46247</v>
      </c>
      <c r="E123" s="57" t="inlineStr">
        <is>
          <t>Second</t>
        </is>
      </c>
      <c r="F123" s="57" t="n">
        <v>1.022</v>
      </c>
      <c r="G123" s="57" t="n">
        <v>1.023</v>
      </c>
      <c r="H123" s="57" t="n">
        <v>1.022</v>
      </c>
      <c r="I123" s="57">
        <f>AVERAGE(F123,G123,H123)</f>
        <v/>
      </c>
      <c r="J123" s="57">
        <f>(143.254*(I123^3))-(648.67*(I123^2))+(1125.805*(I123))-620.389</f>
        <v/>
      </c>
      <c r="K123" s="57" t="inlineStr">
        <is>
          <t>264G</t>
        </is>
      </c>
      <c r="L123" s="58" t="inlineStr">
        <is>
          <t>N/A</t>
        </is>
      </c>
    </row>
    <row r="124" ht="25" customHeight="1" s="55">
      <c r="A124" s="57" t="n">
        <v>122</v>
      </c>
      <c r="B124" s="57" t="inlineStr">
        <is>
          <t>NC25205G</t>
        </is>
      </c>
      <c r="C124" s="57" t="inlineStr">
        <is>
          <t>Open field</t>
        </is>
      </c>
      <c r="D124" s="59" t="n">
        <v>46247</v>
      </c>
      <c r="E124" s="57" t="inlineStr">
        <is>
          <t>Second</t>
        </is>
      </c>
      <c r="F124" s="57" t="n">
        <v>1.022</v>
      </c>
      <c r="G124" s="57" t="n">
        <v>1.022</v>
      </c>
      <c r="H124" s="57" t="n">
        <v>1.022</v>
      </c>
      <c r="I124" s="57">
        <f>AVERAGE(F124,G124,H124)</f>
        <v/>
      </c>
      <c r="J124" s="57">
        <f>(143.254*(I124^3))-(648.67*(I124^2))+(1125.805*(I124))-620.389</f>
        <v/>
      </c>
      <c r="K124" s="57" t="inlineStr">
        <is>
          <t>NC25205G</t>
        </is>
      </c>
      <c r="L124" s="58" t="inlineStr">
        <is>
          <t>N/A</t>
        </is>
      </c>
    </row>
    <row r="125" ht="25" customHeight="1" s="55">
      <c r="A125" s="57" t="n">
        <v>123</v>
      </c>
      <c r="B125" s="57" t="inlineStr">
        <is>
          <t>NC25313G</t>
        </is>
      </c>
      <c r="C125" s="57" t="inlineStr">
        <is>
          <t>Open field</t>
        </is>
      </c>
      <c r="D125" s="59" t="n">
        <v>46247</v>
      </c>
      <c r="E125" s="57" t="inlineStr">
        <is>
          <t>Second</t>
        </is>
      </c>
      <c r="F125" s="57" t="n">
        <v>1.019</v>
      </c>
      <c r="G125" s="57" t="n">
        <v>1.019</v>
      </c>
      <c r="H125" s="57" t="n">
        <v>1.016</v>
      </c>
      <c r="I125" s="57">
        <f>AVERAGE(F125,G125,H125)</f>
        <v/>
      </c>
      <c r="J125" s="57">
        <f>(143.254*(I125^3))-(648.67*(I125^2))+(1125.805*(I125))-620.389</f>
        <v/>
      </c>
      <c r="K125" s="57" t="inlineStr">
        <is>
          <t>NC25313G</t>
        </is>
      </c>
      <c r="L125" s="58" t="inlineStr">
        <is>
          <t>N/A</t>
        </is>
      </c>
    </row>
    <row r="126" ht="25" customHeight="1" s="55">
      <c r="A126" s="57" t="n">
        <v>124</v>
      </c>
      <c r="B126" s="57" t="inlineStr">
        <is>
          <t>NC25241G</t>
        </is>
      </c>
      <c r="C126" s="57" t="inlineStr">
        <is>
          <t>Open field</t>
        </is>
      </c>
      <c r="D126" s="59" t="n">
        <v>46247</v>
      </c>
      <c r="E126" s="57" t="inlineStr">
        <is>
          <t>Second</t>
        </is>
      </c>
      <c r="F126" s="57" t="n">
        <v>1.02</v>
      </c>
      <c r="G126" s="57" t="n">
        <v>1.022</v>
      </c>
      <c r="H126" s="57" t="n">
        <v>1.019</v>
      </c>
      <c r="I126" s="57">
        <f>AVERAGE(F126,G126,H126)</f>
        <v/>
      </c>
      <c r="J126" s="57">
        <f>(143.254*(I126^3))-(648.67*(I126^2))+(1125.805*(I126))-620.389</f>
        <v/>
      </c>
      <c r="K126" s="57" t="inlineStr">
        <is>
          <t>NC25241G</t>
        </is>
      </c>
      <c r="L126" s="58" t="inlineStr">
        <is>
          <t>N/A</t>
        </is>
      </c>
    </row>
    <row r="127" ht="25" customHeight="1" s="55">
      <c r="A127" s="57" t="n">
        <v>125</v>
      </c>
      <c r="B127" s="57" t="inlineStr">
        <is>
          <t>NC25306G</t>
        </is>
      </c>
      <c r="C127" s="57" t="inlineStr">
        <is>
          <t>Open field</t>
        </is>
      </c>
      <c r="D127" s="59" t="n">
        <v>46247</v>
      </c>
      <c r="E127" s="57" t="inlineStr">
        <is>
          <t>Second</t>
        </is>
      </c>
      <c r="F127" s="57" t="n">
        <v>1.018</v>
      </c>
      <c r="G127" s="57" t="n">
        <v>1.02</v>
      </c>
      <c r="H127" s="57" t="n">
        <v>1.02</v>
      </c>
      <c r="I127" s="57">
        <f>AVERAGE(F127,G127,H127)</f>
        <v/>
      </c>
      <c r="J127" s="57">
        <f>(143.254*(I127^3))-(648.67*(I127^2))+(1125.805*(I127))-620.389</f>
        <v/>
      </c>
      <c r="K127" s="57" t="inlineStr">
        <is>
          <t>NC25306G</t>
        </is>
      </c>
      <c r="L127" s="58" t="inlineStr">
        <is>
          <t>N/A</t>
        </is>
      </c>
    </row>
    <row r="128" ht="25" customHeight="1" s="55">
      <c r="A128" s="57" t="n">
        <v>126</v>
      </c>
      <c r="B128" s="57" t="inlineStr">
        <is>
          <t>Mt. Gem</t>
        </is>
      </c>
      <c r="C128" s="57" t="inlineStr">
        <is>
          <t>Open field</t>
        </is>
      </c>
      <c r="D128" s="59" t="n">
        <v>46247</v>
      </c>
      <c r="E128" s="57" t="inlineStr">
        <is>
          <t>Second</t>
        </is>
      </c>
      <c r="F128" s="57" t="n">
        <v>1.021</v>
      </c>
      <c r="G128" s="57" t="n">
        <v>1.022</v>
      </c>
      <c r="H128" s="57" t="n">
        <v>1.021</v>
      </c>
      <c r="I128" s="57">
        <f>AVERAGE(F128,G128,H128)</f>
        <v/>
      </c>
      <c r="J128" s="57">
        <f>(143.254*(I128^3))-(648.67*(I128^2))+(1125.805*(I128))-620.389</f>
        <v/>
      </c>
      <c r="K128" s="57" t="inlineStr">
        <is>
          <t>Mt. Gem</t>
        </is>
      </c>
      <c r="L128" s="58" t="inlineStr">
        <is>
          <t>N/A</t>
        </is>
      </c>
    </row>
    <row r="129" ht="25" customHeight="1" s="55">
      <c r="A129" s="57" t="n">
        <v>127</v>
      </c>
      <c r="B129" s="57" t="inlineStr">
        <is>
          <t>NC25230G</t>
        </is>
      </c>
      <c r="C129" s="57" t="inlineStr">
        <is>
          <t>Open field</t>
        </is>
      </c>
      <c r="D129" s="59" t="n">
        <v>46247</v>
      </c>
      <c r="E129" s="57" t="inlineStr">
        <is>
          <t>Second</t>
        </is>
      </c>
      <c r="F129" s="57" t="n">
        <v>1.019</v>
      </c>
      <c r="G129" s="57" t="n">
        <v>1.021</v>
      </c>
      <c r="H129" s="57" t="n">
        <v>1.019</v>
      </c>
      <c r="I129" s="57">
        <f>AVERAGE(F129,G129,H129)</f>
        <v/>
      </c>
      <c r="J129" s="57">
        <f>(143.254*(I129^3))-(648.67*(I129^2))+(1125.805*(I129))-620.389</f>
        <v/>
      </c>
      <c r="K129" s="57" t="inlineStr">
        <is>
          <t>NC25230G</t>
        </is>
      </c>
      <c r="L129" s="58" t="inlineStr">
        <is>
          <t>N/A</t>
        </is>
      </c>
    </row>
    <row r="130" ht="25" customHeight="1" s="55">
      <c r="A130" s="57" t="n">
        <v>128</v>
      </c>
      <c r="B130" s="57" t="inlineStr">
        <is>
          <t>NC261G</t>
        </is>
      </c>
      <c r="C130" s="57" t="inlineStr">
        <is>
          <t>Open field</t>
        </is>
      </c>
      <c r="D130" s="59" t="n">
        <v>46247</v>
      </c>
      <c r="E130" s="57" t="inlineStr">
        <is>
          <t>Second</t>
        </is>
      </c>
      <c r="F130" s="57" t="n">
        <v>1.023</v>
      </c>
      <c r="G130" s="57" t="n">
        <v>1.023</v>
      </c>
      <c r="H130" s="57" t="n">
        <v>1.023</v>
      </c>
      <c r="I130" s="57">
        <f>AVERAGE(F130,G130,H130)</f>
        <v/>
      </c>
      <c r="J130" s="57">
        <f>(143.254*(I130^3))-(648.67*(I130^2))+(1125.805*(I130))-620.389</f>
        <v/>
      </c>
      <c r="K130" s="57" t="inlineStr">
        <is>
          <t>NC261G</t>
        </is>
      </c>
      <c r="L130" s="58" t="inlineStr">
        <is>
          <t>N/A</t>
        </is>
      </c>
    </row>
    <row r="131" ht="25" customHeight="1" s="55">
      <c r="A131" s="57" t="n">
        <v>129</v>
      </c>
      <c r="B131" s="57" t="inlineStr">
        <is>
          <t>Mt. Heritage</t>
        </is>
      </c>
      <c r="C131" s="57" t="inlineStr">
        <is>
          <t>Open field</t>
        </is>
      </c>
      <c r="D131" s="59" t="n">
        <v>46247</v>
      </c>
      <c r="E131" s="57" t="inlineStr">
        <is>
          <t>Second</t>
        </is>
      </c>
      <c r="F131" s="57" t="n">
        <v>1.021</v>
      </c>
      <c r="G131" s="57" t="n">
        <v>1.022</v>
      </c>
      <c r="H131" s="57" t="n">
        <v>1.022</v>
      </c>
      <c r="I131" s="57">
        <f>AVERAGE(F131,G131,H131)</f>
        <v/>
      </c>
      <c r="J131" s="57">
        <f>(143.254*(I131^3))-(648.67*(I131^2))+(1125.805*(I131))-620.389</f>
        <v/>
      </c>
      <c r="K131" s="57" t="inlineStr">
        <is>
          <t>Mt. Heritage</t>
        </is>
      </c>
      <c r="L131" s="58" t="inlineStr">
        <is>
          <t>N/A</t>
        </is>
      </c>
    </row>
    <row r="132" ht="25" customHeight="1" s="55">
      <c r="A132" s="57" t="n">
        <v>130</v>
      </c>
      <c r="B132" s="57" t="inlineStr">
        <is>
          <t>Mt. Girl</t>
        </is>
      </c>
      <c r="C132" s="57" t="inlineStr">
        <is>
          <t>Open field</t>
        </is>
      </c>
      <c r="D132" s="59" t="n">
        <v>46247</v>
      </c>
      <c r="E132" s="57" t="inlineStr">
        <is>
          <t>Second</t>
        </is>
      </c>
      <c r="F132" s="57" t="n">
        <v>1.024</v>
      </c>
      <c r="G132" s="57" t="n">
        <v>1.023</v>
      </c>
      <c r="H132" s="57" t="n">
        <v>1.025</v>
      </c>
      <c r="I132" s="57">
        <f>AVERAGE(F132,G132,H132)</f>
        <v/>
      </c>
      <c r="J132" s="57">
        <f>(143.254*(I132^3))-(648.67*(I132^2))+(1125.805*(I132))-620.389</f>
        <v/>
      </c>
      <c r="K132" s="57" t="inlineStr">
        <is>
          <t>Mt. Girl</t>
        </is>
      </c>
      <c r="L132" s="58" t="inlineStr">
        <is>
          <t>N/A</t>
        </is>
      </c>
    </row>
    <row r="133" ht="25" customHeight="1" s="55">
      <c r="A133" s="57" t="n">
        <v>131</v>
      </c>
      <c r="B133" s="57" t="inlineStr">
        <is>
          <t>Mt. Magic</t>
        </is>
      </c>
      <c r="C133" s="57" t="inlineStr">
        <is>
          <t>Open field</t>
        </is>
      </c>
      <c r="D133" s="59" t="n">
        <v>46247</v>
      </c>
      <c r="E133" s="57" t="inlineStr">
        <is>
          <t>Second</t>
        </is>
      </c>
      <c r="F133" s="57" t="n">
        <v>1.028</v>
      </c>
      <c r="G133" s="57" t="n">
        <v>1.03</v>
      </c>
      <c r="H133" s="57" t="n">
        <v>1.032</v>
      </c>
      <c r="I133" s="57">
        <f>AVERAGE(F133,G133,H133)</f>
        <v/>
      </c>
      <c r="J133" s="57">
        <f>(143.254*(I133^3))-(648.67*(I133^2))+(1125.805*(I133))-620.389</f>
        <v/>
      </c>
      <c r="K133" s="57" t="inlineStr">
        <is>
          <t>Mt. Magic</t>
        </is>
      </c>
      <c r="L133" s="58" t="inlineStr">
        <is>
          <t>N/A</t>
        </is>
      </c>
    </row>
    <row r="134" ht="25" customHeight="1" s="55">
      <c r="A134" s="57" t="n">
        <v>132</v>
      </c>
      <c r="B134" s="57" t="inlineStr">
        <is>
          <t>NC25212G</t>
        </is>
      </c>
      <c r="C134" s="57" t="inlineStr">
        <is>
          <t>Open field</t>
        </is>
      </c>
      <c r="D134" s="59" t="n">
        <v>46247</v>
      </c>
      <c r="E134" s="57" t="inlineStr">
        <is>
          <t>Second</t>
        </is>
      </c>
      <c r="F134" s="57" t="n">
        <v>1.021</v>
      </c>
      <c r="G134" s="57" t="n">
        <v>1.021</v>
      </c>
      <c r="H134" s="57" t="n">
        <v>1.021</v>
      </c>
      <c r="I134" s="57">
        <f>AVERAGE(F134,G134,H134)</f>
        <v/>
      </c>
      <c r="J134" s="57">
        <f>(143.254*(I134^3))-(648.67*(I134^2))+(1125.805*(I134))-620.389</f>
        <v/>
      </c>
      <c r="K134" s="57" t="inlineStr">
        <is>
          <t>NC25212G</t>
        </is>
      </c>
      <c r="L134" s="58" t="inlineStr">
        <is>
          <t>N/A</t>
        </is>
      </c>
    </row>
    <row r="135" ht="25" customHeight="1" s="55">
      <c r="A135" s="57" t="n">
        <v>133</v>
      </c>
      <c r="B135" s="57" t="inlineStr">
        <is>
          <t>NC25203G</t>
        </is>
      </c>
      <c r="C135" s="57" t="inlineStr">
        <is>
          <t>Open field</t>
        </is>
      </c>
      <c r="D135" s="59" t="n">
        <v>46247</v>
      </c>
      <c r="E135" s="57" t="inlineStr">
        <is>
          <t>Second</t>
        </is>
      </c>
      <c r="F135" s="57" t="n">
        <v>1.023</v>
      </c>
      <c r="G135" s="57" t="n">
        <v>1.023</v>
      </c>
      <c r="H135" s="57" t="n">
        <v>1.023</v>
      </c>
      <c r="I135" s="57">
        <f>AVERAGE(F135,G135,H135)</f>
        <v/>
      </c>
      <c r="J135" s="57">
        <f>(143.254*(I135^3))-(648.67*(I135^2))+(1125.805*(I135))-620.389</f>
        <v/>
      </c>
      <c r="K135" s="57" t="inlineStr">
        <is>
          <t>NC25203G</t>
        </is>
      </c>
      <c r="L135" s="58" t="inlineStr">
        <is>
          <t>N/A</t>
        </is>
      </c>
    </row>
    <row r="136" ht="25" customHeight="1" s="55">
      <c r="A136" s="57" t="n">
        <v>134</v>
      </c>
      <c r="B136" s="57" t="inlineStr">
        <is>
          <t>NC25317G</t>
        </is>
      </c>
      <c r="C136" s="57" t="inlineStr">
        <is>
          <t>Open field</t>
        </is>
      </c>
      <c r="D136" s="59" t="n">
        <v>46247</v>
      </c>
      <c r="E136" s="57" t="inlineStr">
        <is>
          <t>Second</t>
        </is>
      </c>
      <c r="F136" s="57" t="n">
        <v>1.021</v>
      </c>
      <c r="G136" s="57" t="n">
        <v>1.022</v>
      </c>
      <c r="H136" s="57" t="n">
        <v>1.023</v>
      </c>
      <c r="I136" s="57">
        <f>AVERAGE(F136,G136,H136)</f>
        <v/>
      </c>
      <c r="J136" s="57">
        <f>(143.254*(I136^3))-(648.67*(I136^2))+(1125.805*(I136))-620.389</f>
        <v/>
      </c>
      <c r="K136" s="57" t="inlineStr">
        <is>
          <t>NC25317G</t>
        </is>
      </c>
      <c r="L136" s="58" t="inlineStr">
        <is>
          <t>N/A</t>
        </is>
      </c>
    </row>
    <row r="137" ht="25" customHeight="1" s="55">
      <c r="A137" s="57" t="n">
        <v>135</v>
      </c>
      <c r="B137" s="57" t="inlineStr">
        <is>
          <t>NC25202G</t>
        </is>
      </c>
      <c r="C137" s="57" t="inlineStr">
        <is>
          <t>Open field</t>
        </is>
      </c>
      <c r="D137" s="59" t="n">
        <v>46247</v>
      </c>
      <c r="E137" s="57" t="inlineStr">
        <is>
          <t>Second</t>
        </is>
      </c>
      <c r="F137" s="57" t="n">
        <v>1.024</v>
      </c>
      <c r="G137" s="57" t="n">
        <v>1.024</v>
      </c>
      <c r="H137" s="57" t="n">
        <v>1.024</v>
      </c>
      <c r="I137" s="57">
        <f>AVERAGE(F137,G137,H137)</f>
        <v/>
      </c>
      <c r="J137" s="57">
        <f>(143.254*(I137^3))-(648.67*(I137^2))+(1125.805*(I137))-620.389</f>
        <v/>
      </c>
      <c r="K137" s="57" t="inlineStr">
        <is>
          <t>NC25202G</t>
        </is>
      </c>
      <c r="L137" s="58" t="inlineStr">
        <is>
          <t>N/A</t>
        </is>
      </c>
    </row>
    <row r="138" ht="25" customHeight="1" s="55">
      <c r="A138" s="57" t="n">
        <v>136</v>
      </c>
      <c r="B138" s="57" t="inlineStr">
        <is>
          <t>NC25304G</t>
        </is>
      </c>
      <c r="C138" s="57" t="inlineStr">
        <is>
          <t>Open field</t>
        </is>
      </c>
      <c r="D138" s="59" t="n">
        <v>46247</v>
      </c>
      <c r="E138" s="57" t="inlineStr">
        <is>
          <t>Second</t>
        </is>
      </c>
      <c r="F138" s="57" t="n">
        <v>1.018</v>
      </c>
      <c r="G138" s="57" t="n">
        <v>1.02</v>
      </c>
      <c r="H138" s="57" t="n">
        <v>1.018</v>
      </c>
      <c r="I138" s="57">
        <f>AVERAGE(F138,G138,H138)</f>
        <v/>
      </c>
      <c r="J138" s="57">
        <f>(143.254*(I138^3))-(648.67*(I138^2))+(1125.805*(I138))-620.389</f>
        <v/>
      </c>
      <c r="K138" s="57" t="inlineStr">
        <is>
          <t>NC25304G</t>
        </is>
      </c>
      <c r="L138" s="58" t="inlineStr">
        <is>
          <t>N/A</t>
        </is>
      </c>
    </row>
    <row r="139" ht="25" customHeight="1" s="55">
      <c r="A139" s="57" t="n">
        <v>137</v>
      </c>
      <c r="B139" s="57" t="inlineStr">
        <is>
          <t>NC252G</t>
        </is>
      </c>
      <c r="C139" s="57" t="inlineStr">
        <is>
          <t>Open field</t>
        </is>
      </c>
      <c r="D139" s="59" t="n">
        <v>46247</v>
      </c>
      <c r="E139" s="57" t="inlineStr">
        <is>
          <t>Second</t>
        </is>
      </c>
      <c r="F139" s="57" t="n">
        <v>1.02</v>
      </c>
      <c r="G139" s="57" t="n">
        <v>1.021</v>
      </c>
      <c r="H139" s="57" t="n">
        <v>1.02</v>
      </c>
      <c r="I139" s="57">
        <f>AVERAGE(F139,G139,H139)</f>
        <v/>
      </c>
      <c r="J139" s="57">
        <f>(143.254*(I139^3))-(648.67*(I139^2))+(1125.805*(I139))-620.389</f>
        <v/>
      </c>
      <c r="K139" s="57" t="inlineStr">
        <is>
          <t>NC252G</t>
        </is>
      </c>
      <c r="L139" s="58" t="inlineStr">
        <is>
          <t>N/A</t>
        </is>
      </c>
    </row>
    <row r="140" ht="25" customHeight="1" s="55">
      <c r="A140" s="57" t="n">
        <v>138</v>
      </c>
      <c r="B140" s="57" t="inlineStr">
        <is>
          <t>NC237060G</t>
        </is>
      </c>
      <c r="C140" s="57" t="inlineStr">
        <is>
          <t>Open field</t>
        </is>
      </c>
      <c r="D140" s="59" t="n">
        <v>46247</v>
      </c>
      <c r="E140" s="57" t="inlineStr">
        <is>
          <t>Second</t>
        </is>
      </c>
      <c r="F140" s="57" t="n">
        <v>1.019</v>
      </c>
      <c r="G140" s="57" t="n">
        <v>1.019</v>
      </c>
      <c r="H140" s="57" t="n">
        <v>1.02</v>
      </c>
      <c r="I140" s="57">
        <f>AVERAGE(F140,G140,H140)</f>
        <v/>
      </c>
      <c r="J140" s="57">
        <f>(143.254*(I140^3))-(648.67*(I140^2))+(1125.805*(I140))-620.389</f>
        <v/>
      </c>
      <c r="K140" s="57" t="inlineStr">
        <is>
          <t>NC237060G</t>
        </is>
      </c>
      <c r="L140" s="58" t="inlineStr">
        <is>
          <t>N/A</t>
        </is>
      </c>
    </row>
    <row r="141" ht="25" customHeight="1" s="55">
      <c r="A141" s="57" t="n">
        <v>139</v>
      </c>
      <c r="B141" s="57" t="inlineStr">
        <is>
          <t>NC25208G</t>
        </is>
      </c>
      <c r="C141" s="57" t="inlineStr">
        <is>
          <t>Open field</t>
        </is>
      </c>
      <c r="D141" s="59" t="n">
        <v>46247</v>
      </c>
      <c r="E141" s="57" t="inlineStr">
        <is>
          <t>Second</t>
        </is>
      </c>
      <c r="F141" s="57" t="n">
        <v>1.029</v>
      </c>
      <c r="G141" s="57" t="n">
        <v>1.029</v>
      </c>
      <c r="H141" s="57" t="n">
        <v>1.03</v>
      </c>
      <c r="I141" s="57">
        <f>AVERAGE(F141,G141,H141)</f>
        <v/>
      </c>
      <c r="J141" s="57">
        <f>(143.254*(I141^3))-(648.67*(I141^2))+(1125.805*(I141))-620.389</f>
        <v/>
      </c>
      <c r="K141" s="57" t="inlineStr">
        <is>
          <t>NC25208G</t>
        </is>
      </c>
      <c r="L141" s="58" t="inlineStr">
        <is>
          <t>N/A</t>
        </is>
      </c>
    </row>
    <row r="142" ht="25" customHeight="1" s="55">
      <c r="A142" s="57" t="n">
        <v>140</v>
      </c>
      <c r="B142" s="57" t="inlineStr">
        <is>
          <t>Cherokee Purple</t>
        </is>
      </c>
      <c r="C142" s="57" t="inlineStr">
        <is>
          <t>Open field</t>
        </is>
      </c>
      <c r="D142" s="59" t="n">
        <v>46247</v>
      </c>
      <c r="E142" s="57" t="inlineStr">
        <is>
          <t>Second</t>
        </is>
      </c>
      <c r="F142" s="57" t="n">
        <v>1.023</v>
      </c>
      <c r="G142" s="57" t="n">
        <v>1.024</v>
      </c>
      <c r="H142" s="57" t="n">
        <v>1.024</v>
      </c>
      <c r="I142" s="57">
        <f>AVERAGE(F142,G142,H142)</f>
        <v/>
      </c>
      <c r="J142" s="57">
        <f>(143.254*(I142^3))-(648.67*(I142^2))+(1125.805*(I142))-620.389</f>
        <v/>
      </c>
      <c r="K142" s="57" t="inlineStr">
        <is>
          <t>Cherokee Purple</t>
        </is>
      </c>
      <c r="L142" s="58" t="inlineStr">
        <is>
          <t>N/A</t>
        </is>
      </c>
    </row>
    <row r="143" ht="25" customHeight="1" s="55">
      <c r="A143" s="57" t="n">
        <v>141</v>
      </c>
      <c r="B143" s="57" t="inlineStr">
        <is>
          <t>NC25231G</t>
        </is>
      </c>
      <c r="C143" s="57" t="inlineStr">
        <is>
          <t>Open field</t>
        </is>
      </c>
      <c r="D143" s="59" t="n">
        <v>46247</v>
      </c>
      <c r="E143" s="57" t="inlineStr">
        <is>
          <t>Second</t>
        </is>
      </c>
      <c r="F143" s="57" t="n">
        <v>1.02</v>
      </c>
      <c r="G143" s="57" t="n">
        <v>1.02</v>
      </c>
      <c r="H143" s="57" t="n">
        <v>1.02</v>
      </c>
      <c r="I143" s="57">
        <f>AVERAGE(F143,G143,H143)</f>
        <v/>
      </c>
      <c r="J143" s="57">
        <f>(143.254*(I143^3))-(648.67*(I143^2))+(1125.805*(I143))-620.389</f>
        <v/>
      </c>
      <c r="K143" s="57" t="inlineStr">
        <is>
          <t>NC25231G</t>
        </is>
      </c>
      <c r="L143" s="58" t="inlineStr">
        <is>
          <t>N/A</t>
        </is>
      </c>
    </row>
    <row r="144" ht="25" customHeight="1" s="55">
      <c r="A144" s="57" t="n">
        <v>142</v>
      </c>
      <c r="B144" s="57" t="inlineStr">
        <is>
          <t>NC25311G</t>
        </is>
      </c>
      <c r="C144" s="57" t="inlineStr">
        <is>
          <t>Open field</t>
        </is>
      </c>
      <c r="D144" s="59" t="n">
        <v>46247</v>
      </c>
      <c r="E144" s="57" t="inlineStr">
        <is>
          <t>Second</t>
        </is>
      </c>
      <c r="F144" s="57" t="n">
        <v>1.018</v>
      </c>
      <c r="G144" s="57" t="n">
        <v>1.02</v>
      </c>
      <c r="H144" s="57" t="n">
        <v>1.019</v>
      </c>
      <c r="I144" s="57">
        <f>AVERAGE(F144,G144,H144)</f>
        <v/>
      </c>
      <c r="J144" s="57">
        <f>(143.254*(I144^3))-(648.67*(I144^2))+(1125.805*(I144))-620.389</f>
        <v/>
      </c>
      <c r="K144" s="57" t="inlineStr">
        <is>
          <t>NC25311G</t>
        </is>
      </c>
      <c r="L144" s="58" t="inlineStr">
        <is>
          <t>N/A</t>
        </is>
      </c>
    </row>
    <row r="145" ht="25" customHeight="1" s="55">
      <c r="A145" s="57" t="n">
        <v>143</v>
      </c>
      <c r="B145" s="57" t="inlineStr">
        <is>
          <t>NC25211G</t>
        </is>
      </c>
      <c r="C145" s="57" t="inlineStr">
        <is>
          <t>Open field</t>
        </is>
      </c>
      <c r="D145" s="59" t="n">
        <v>46247</v>
      </c>
      <c r="E145" s="57" t="inlineStr">
        <is>
          <t>Second</t>
        </is>
      </c>
      <c r="F145" s="57" t="n">
        <v>1.022</v>
      </c>
      <c r="G145" s="57" t="n">
        <v>1.022</v>
      </c>
      <c r="H145" s="57" t="n">
        <v>1.023</v>
      </c>
      <c r="I145" s="57">
        <f>AVERAGE(F145,G145,H145)</f>
        <v/>
      </c>
      <c r="J145" s="57">
        <f>(143.254*(I145^3))-(648.67*(I145^2))+(1125.805*(I145))-620.389</f>
        <v/>
      </c>
      <c r="K145" s="57" t="inlineStr">
        <is>
          <t>NC25211G</t>
        </is>
      </c>
      <c r="L145" s="58" t="inlineStr">
        <is>
          <t>N/A</t>
        </is>
      </c>
    </row>
    <row r="146" ht="25" customHeight="1" s="55">
      <c r="A146" s="57" t="n">
        <v>144</v>
      </c>
      <c r="B146" s="57" t="inlineStr">
        <is>
          <t>NC25317G</t>
        </is>
      </c>
      <c r="C146" s="57" t="inlineStr">
        <is>
          <t>Open field</t>
        </is>
      </c>
      <c r="D146" s="59" t="n">
        <v>46247</v>
      </c>
      <c r="E146" s="57" t="inlineStr">
        <is>
          <t>Second</t>
        </is>
      </c>
      <c r="F146" s="57" t="n">
        <v>1.017</v>
      </c>
      <c r="G146" s="57" t="n">
        <v>1.017</v>
      </c>
      <c r="H146" s="57" t="n">
        <v>1.02</v>
      </c>
      <c r="I146" s="57">
        <f>AVERAGE(F146,G146,H146)</f>
        <v/>
      </c>
      <c r="J146" s="57">
        <f>(143.254*(I146^3))-(648.67*(I146^2))+(1125.805*(I146))-620.389</f>
        <v/>
      </c>
      <c r="K146" s="57" t="inlineStr">
        <is>
          <t>NC25317G</t>
        </is>
      </c>
      <c r="L146" s="58" t="inlineStr">
        <is>
          <t>N/A</t>
        </is>
      </c>
    </row>
    <row r="147" ht="25" customHeight="1" s="55">
      <c r="A147" s="57" t="n">
        <v>145</v>
      </c>
      <c r="B147" s="57" t="inlineStr">
        <is>
          <t>NC263G</t>
        </is>
      </c>
      <c r="C147" s="57" t="inlineStr">
        <is>
          <t>Open field</t>
        </is>
      </c>
      <c r="D147" s="59" t="n">
        <v>46247</v>
      </c>
      <c r="E147" s="57" t="inlineStr">
        <is>
          <t>Second</t>
        </is>
      </c>
      <c r="F147" s="57" t="n">
        <v>1.021</v>
      </c>
      <c r="G147" s="57" t="n">
        <v>1.021</v>
      </c>
      <c r="H147" s="57" t="n">
        <v>1.021</v>
      </c>
      <c r="I147" s="57">
        <f>AVERAGE(F147,G147,H147)</f>
        <v/>
      </c>
      <c r="J147" s="57">
        <f>(143.254*(I147^3))-(648.67*(I147^2))+(1125.805*(I147))-620.389</f>
        <v/>
      </c>
      <c r="K147" s="57" t="inlineStr">
        <is>
          <t>NC263G</t>
        </is>
      </c>
      <c r="L147" s="58" t="inlineStr">
        <is>
          <t>N/A</t>
        </is>
      </c>
    </row>
    <row r="148" ht="25" customHeight="1" s="55">
      <c r="A148" s="57" t="n">
        <v>146</v>
      </c>
      <c r="B148" s="57" t="inlineStr">
        <is>
          <t>NC25240G</t>
        </is>
      </c>
      <c r="C148" s="57" t="inlineStr">
        <is>
          <t>Open field</t>
        </is>
      </c>
      <c r="D148" s="59" t="n">
        <v>46247</v>
      </c>
      <c r="E148" s="57" t="inlineStr">
        <is>
          <t>Second</t>
        </is>
      </c>
      <c r="F148" s="57" t="n">
        <v>1.018</v>
      </c>
      <c r="G148" s="57" t="n">
        <v>1.018</v>
      </c>
      <c r="H148" s="57" t="n">
        <v>1.018</v>
      </c>
      <c r="I148" s="57">
        <f>AVERAGE(F148,G148,H148)</f>
        <v/>
      </c>
      <c r="J148" s="57">
        <f>(143.254*(I148^3))-(648.67*(I148^2))+(1125.805*(I148))-620.389</f>
        <v/>
      </c>
      <c r="K148" s="57" t="inlineStr">
        <is>
          <t>NC25240G</t>
        </is>
      </c>
      <c r="L148" s="58" t="inlineStr">
        <is>
          <t>N/A</t>
        </is>
      </c>
    </row>
    <row r="149" ht="25" customHeight="1" s="55">
      <c r="A149" s="57" t="n">
        <v>147</v>
      </c>
      <c r="B149" s="57" t="inlineStr">
        <is>
          <t>NC25217G</t>
        </is>
      </c>
      <c r="C149" s="57" t="inlineStr">
        <is>
          <t>Open field</t>
        </is>
      </c>
      <c r="D149" s="59" t="n">
        <v>46247</v>
      </c>
      <c r="E149" s="57" t="inlineStr">
        <is>
          <t>Second</t>
        </is>
      </c>
      <c r="F149" s="57" t="n">
        <v>1.02</v>
      </c>
      <c r="G149" s="57" t="n">
        <v>1.02</v>
      </c>
      <c r="H149" s="57" t="n">
        <v>1.02</v>
      </c>
      <c r="I149" s="57">
        <f>AVERAGE(F149,G149,H149)</f>
        <v/>
      </c>
      <c r="J149" s="57">
        <f>(143.254*(I149^3))-(648.67*(I149^2))+(1125.805*(I149))-620.389</f>
        <v/>
      </c>
      <c r="K149" s="57" t="inlineStr">
        <is>
          <t>NC25217G</t>
        </is>
      </c>
      <c r="L149" s="58" t="inlineStr">
        <is>
          <t>N/A</t>
        </is>
      </c>
    </row>
    <row r="150" ht="25" customHeight="1" s="55">
      <c r="A150" s="57" t="n">
        <v>148</v>
      </c>
      <c r="B150" s="57" t="inlineStr">
        <is>
          <t>NC255G</t>
        </is>
      </c>
      <c r="C150" s="57" t="inlineStr">
        <is>
          <t>Open field</t>
        </is>
      </c>
      <c r="D150" s="59" t="n">
        <v>46247</v>
      </c>
      <c r="E150" s="57" t="inlineStr">
        <is>
          <t>Second</t>
        </is>
      </c>
      <c r="F150" s="57" t="n">
        <v>1.025</v>
      </c>
      <c r="G150" s="57" t="n">
        <v>1.03</v>
      </c>
      <c r="H150" s="57" t="n">
        <v>1.028</v>
      </c>
      <c r="I150" s="57">
        <f>AVERAGE(F150,G150,H150)</f>
        <v/>
      </c>
      <c r="J150" s="57">
        <f>(143.254*(I150^3))-(648.67*(I150^2))+(1125.805*(I150))-620.389</f>
        <v/>
      </c>
      <c r="K150" s="57" t="inlineStr">
        <is>
          <t>NC255G</t>
        </is>
      </c>
      <c r="L150" s="58" t="inlineStr">
        <is>
          <t>N/A</t>
        </is>
      </c>
    </row>
    <row r="151" ht="25" customHeight="1" s="55">
      <c r="A151" s="57" t="n">
        <v>149</v>
      </c>
      <c r="B151" s="57" t="inlineStr">
        <is>
          <t>NC25218G</t>
        </is>
      </c>
      <c r="C151" s="57" t="inlineStr">
        <is>
          <t>Open field</t>
        </is>
      </c>
      <c r="D151" s="59" t="n">
        <v>46247</v>
      </c>
      <c r="E151" s="57" t="inlineStr">
        <is>
          <t>Second</t>
        </is>
      </c>
      <c r="F151" s="57" t="n">
        <v>1.021</v>
      </c>
      <c r="G151" s="57" t="n">
        <v>1.022</v>
      </c>
      <c r="H151" s="57" t="n">
        <v>1.02</v>
      </c>
      <c r="I151" s="57">
        <f>AVERAGE(F151,G151,H151)</f>
        <v/>
      </c>
      <c r="J151" s="57">
        <f>(143.254*(I151^3))-(648.67*(I151^2))+(1125.805*(I151))-620.389</f>
        <v/>
      </c>
      <c r="K151" s="57" t="inlineStr">
        <is>
          <t>NC25218G</t>
        </is>
      </c>
      <c r="L151" s="58" t="inlineStr">
        <is>
          <t>N/A</t>
        </is>
      </c>
    </row>
    <row r="152" ht="25" customHeight="1" s="55">
      <c r="A152" s="57" t="n">
        <v>150</v>
      </c>
      <c r="B152" s="57" t="inlineStr">
        <is>
          <t>NC255G</t>
        </is>
      </c>
      <c r="C152" s="57" t="inlineStr">
        <is>
          <t>Open field</t>
        </is>
      </c>
      <c r="D152" s="59" t="n">
        <v>46247</v>
      </c>
      <c r="E152" s="57" t="inlineStr">
        <is>
          <t>Second</t>
        </is>
      </c>
      <c r="F152" s="57" t="n">
        <v>1.024</v>
      </c>
      <c r="G152" s="57" t="n">
        <v>1.024</v>
      </c>
      <c r="H152" s="57" t="n">
        <v>1.026</v>
      </c>
      <c r="I152" s="57">
        <f>AVERAGE(F152,G152,H152)</f>
        <v/>
      </c>
      <c r="J152" s="57">
        <f>(143.254*(I152^3))-(648.67*(I152^2))+(1125.805*(I152))-620.389</f>
        <v/>
      </c>
      <c r="K152" s="57" t="inlineStr">
        <is>
          <t>NC255G</t>
        </is>
      </c>
      <c r="L152" s="58" t="inlineStr">
        <is>
          <t>N/A</t>
        </is>
      </c>
    </row>
    <row r="153" ht="25" customHeight="1" s="55">
      <c r="A153" s="57" t="n">
        <v>151</v>
      </c>
      <c r="B153" s="57" t="inlineStr">
        <is>
          <t>NC25207G</t>
        </is>
      </c>
      <c r="C153" s="57" t="inlineStr">
        <is>
          <t>Open field</t>
        </is>
      </c>
      <c r="D153" s="59" t="n">
        <v>46247</v>
      </c>
      <c r="E153" s="57" t="inlineStr">
        <is>
          <t>Second</t>
        </is>
      </c>
      <c r="F153" s="57" t="n">
        <v>1.021</v>
      </c>
      <c r="G153" s="57" t="n">
        <v>1.021</v>
      </c>
      <c r="H153" s="57" t="n">
        <v>1.021</v>
      </c>
      <c r="I153" s="57">
        <f>AVERAGE(F153,G153,H153)</f>
        <v/>
      </c>
      <c r="J153" s="57">
        <f>(143.254*(I153^3))-(648.67*(I153^2))+(1125.805*(I153))-620.389</f>
        <v/>
      </c>
      <c r="K153" s="57" t="inlineStr">
        <is>
          <t>NC25207G</t>
        </is>
      </c>
      <c r="L153" s="58" t="inlineStr">
        <is>
          <t>N/A</t>
        </is>
      </c>
    </row>
    <row r="154" ht="25" customHeight="1" s="55">
      <c r="A154" s="57" t="n">
        <v>152</v>
      </c>
      <c r="B154" s="57" t="inlineStr">
        <is>
          <t>NC23706G</t>
        </is>
      </c>
      <c r="C154" s="57" t="inlineStr">
        <is>
          <t>Open field</t>
        </is>
      </c>
      <c r="D154" s="59" t="n">
        <v>46247</v>
      </c>
      <c r="E154" s="57" t="inlineStr">
        <is>
          <t>Second</t>
        </is>
      </c>
      <c r="F154" s="57" t="n">
        <v>1.021</v>
      </c>
      <c r="G154" s="57" t="n">
        <v>1.022</v>
      </c>
      <c r="H154" s="57" t="n">
        <v>1.021</v>
      </c>
      <c r="I154" s="57">
        <f>AVERAGE(F154,G154,H154)</f>
        <v/>
      </c>
      <c r="J154" s="57">
        <f>(143.254*(I154^3))-(648.67*(I154^2))+(1125.805*(I154))-620.389</f>
        <v/>
      </c>
      <c r="K154" s="57" t="inlineStr">
        <is>
          <t>NC23706G</t>
        </is>
      </c>
      <c r="L154" s="58" t="inlineStr">
        <is>
          <t>N/A</t>
        </is>
      </c>
    </row>
    <row r="155" ht="25" customHeight="1" s="55">
      <c r="A155" s="57" t="n">
        <v>153</v>
      </c>
      <c r="B155" s="57" t="inlineStr">
        <is>
          <t>NC23926G</t>
        </is>
      </c>
      <c r="C155" s="57" t="inlineStr">
        <is>
          <t>Open field</t>
        </is>
      </c>
      <c r="D155" s="59" t="n">
        <v>46247</v>
      </c>
      <c r="E155" s="57" t="inlineStr">
        <is>
          <t>Second</t>
        </is>
      </c>
      <c r="F155" s="57" t="n">
        <v>1.018</v>
      </c>
      <c r="G155" s="57" t="n">
        <v>1.018</v>
      </c>
      <c r="H155" s="57" t="n">
        <v>1.018</v>
      </c>
      <c r="I155" s="57">
        <f>AVERAGE(F155,G155,H155)</f>
        <v/>
      </c>
      <c r="J155" s="57">
        <f>(143.254*(I155^3))-(648.67*(I155^2))+(1125.805*(I155))-620.389</f>
        <v/>
      </c>
      <c r="K155" s="57" t="inlineStr">
        <is>
          <t>NC23926G</t>
        </is>
      </c>
      <c r="L155" s="58" t="inlineStr">
        <is>
          <t>N/A</t>
        </is>
      </c>
    </row>
    <row r="156" ht="25" customHeight="1" s="55">
      <c r="A156" s="57" t="n">
        <v>154</v>
      </c>
      <c r="B156" s="57" t="inlineStr">
        <is>
          <t>NC23926G</t>
        </is>
      </c>
      <c r="C156" s="57" t="inlineStr">
        <is>
          <t>Open field</t>
        </is>
      </c>
      <c r="D156" s="59" t="n">
        <v>46247</v>
      </c>
      <c r="E156" s="57" t="inlineStr">
        <is>
          <t>Second</t>
        </is>
      </c>
      <c r="F156" s="57" t="n">
        <v>1.023</v>
      </c>
      <c r="G156" s="57" t="n">
        <v>1.023</v>
      </c>
      <c r="H156" s="57" t="n">
        <v>1.023</v>
      </c>
      <c r="I156" s="57">
        <f>AVERAGE(F156,G156,H156)</f>
        <v/>
      </c>
      <c r="J156" s="57">
        <f>(143.254*(I156^3))-(648.67*(I156^2))+(1125.805*(I156))-620.389</f>
        <v/>
      </c>
      <c r="K156" s="57" t="inlineStr">
        <is>
          <t>NC23926G</t>
        </is>
      </c>
      <c r="L156" s="58" t="inlineStr">
        <is>
          <t>N/A</t>
        </is>
      </c>
    </row>
    <row r="157" ht="25" customHeight="1" s="55">
      <c r="A157" s="57" t="n">
        <v>155</v>
      </c>
      <c r="B157" s="57" t="inlineStr">
        <is>
          <t>NC25209G</t>
        </is>
      </c>
      <c r="C157" s="57" t="inlineStr">
        <is>
          <t>Open field</t>
        </is>
      </c>
      <c r="D157" s="59" t="n">
        <v>46247</v>
      </c>
      <c r="E157" s="57" t="inlineStr">
        <is>
          <t>Second</t>
        </is>
      </c>
      <c r="F157" s="57" t="n">
        <v>1.02</v>
      </c>
      <c r="G157" s="57" t="n">
        <v>1.02</v>
      </c>
      <c r="H157" s="57" t="n">
        <v>1.02</v>
      </c>
      <c r="I157" s="57">
        <f>AVERAGE(F157,G157,H157)</f>
        <v/>
      </c>
      <c r="J157" s="57">
        <f>(143.254*(I157^3))-(648.67*(I157^2))+(1125.805*(I157))-620.389</f>
        <v/>
      </c>
      <c r="K157" s="57" t="inlineStr">
        <is>
          <t>NC25209G</t>
        </is>
      </c>
      <c r="L157" s="58" t="inlineStr">
        <is>
          <t>N/A</t>
        </is>
      </c>
    </row>
    <row r="158" ht="25" customHeight="1" s="55">
      <c r="A158" s="57" t="n">
        <v>156</v>
      </c>
      <c r="B158" s="57" t="inlineStr">
        <is>
          <t>NC261G</t>
        </is>
      </c>
      <c r="C158" s="57" t="inlineStr">
        <is>
          <t>Open field</t>
        </is>
      </c>
      <c r="D158" s="59" t="n">
        <v>46247</v>
      </c>
      <c r="E158" s="57" t="inlineStr">
        <is>
          <t>Second</t>
        </is>
      </c>
      <c r="F158" s="57" t="n">
        <v>1.021</v>
      </c>
      <c r="G158" s="57" t="n">
        <v>1.021</v>
      </c>
      <c r="H158" s="57" t="n">
        <v>1.021</v>
      </c>
      <c r="I158" s="57">
        <f>AVERAGE(F158,G158,H158)</f>
        <v/>
      </c>
      <c r="J158" s="57">
        <f>(143.254*(I158^3))-(648.67*(I158^2))+(1125.805*(I158))-620.389</f>
        <v/>
      </c>
      <c r="K158" s="57" t="inlineStr">
        <is>
          <t>NC261G</t>
        </is>
      </c>
      <c r="L158" s="58" t="inlineStr">
        <is>
          <t>N/A</t>
        </is>
      </c>
    </row>
    <row r="159" ht="25" customHeight="1" s="55">
      <c r="A159" s="57" t="n">
        <v>157</v>
      </c>
      <c r="B159" s="57" t="inlineStr">
        <is>
          <t>UKYT-26-001</t>
        </is>
      </c>
      <c r="C159" s="57" t="inlineStr">
        <is>
          <t>High tunnel</t>
        </is>
      </c>
      <c r="D159" s="59" t="n">
        <v>46245</v>
      </c>
      <c r="E159" s="58" t="inlineStr">
        <is>
          <t>N/A</t>
        </is>
      </c>
      <c r="F159" s="57" t="n">
        <v>1.015</v>
      </c>
      <c r="G159" s="57" t="n">
        <v>1.015</v>
      </c>
      <c r="H159" s="57" t="n">
        <v>1.015</v>
      </c>
      <c r="I159" s="57">
        <f>AVERAGE(F159,G159,H159)</f>
        <v/>
      </c>
      <c r="J159" s="57">
        <f>(143.254*(I159^3))-(648.67*(I159^2))+(1125.805*(I159))-620.389</f>
        <v/>
      </c>
      <c r="K159" s="57" t="inlineStr">
        <is>
          <t>26-001</t>
        </is>
      </c>
      <c r="L159" s="58" t="inlineStr">
        <is>
          <t>N/A</t>
        </is>
      </c>
    </row>
    <row r="160" ht="25" customHeight="1" s="55">
      <c r="A160" s="57" t="n">
        <v>158</v>
      </c>
      <c r="B160" s="57" t="inlineStr">
        <is>
          <t>UKYT-25-017</t>
        </is>
      </c>
      <c r="C160" s="57" t="inlineStr">
        <is>
          <t>High tunnel</t>
        </is>
      </c>
      <c r="D160" s="59" t="n">
        <v>46245</v>
      </c>
      <c r="E160" s="58" t="inlineStr">
        <is>
          <t>N/A</t>
        </is>
      </c>
      <c r="F160" s="57" t="n">
        <v>1.028</v>
      </c>
      <c r="G160" s="57" t="n">
        <v>1.03</v>
      </c>
      <c r="H160" s="57" t="n">
        <v>1.03</v>
      </c>
      <c r="I160" s="57">
        <f>AVERAGE(F160,G160,H160)</f>
        <v/>
      </c>
      <c r="J160" s="57">
        <f>(143.254*(I160^3))-(648.67*(I160^2))+(1125.805*(I160))-620.389</f>
        <v/>
      </c>
      <c r="K160" s="57" t="inlineStr">
        <is>
          <t>25-017</t>
        </is>
      </c>
      <c r="L160" s="58" t="inlineStr">
        <is>
          <t>N/A</t>
        </is>
      </c>
    </row>
    <row r="161" ht="25" customHeight="1" s="55">
      <c r="A161" s="57" t="n">
        <v>159</v>
      </c>
      <c r="B161" s="57" t="inlineStr">
        <is>
          <t>UKYT-26-006</t>
        </is>
      </c>
      <c r="C161" s="57" t="inlineStr">
        <is>
          <t>High tunnel</t>
        </is>
      </c>
      <c r="D161" s="59" t="n">
        <v>46245</v>
      </c>
      <c r="E161" s="58" t="inlineStr">
        <is>
          <t>N/A</t>
        </is>
      </c>
      <c r="F161" s="57" t="n">
        <v>1.029</v>
      </c>
      <c r="G161" s="57" t="n">
        <v>1.029</v>
      </c>
      <c r="H161" s="57" t="n">
        <v>1.029</v>
      </c>
      <c r="I161" s="57">
        <f>AVERAGE(F161,G161,H161)</f>
        <v/>
      </c>
      <c r="J161" s="57">
        <f>(143.254*(I161^3))-(648.67*(I161^2))+(1125.805*(I161))-620.389</f>
        <v/>
      </c>
      <c r="K161" s="57" t="inlineStr">
        <is>
          <t>26-006</t>
        </is>
      </c>
      <c r="L161" s="58" t="inlineStr">
        <is>
          <t>N/A</t>
        </is>
      </c>
    </row>
    <row r="162" ht="25" customHeight="1" s="55">
      <c r="A162" s="57" t="n">
        <v>160</v>
      </c>
      <c r="B162" s="57" t="inlineStr">
        <is>
          <t>UKYT-26-015</t>
        </is>
      </c>
      <c r="C162" s="57" t="inlineStr">
        <is>
          <t>High tunnel</t>
        </is>
      </c>
      <c r="D162" s="59" t="n">
        <v>46245</v>
      </c>
      <c r="E162" s="58" t="inlineStr">
        <is>
          <t>N/A</t>
        </is>
      </c>
      <c r="F162" s="57" t="n">
        <v>1.017</v>
      </c>
      <c r="G162" s="57" t="n">
        <v>1.016</v>
      </c>
      <c r="H162" s="57" t="n">
        <v>1.018</v>
      </c>
      <c r="I162" s="57">
        <f>AVERAGE(F162,G162,H162)</f>
        <v/>
      </c>
      <c r="J162" s="57">
        <f>(143.254*(I162^3))-(648.67*(I162^2))+(1125.805*(I162))-620.389</f>
        <v/>
      </c>
      <c r="K162" s="57" t="inlineStr">
        <is>
          <t>26-015</t>
        </is>
      </c>
      <c r="L162" s="58" t="inlineStr">
        <is>
          <t>N/A</t>
        </is>
      </c>
    </row>
    <row r="163" ht="25" customHeight="1" s="55">
      <c r="A163" s="57" t="n">
        <v>161</v>
      </c>
      <c r="B163" s="57" t="inlineStr">
        <is>
          <t>UKYT-25-012</t>
        </is>
      </c>
      <c r="C163" s="57" t="inlineStr">
        <is>
          <t>High tunnel</t>
        </is>
      </c>
      <c r="D163" s="59" t="n">
        <v>46245</v>
      </c>
      <c r="E163" s="58" t="inlineStr">
        <is>
          <t>N/A</t>
        </is>
      </c>
      <c r="F163" s="57" t="n">
        <v>1.021</v>
      </c>
      <c r="G163" s="57" t="n">
        <v>1.021</v>
      </c>
      <c r="H163" s="57" t="n">
        <v>1.021</v>
      </c>
      <c r="I163" s="57">
        <f>AVERAGE(F163,G163,H163)</f>
        <v/>
      </c>
      <c r="J163" s="57">
        <f>(143.254*(I163^3))-(648.67*(I163^2))+(1125.805*(I163))-620.389</f>
        <v/>
      </c>
      <c r="K163" s="57" t="inlineStr">
        <is>
          <t>25-012</t>
        </is>
      </c>
      <c r="L163" s="58" t="inlineStr">
        <is>
          <t>N/A</t>
        </is>
      </c>
    </row>
    <row r="164" ht="25" customHeight="1" s="55">
      <c r="A164" s="57" t="n">
        <v>162</v>
      </c>
      <c r="B164" s="57" t="inlineStr">
        <is>
          <t>UKYT-25-013</t>
        </is>
      </c>
      <c r="C164" s="57" t="inlineStr">
        <is>
          <t>High tunnel</t>
        </is>
      </c>
      <c r="D164" s="59" t="n">
        <v>46245</v>
      </c>
      <c r="E164" s="58" t="inlineStr">
        <is>
          <t>N/A</t>
        </is>
      </c>
      <c r="F164" s="57" t="n">
        <v>1.028</v>
      </c>
      <c r="G164" s="57" t="n">
        <v>1.027</v>
      </c>
      <c r="H164" s="57" t="n">
        <v>1.028</v>
      </c>
      <c r="I164" s="57">
        <f>AVERAGE(F164,G164,H164)</f>
        <v/>
      </c>
      <c r="J164" s="57">
        <f>(143.254*(I164^3))-(648.67*(I164^2))+(1125.805*(I164))-620.389</f>
        <v/>
      </c>
      <c r="K164" s="57" t="inlineStr">
        <is>
          <t>25-013</t>
        </is>
      </c>
      <c r="L164" s="58" t="inlineStr">
        <is>
          <t>N/A</t>
        </is>
      </c>
    </row>
    <row r="165" ht="25" customHeight="1" s="55">
      <c r="A165" s="57" t="n">
        <v>163</v>
      </c>
      <c r="B165" s="57" t="inlineStr">
        <is>
          <t>UKYT-25-014</t>
        </is>
      </c>
      <c r="C165" s="57" t="inlineStr">
        <is>
          <t>High tunnel</t>
        </is>
      </c>
      <c r="D165" s="59" t="n">
        <v>46245</v>
      </c>
      <c r="E165" s="58" t="inlineStr">
        <is>
          <t>N/A</t>
        </is>
      </c>
      <c r="F165" s="57" t="n">
        <v>1.021</v>
      </c>
      <c r="G165" s="57" t="n">
        <v>1.02</v>
      </c>
      <c r="H165" s="57" t="n">
        <v>1.021</v>
      </c>
      <c r="I165" s="57">
        <f>AVERAGE(F165,G165,H165)</f>
        <v/>
      </c>
      <c r="J165" s="57">
        <f>(143.254*(I165^3))-(648.67*(I165^2))+(1125.805*(I165))-620.389</f>
        <v/>
      </c>
      <c r="K165" s="57" t="inlineStr">
        <is>
          <t>25-014</t>
        </is>
      </c>
      <c r="L165" s="58" t="inlineStr">
        <is>
          <t>N/A</t>
        </is>
      </c>
    </row>
    <row r="166" ht="25" customHeight="1" s="55">
      <c r="A166" s="57" t="n">
        <v>164</v>
      </c>
      <c r="B166" s="57" t="inlineStr">
        <is>
          <t>UKYT-25-015</t>
        </is>
      </c>
      <c r="C166" s="57" t="inlineStr">
        <is>
          <t>High tunnel</t>
        </is>
      </c>
      <c r="D166" s="59" t="n">
        <v>46245</v>
      </c>
      <c r="E166" s="58" t="inlineStr">
        <is>
          <t>N/A</t>
        </is>
      </c>
      <c r="F166" s="57" t="n">
        <v>1.025</v>
      </c>
      <c r="G166" s="57" t="n">
        <v>1.024</v>
      </c>
      <c r="H166" s="57" t="n">
        <v>1.023</v>
      </c>
      <c r="I166" s="57">
        <f>AVERAGE(F166,G166,H166)</f>
        <v/>
      </c>
      <c r="J166" s="57">
        <f>(143.254*(I166^3))-(648.67*(I166^2))+(1125.805*(I166))-620.389</f>
        <v/>
      </c>
      <c r="K166" s="57" t="inlineStr">
        <is>
          <t>25-015</t>
        </is>
      </c>
      <c r="L166" s="58" t="inlineStr">
        <is>
          <t>N/A</t>
        </is>
      </c>
    </row>
    <row r="167" ht="25" customHeight="1" s="55">
      <c r="A167" s="57" t="n">
        <v>165</v>
      </c>
      <c r="B167" s="57" t="inlineStr">
        <is>
          <t>UKYT-25-016</t>
        </is>
      </c>
      <c r="C167" s="57" t="inlineStr">
        <is>
          <t>High tunnel</t>
        </is>
      </c>
      <c r="D167" s="59" t="n">
        <v>46245</v>
      </c>
      <c r="E167" s="58" t="inlineStr">
        <is>
          <t>N/A</t>
        </is>
      </c>
      <c r="F167" s="57" t="n">
        <v>1.036</v>
      </c>
      <c r="G167" s="57" t="n">
        <v>1.033</v>
      </c>
      <c r="H167" s="57" t="n">
        <v>1.036</v>
      </c>
      <c r="I167" s="57">
        <f>AVERAGE(F167,G167,H167)</f>
        <v/>
      </c>
      <c r="J167" s="57">
        <f>(143.254*(I167^3))-(648.67*(I167^2))+(1125.805*(I167))-620.389</f>
        <v/>
      </c>
      <c r="K167" s="57" t="inlineStr">
        <is>
          <t>25-016</t>
        </is>
      </c>
      <c r="L167" s="58" t="inlineStr">
        <is>
          <t>N/A</t>
        </is>
      </c>
    </row>
    <row r="168" ht="25" customHeight="1" s="55">
      <c r="A168" s="57" t="n">
        <v>166</v>
      </c>
      <c r="B168" s="57" t="inlineStr">
        <is>
          <t>Mountain Fresh</t>
        </is>
      </c>
      <c r="C168" s="57" t="inlineStr">
        <is>
          <t>High tunnel</t>
        </is>
      </c>
      <c r="D168" s="59" t="n">
        <v>46245</v>
      </c>
      <c r="E168" s="58" t="inlineStr">
        <is>
          <t>N/A</t>
        </is>
      </c>
      <c r="F168" s="57" t="n">
        <v>1.023</v>
      </c>
      <c r="G168" s="57" t="n">
        <v>1.023</v>
      </c>
      <c r="H168" s="57" t="n">
        <v>1.022</v>
      </c>
      <c r="I168" s="57">
        <f>AVERAGE(F168,G168,H168)</f>
        <v/>
      </c>
      <c r="J168" s="57">
        <f>(143.254*(I168^3))-(648.67*(I168^2))+(1125.805*(I168))-620.389</f>
        <v/>
      </c>
      <c r="K168" s="57" t="inlineStr">
        <is>
          <t>Mountain Fresh</t>
        </is>
      </c>
      <c r="L168" s="58" t="inlineStr">
        <is>
          <t>N/A</t>
        </is>
      </c>
    </row>
    <row r="169" ht="25" customHeight="1" s="55">
      <c r="A169" s="57" t="n">
        <v>167</v>
      </c>
      <c r="B169" s="57" t="inlineStr">
        <is>
          <t>UKYT-25-008</t>
        </is>
      </c>
      <c r="C169" s="57" t="inlineStr">
        <is>
          <t>High tunnel</t>
        </is>
      </c>
      <c r="D169" s="59" t="n">
        <v>46245</v>
      </c>
      <c r="E169" s="58" t="inlineStr">
        <is>
          <t>N/A</t>
        </is>
      </c>
      <c r="F169" s="57" t="n">
        <v>1.037</v>
      </c>
      <c r="G169" s="57" t="n">
        <v>1.038</v>
      </c>
      <c r="H169" s="57" t="n">
        <v>1.038</v>
      </c>
      <c r="I169" s="57">
        <f>AVERAGE(F169,G169,H169)</f>
        <v/>
      </c>
      <c r="J169" s="57">
        <f>(143.254*(I169^3))-(648.67*(I169^2))+(1125.805*(I169))-620.389</f>
        <v/>
      </c>
      <c r="K169" s="57" t="inlineStr">
        <is>
          <t>25-008</t>
        </is>
      </c>
      <c r="L169" s="58" t="inlineStr">
        <is>
          <t>N/A</t>
        </is>
      </c>
    </row>
    <row r="170" ht="25" customHeight="1" s="55">
      <c r="A170" s="57" t="n">
        <v>168</v>
      </c>
      <c r="B170" s="57" t="inlineStr">
        <is>
          <t>UKYT-25-011</t>
        </is>
      </c>
      <c r="C170" s="57" t="inlineStr">
        <is>
          <t>High tunnel</t>
        </is>
      </c>
      <c r="D170" s="59" t="n">
        <v>46245</v>
      </c>
      <c r="E170" s="58" t="inlineStr">
        <is>
          <t>N/A</t>
        </is>
      </c>
      <c r="F170" s="57" t="n">
        <v>1.022</v>
      </c>
      <c r="G170" s="57" t="n">
        <v>1.022</v>
      </c>
      <c r="H170" s="57" t="n">
        <v>1.023</v>
      </c>
      <c r="I170" s="57">
        <f>AVERAGE(F170,G170,H170)</f>
        <v/>
      </c>
      <c r="J170" s="57">
        <f>(143.254*(I170^3))-(648.67*(I170^2))+(1125.805*(I170))-620.389</f>
        <v/>
      </c>
      <c r="K170" s="57" t="inlineStr">
        <is>
          <t>25-011</t>
        </is>
      </c>
      <c r="L170" s="58" t="inlineStr">
        <is>
          <t>N/A</t>
        </is>
      </c>
    </row>
    <row r="171" ht="25" customHeight="1" s="55">
      <c r="A171" s="57" t="n">
        <v>169</v>
      </c>
      <c r="B171" s="57" t="inlineStr">
        <is>
          <t>UKYT-25-010</t>
        </is>
      </c>
      <c r="C171" s="57" t="inlineStr">
        <is>
          <t>High tunnel</t>
        </is>
      </c>
      <c r="D171" s="59" t="n">
        <v>46245</v>
      </c>
      <c r="E171" s="58" t="inlineStr">
        <is>
          <t>N/A</t>
        </is>
      </c>
      <c r="F171" s="57" t="n">
        <v>1.026</v>
      </c>
      <c r="G171" s="57" t="n">
        <v>1.027</v>
      </c>
      <c r="H171" s="57" t="n">
        <v>1.028</v>
      </c>
      <c r="I171" s="57">
        <f>AVERAGE(F171,G171,H171)</f>
        <v/>
      </c>
      <c r="J171" s="57">
        <f>(143.254*(I171^3))-(648.67*(I171^2))+(1125.805*(I171))-620.389</f>
        <v/>
      </c>
      <c r="K171" s="57" t="inlineStr">
        <is>
          <t>25-010</t>
        </is>
      </c>
      <c r="L171" s="58" t="inlineStr">
        <is>
          <t>N/A</t>
        </is>
      </c>
    </row>
    <row r="172" ht="25" customHeight="1" s="55">
      <c r="A172" s="57" t="n">
        <v>170</v>
      </c>
      <c r="B172" s="57" t="inlineStr">
        <is>
          <t>UKYT-25-007</t>
        </is>
      </c>
      <c r="C172" s="57" t="inlineStr">
        <is>
          <t>High tunnel</t>
        </is>
      </c>
      <c r="D172" s="59" t="n">
        <v>46245</v>
      </c>
      <c r="E172" s="58" t="inlineStr">
        <is>
          <t>N/A</t>
        </is>
      </c>
      <c r="F172" s="57" t="n">
        <v>1.027</v>
      </c>
      <c r="G172" s="57" t="n">
        <v>1.026</v>
      </c>
      <c r="H172" s="57" t="n">
        <v>1.027</v>
      </c>
      <c r="I172" s="57">
        <f>AVERAGE(F172,G172,H172)</f>
        <v/>
      </c>
      <c r="J172" s="57">
        <f>(143.254*(I172^3))-(648.67*(I172^2))+(1125.805*(I172))-620.389</f>
        <v/>
      </c>
      <c r="K172" s="57" t="inlineStr">
        <is>
          <t>25-007</t>
        </is>
      </c>
      <c r="L172" s="58" t="inlineStr">
        <is>
          <t>N/A</t>
        </is>
      </c>
    </row>
    <row r="173" ht="25" customHeight="1" s="55">
      <c r="A173" s="57" t="n">
        <v>171</v>
      </c>
      <c r="B173" s="57" t="inlineStr">
        <is>
          <t>UKYT-25-009</t>
        </is>
      </c>
      <c r="C173" s="57" t="inlineStr">
        <is>
          <t>High tunnel</t>
        </is>
      </c>
      <c r="D173" s="59" t="n">
        <v>46245</v>
      </c>
      <c r="E173" s="58" t="inlineStr">
        <is>
          <t>N/A</t>
        </is>
      </c>
      <c r="F173" s="57" t="n">
        <v>1.026</v>
      </c>
      <c r="G173" s="57" t="n">
        <v>1.025</v>
      </c>
      <c r="H173" s="57" t="n">
        <v>1.027</v>
      </c>
      <c r="I173" s="57">
        <f>AVERAGE(F173,G173,H173)</f>
        <v/>
      </c>
      <c r="J173" s="57">
        <f>(143.254*(I173^3))-(648.67*(I173^2))+(1125.805*(I173))-620.389</f>
        <v/>
      </c>
      <c r="K173" s="57" t="inlineStr">
        <is>
          <t>25-009</t>
        </is>
      </c>
      <c r="L173" s="58" t="inlineStr">
        <is>
          <t>N/A</t>
        </is>
      </c>
    </row>
    <row r="174" ht="25" customHeight="1" s="55">
      <c r="A174" s="57" t="n">
        <v>172</v>
      </c>
      <c r="B174" s="57" t="inlineStr">
        <is>
          <t>UKYT-25-001</t>
        </is>
      </c>
      <c r="C174" s="57" t="inlineStr">
        <is>
          <t>High tunnel</t>
        </is>
      </c>
      <c r="D174" s="59" t="n">
        <v>46245</v>
      </c>
      <c r="E174" s="58" t="inlineStr">
        <is>
          <t>N/A</t>
        </is>
      </c>
      <c r="F174" s="57" t="n">
        <v>1.021</v>
      </c>
      <c r="G174" s="57" t="n">
        <v>1.021</v>
      </c>
      <c r="H174" s="57" t="n">
        <v>1.021</v>
      </c>
      <c r="I174" s="57">
        <f>AVERAGE(F174,G174,H174)</f>
        <v/>
      </c>
      <c r="J174" s="57">
        <f>(143.254*(I174^3))-(648.67*(I174^2))+(1125.805*(I174))-620.389</f>
        <v/>
      </c>
      <c r="K174" s="57" t="inlineStr">
        <is>
          <t>25-001</t>
        </is>
      </c>
      <c r="L174" s="58" t="inlineStr">
        <is>
          <t>N/A</t>
        </is>
      </c>
    </row>
    <row r="175" ht="25" customHeight="1" s="55">
      <c r="A175" s="57" t="n">
        <v>173</v>
      </c>
      <c r="B175" s="57" t="inlineStr">
        <is>
          <t>UKYT-25-002</t>
        </is>
      </c>
      <c r="C175" s="57" t="inlineStr">
        <is>
          <t>High tunnel</t>
        </is>
      </c>
      <c r="D175" s="59" t="n">
        <v>46245</v>
      </c>
      <c r="E175" s="58" t="inlineStr">
        <is>
          <t>N/A</t>
        </is>
      </c>
      <c r="F175" s="57" t="n">
        <v>1.021</v>
      </c>
      <c r="G175" s="57" t="n">
        <v>1.022</v>
      </c>
      <c r="H175" s="57" t="n">
        <v>1.021</v>
      </c>
      <c r="I175" s="57">
        <f>AVERAGE(F175,G175,H175)</f>
        <v/>
      </c>
      <c r="J175" s="57">
        <f>(143.254*(I175^3))-(648.67*(I175^2))+(1125.805*(I175))-620.389</f>
        <v/>
      </c>
      <c r="K175" s="57" t="inlineStr">
        <is>
          <t>25-002</t>
        </is>
      </c>
      <c r="L175" s="58" t="inlineStr">
        <is>
          <t>N/A</t>
        </is>
      </c>
    </row>
    <row r="176" ht="25" customHeight="1" s="55">
      <c r="A176" s="57" t="n">
        <v>174</v>
      </c>
      <c r="B176" s="57" t="inlineStr">
        <is>
          <t>UKYT-25-003</t>
        </is>
      </c>
      <c r="C176" s="57" t="inlineStr">
        <is>
          <t>High tunnel</t>
        </is>
      </c>
      <c r="D176" s="59" t="n">
        <v>46245</v>
      </c>
      <c r="E176" s="58" t="inlineStr">
        <is>
          <t>N/A</t>
        </is>
      </c>
      <c r="F176" s="57" t="n">
        <v>1.025</v>
      </c>
      <c r="G176" s="57" t="n">
        <v>1.025</v>
      </c>
      <c r="H176" s="57" t="n">
        <v>1.023</v>
      </c>
      <c r="I176" s="57">
        <f>AVERAGE(F176,G176,H176)</f>
        <v/>
      </c>
      <c r="J176" s="57">
        <f>(143.254*(I176^3))-(648.67*(I176^2))+(1125.805*(I176))-620.389</f>
        <v/>
      </c>
      <c r="K176" s="57" t="inlineStr">
        <is>
          <t>25-003</t>
        </is>
      </c>
      <c r="L176" s="58" t="inlineStr">
        <is>
          <t>N/A</t>
        </is>
      </c>
    </row>
    <row r="177" ht="25" customHeight="1" s="55">
      <c r="A177" s="57" t="n">
        <v>175</v>
      </c>
      <c r="B177" s="57" t="inlineStr">
        <is>
          <t>UKYT-25-005</t>
        </is>
      </c>
      <c r="C177" s="57" t="inlineStr">
        <is>
          <t>High tunnel</t>
        </is>
      </c>
      <c r="D177" s="59" t="n">
        <v>46245</v>
      </c>
      <c r="E177" s="58" t="inlineStr">
        <is>
          <t>N/A</t>
        </is>
      </c>
      <c r="F177" s="57" t="n">
        <v>1.028</v>
      </c>
      <c r="G177" s="57" t="n">
        <v>1.029</v>
      </c>
      <c r="H177" s="57" t="n">
        <v>1.025</v>
      </c>
      <c r="I177" s="57">
        <f>AVERAGE(F177,G177,H177)</f>
        <v/>
      </c>
      <c r="J177" s="57">
        <f>(143.254*(I177^3))-(648.67*(I177^2))+(1125.805*(I177))-620.389</f>
        <v/>
      </c>
      <c r="K177" s="57" t="inlineStr">
        <is>
          <t>25-005</t>
        </is>
      </c>
      <c r="L177" s="58" t="inlineStr">
        <is>
          <t>N/A</t>
        </is>
      </c>
    </row>
    <row r="178" ht="25" customHeight="1" s="55">
      <c r="A178" s="57" t="n">
        <v>176</v>
      </c>
      <c r="B178" s="57" t="inlineStr">
        <is>
          <t>UKYT-25-006</t>
        </is>
      </c>
      <c r="C178" s="57" t="inlineStr">
        <is>
          <t>High tunnel</t>
        </is>
      </c>
      <c r="D178" s="59" t="n">
        <v>46245</v>
      </c>
      <c r="E178" s="58" t="inlineStr">
        <is>
          <t>N/A</t>
        </is>
      </c>
      <c r="F178" s="57" t="n">
        <v>1.031</v>
      </c>
      <c r="G178" s="57" t="n">
        <v>1.025</v>
      </c>
      <c r="H178" s="57" t="n">
        <v>1.028</v>
      </c>
      <c r="I178" s="57">
        <f>AVERAGE(F178,G178,H178)</f>
        <v/>
      </c>
      <c r="J178" s="57">
        <f>(143.254*(I178^3))-(648.67*(I178^2))+(1125.805*(I178))-620.389</f>
        <v/>
      </c>
      <c r="K178" s="57" t="inlineStr">
        <is>
          <t>25-006</t>
        </is>
      </c>
      <c r="L178" s="58" t="inlineStr">
        <is>
          <t>N/A</t>
        </is>
      </c>
    </row>
    <row r="179" ht="25" customHeight="1" s="55">
      <c r="A179" s="57" t="n">
        <v>177</v>
      </c>
      <c r="B179" s="57" t="inlineStr">
        <is>
          <t>NC25240G</t>
        </is>
      </c>
      <c r="C179" s="57" t="inlineStr">
        <is>
          <t>Open field</t>
        </is>
      </c>
      <c r="D179" s="59" t="n">
        <v>46245</v>
      </c>
      <c r="E179" s="57" t="inlineStr">
        <is>
          <t>Second</t>
        </is>
      </c>
      <c r="F179" s="57" t="n">
        <v>1.022</v>
      </c>
      <c r="G179" s="57" t="n">
        <v>1.022</v>
      </c>
      <c r="H179" s="57" t="n">
        <v>1.022</v>
      </c>
      <c r="I179" s="57">
        <f>AVERAGE(F179,G179,H179)</f>
        <v/>
      </c>
      <c r="J179" s="57">
        <f>(143.254*(I179^3))-(648.67*(I179^2))+(1125.805*(I179))-620.389</f>
        <v/>
      </c>
      <c r="K179" s="57" t="inlineStr">
        <is>
          <t>NC25240G</t>
        </is>
      </c>
      <c r="L179" s="58" t="inlineStr">
        <is>
          <t>N/A</t>
        </is>
      </c>
    </row>
    <row r="180" ht="25" customHeight="1" s="55">
      <c r="A180" s="57" t="n">
        <v>178</v>
      </c>
      <c r="B180" s="57" t="inlineStr">
        <is>
          <t>UKYT-26-007</t>
        </is>
      </c>
      <c r="C180" s="57" t="inlineStr">
        <is>
          <t>Open field</t>
        </is>
      </c>
      <c r="D180" s="59" t="n">
        <v>46245</v>
      </c>
      <c r="E180" s="57" t="inlineStr">
        <is>
          <t>Second</t>
        </is>
      </c>
      <c r="F180" s="57" t="n">
        <v>1.026</v>
      </c>
      <c r="G180" s="57" t="n">
        <v>1.024</v>
      </c>
      <c r="H180" s="57" t="n">
        <v>1.022</v>
      </c>
      <c r="I180" s="57">
        <f>AVERAGE(F180,G180,H180)</f>
        <v/>
      </c>
      <c r="J180" s="57">
        <f>(143.254*(I180^3))-(648.67*(I180^2))+(1125.805*(I180))-620.389</f>
        <v/>
      </c>
      <c r="K180" s="57" t="inlineStr">
        <is>
          <t>26-007</t>
        </is>
      </c>
      <c r="L180" s="58" t="inlineStr">
        <is>
          <t>N/A</t>
        </is>
      </c>
    </row>
    <row r="181" ht="25" customHeight="1" s="55">
      <c r="A181" s="57" t="n">
        <v>179</v>
      </c>
      <c r="B181" s="57" t="inlineStr">
        <is>
          <t>UKYT-25-016</t>
        </is>
      </c>
      <c r="C181" s="57" t="inlineStr">
        <is>
          <t>Open field</t>
        </is>
      </c>
      <c r="D181" s="59" t="n">
        <v>46245</v>
      </c>
      <c r="E181" s="57" t="inlineStr">
        <is>
          <t>Second</t>
        </is>
      </c>
      <c r="F181" s="57" t="n">
        <v>1.032</v>
      </c>
      <c r="G181" s="57" t="n">
        <v>1.032</v>
      </c>
      <c r="H181" s="57" t="n">
        <v>1.032</v>
      </c>
      <c r="I181" s="57">
        <f>AVERAGE(F181,G181,H181)</f>
        <v/>
      </c>
      <c r="J181" s="57">
        <f>(143.254*(I181^3))-(648.67*(I181^2))+(1125.805*(I181))-620.389</f>
        <v/>
      </c>
      <c r="K181" s="57" t="inlineStr">
        <is>
          <t>25-016</t>
        </is>
      </c>
      <c r="L181" s="58" t="inlineStr">
        <is>
          <t>N/A</t>
        </is>
      </c>
    </row>
    <row r="182" ht="25" customHeight="1" s="55">
      <c r="A182" s="57" t="n">
        <v>180</v>
      </c>
      <c r="B182" s="57" t="inlineStr">
        <is>
          <t>264</t>
        </is>
      </c>
      <c r="C182" s="57" t="inlineStr">
        <is>
          <t>Open field</t>
        </is>
      </c>
      <c r="D182" s="59" t="n">
        <v>46245</v>
      </c>
      <c r="E182" s="57" t="inlineStr">
        <is>
          <t>Second</t>
        </is>
      </c>
      <c r="F182" s="57" t="n">
        <v>1.021</v>
      </c>
      <c r="G182" s="57" t="n">
        <v>1.021</v>
      </c>
      <c r="H182" s="57" t="n">
        <v>1.021</v>
      </c>
      <c r="I182" s="57">
        <f>AVERAGE(F182,G182,H182)</f>
        <v/>
      </c>
      <c r="J182" s="57">
        <f>(143.254*(I182^3))-(648.67*(I182^2))+(1125.805*(I182))-620.389</f>
        <v/>
      </c>
      <c r="K182" s="57" t="inlineStr">
        <is>
          <t>264 G</t>
        </is>
      </c>
      <c r="L182" s="58" t="inlineStr">
        <is>
          <t>N/A</t>
        </is>
      </c>
    </row>
    <row r="183" ht="25" customHeight="1" s="55">
      <c r="A183" s="57" t="n">
        <v>181</v>
      </c>
      <c r="B183" s="57" t="inlineStr">
        <is>
          <t>NC25208G</t>
        </is>
      </c>
      <c r="C183" s="57" t="inlineStr">
        <is>
          <t>Open field</t>
        </is>
      </c>
      <c r="D183" s="59" t="n">
        <v>46245</v>
      </c>
      <c r="E183" s="57" t="inlineStr">
        <is>
          <t>Second</t>
        </is>
      </c>
      <c r="F183" s="57" t="n">
        <v>1.023</v>
      </c>
      <c r="G183" s="57" t="n">
        <v>1.023</v>
      </c>
      <c r="H183" s="57" t="n">
        <v>1.023</v>
      </c>
      <c r="I183" s="57">
        <f>AVERAGE(F183,G183,H183)</f>
        <v/>
      </c>
      <c r="J183" s="57">
        <f>(143.254*(I183^3))-(648.67*(I183^2))+(1125.805*(I183))-620.389</f>
        <v/>
      </c>
      <c r="K183" s="57" t="inlineStr">
        <is>
          <t>NC25208G</t>
        </is>
      </c>
      <c r="L183" s="58" t="inlineStr">
        <is>
          <t>N/A</t>
        </is>
      </c>
    </row>
    <row r="184" ht="25" customHeight="1" s="55">
      <c r="A184" s="57" t="n">
        <v>182</v>
      </c>
      <c r="B184" s="57" t="inlineStr">
        <is>
          <t>NC25212G</t>
        </is>
      </c>
      <c r="C184" s="57" t="inlineStr">
        <is>
          <t>Open field</t>
        </is>
      </c>
      <c r="D184" s="59" t="n">
        <v>46245</v>
      </c>
      <c r="E184" s="57" t="inlineStr">
        <is>
          <t>Second</t>
        </is>
      </c>
      <c r="F184" s="57" t="n">
        <v>1.021</v>
      </c>
      <c r="G184" s="57" t="n">
        <v>1.021</v>
      </c>
      <c r="H184" s="57" t="n">
        <v>1.021</v>
      </c>
      <c r="I184" s="57">
        <f>AVERAGE(F184,G184,H184)</f>
        <v/>
      </c>
      <c r="J184" s="57">
        <f>(143.254*(I184^3))-(648.67*(I184^2))+(1125.805*(I184))-620.389</f>
        <v/>
      </c>
      <c r="K184" s="57" t="inlineStr">
        <is>
          <t>NC25212G</t>
        </is>
      </c>
      <c r="L184" s="58" t="inlineStr">
        <is>
          <t>N/A</t>
        </is>
      </c>
    </row>
    <row r="185" ht="25" customHeight="1" s="55">
      <c r="A185" s="57" t="n">
        <v>183</v>
      </c>
      <c r="B185" s="57" t="inlineStr">
        <is>
          <t>UKYT-26-033</t>
        </is>
      </c>
      <c r="C185" s="57" t="inlineStr">
        <is>
          <t>Open field</t>
        </is>
      </c>
      <c r="D185" s="59" t="n">
        <v>46245</v>
      </c>
      <c r="E185" s="57" t="inlineStr">
        <is>
          <t>Second</t>
        </is>
      </c>
      <c r="F185" s="57" t="n">
        <v>1.025</v>
      </c>
      <c r="G185" s="57" t="n">
        <v>1.025</v>
      </c>
      <c r="H185" s="57" t="n">
        <v>1.027</v>
      </c>
      <c r="I185" s="57">
        <f>AVERAGE(F185,G185,H185)</f>
        <v/>
      </c>
      <c r="J185" s="57">
        <f>(143.254*(I185^3))-(648.67*(I185^2))+(1125.805*(I185))-620.389</f>
        <v/>
      </c>
      <c r="K185" s="57" t="inlineStr">
        <is>
          <t>26-033</t>
        </is>
      </c>
      <c r="L185" s="58" t="inlineStr">
        <is>
          <t>N/A</t>
        </is>
      </c>
    </row>
    <row r="186" ht="25" customHeight="1" s="55">
      <c r="A186" s="57" t="n">
        <v>184</v>
      </c>
      <c r="B186" s="57" t="inlineStr">
        <is>
          <t>UKYT-26-034</t>
        </is>
      </c>
      <c r="C186" s="57" t="inlineStr">
        <is>
          <t>Open field</t>
        </is>
      </c>
      <c r="D186" s="59" t="n">
        <v>46245</v>
      </c>
      <c r="E186" s="57" t="inlineStr">
        <is>
          <t>Second</t>
        </is>
      </c>
      <c r="F186" s="57" t="n">
        <v>1.022</v>
      </c>
      <c r="G186" s="57" t="n">
        <v>1.025</v>
      </c>
      <c r="H186" s="57" t="n">
        <v>1.023</v>
      </c>
      <c r="I186" s="57">
        <f>AVERAGE(F186,G186,H186)</f>
        <v/>
      </c>
      <c r="J186" s="57">
        <f>(143.254*(I186^3))-(648.67*(I186^2))+(1125.805*(I186))-620.389</f>
        <v/>
      </c>
      <c r="K186" s="57" t="inlineStr">
        <is>
          <t>26-034</t>
        </is>
      </c>
      <c r="L186" s="58" t="inlineStr">
        <is>
          <t>N/A</t>
        </is>
      </c>
    </row>
    <row r="187" ht="25" customHeight="1" s="55">
      <c r="A187" s="57" t="n">
        <v>185</v>
      </c>
      <c r="B187" s="57" t="inlineStr">
        <is>
          <t>UKYT-25-012</t>
        </is>
      </c>
      <c r="C187" s="57" t="inlineStr">
        <is>
          <t>Open field</t>
        </is>
      </c>
      <c r="D187" s="59" t="n">
        <v>46245</v>
      </c>
      <c r="E187" s="57" t="inlineStr">
        <is>
          <t>Second</t>
        </is>
      </c>
      <c r="F187" s="57" t="n">
        <v>1.028</v>
      </c>
      <c r="G187" s="57" t="n">
        <v>1.027</v>
      </c>
      <c r="H187" s="57" t="n">
        <v>1.028</v>
      </c>
      <c r="I187" s="57">
        <f>AVERAGE(F187,G187,H187)</f>
        <v/>
      </c>
      <c r="J187" s="57">
        <f>(143.254*(I187^3))-(648.67*(I187^2))+(1125.805*(I187))-620.389</f>
        <v/>
      </c>
      <c r="K187" s="57" t="inlineStr">
        <is>
          <t>25-012</t>
        </is>
      </c>
      <c r="L187" s="58" t="inlineStr">
        <is>
          <t>N/A</t>
        </is>
      </c>
    </row>
    <row r="188" ht="25" customHeight="1" s="55">
      <c r="A188" s="57" t="n">
        <v>186</v>
      </c>
      <c r="B188" s="57" t="inlineStr">
        <is>
          <t>NC25203G</t>
        </is>
      </c>
      <c r="C188" s="57" t="inlineStr">
        <is>
          <t>Open field</t>
        </is>
      </c>
      <c r="D188" s="59" t="n">
        <v>46245</v>
      </c>
      <c r="E188" s="57" t="inlineStr">
        <is>
          <t>Second</t>
        </is>
      </c>
      <c r="F188" s="57" t="n">
        <v>1.022</v>
      </c>
      <c r="G188" s="57" t="n">
        <v>1.022</v>
      </c>
      <c r="H188" s="57" t="n">
        <v>1.023</v>
      </c>
      <c r="I188" s="57">
        <f>AVERAGE(F188,G188,H188)</f>
        <v/>
      </c>
      <c r="J188" s="57">
        <f>(143.254*(I188^3))-(648.67*(I188^2))+(1125.805*(I188))-620.389</f>
        <v/>
      </c>
      <c r="K188" s="57" t="inlineStr">
        <is>
          <t>NC 25203G</t>
        </is>
      </c>
      <c r="L188" s="58" t="inlineStr">
        <is>
          <t>N/A</t>
        </is>
      </c>
    </row>
    <row r="189" ht="25" customHeight="1" s="55">
      <c r="A189" s="57" t="n">
        <v>187</v>
      </c>
      <c r="B189" s="57" t="inlineStr">
        <is>
          <t>UKYT-26-006</t>
        </is>
      </c>
      <c r="C189" s="57" t="inlineStr">
        <is>
          <t>Open field</t>
        </is>
      </c>
      <c r="D189" s="59" t="n">
        <v>46245</v>
      </c>
      <c r="E189" s="57" t="inlineStr">
        <is>
          <t>Second</t>
        </is>
      </c>
      <c r="F189" s="57" t="n">
        <v>1.023</v>
      </c>
      <c r="G189" s="57" t="n">
        <v>1.022</v>
      </c>
      <c r="H189" s="57" t="n">
        <v>1.026</v>
      </c>
      <c r="I189" s="57">
        <f>AVERAGE(F189,G189,H189)</f>
        <v/>
      </c>
      <c r="J189" s="57">
        <f>(143.254*(I189^3))-(648.67*(I189^2))+(1125.805*(I189))-620.389</f>
        <v/>
      </c>
      <c r="K189" s="57" t="inlineStr">
        <is>
          <t>26-006</t>
        </is>
      </c>
      <c r="L189" s="58" t="inlineStr">
        <is>
          <t>N/A</t>
        </is>
      </c>
    </row>
    <row r="190" ht="25" customHeight="1" s="55">
      <c r="A190" s="57" t="n">
        <v>188</v>
      </c>
      <c r="B190" s="57" t="inlineStr">
        <is>
          <t>NC25306</t>
        </is>
      </c>
      <c r="C190" s="57" t="inlineStr">
        <is>
          <t>Open field</t>
        </is>
      </c>
      <c r="D190" s="59" t="n">
        <v>46245</v>
      </c>
      <c r="E190" s="57" t="inlineStr">
        <is>
          <t>Second</t>
        </is>
      </c>
      <c r="F190" s="57" t="n">
        <v>1.015</v>
      </c>
      <c r="G190" s="57" t="n">
        <v>1.012</v>
      </c>
      <c r="H190" s="57" t="n">
        <v>1.013</v>
      </c>
      <c r="I190" s="57">
        <f>AVERAGE(F190,G190,H190)</f>
        <v/>
      </c>
      <c r="J190" s="57">
        <f>(143.254*(I190^3))-(648.67*(I190^2))+(1125.805*(I190))-620.389</f>
        <v/>
      </c>
      <c r="K190" s="57" t="inlineStr">
        <is>
          <t>NC25306</t>
        </is>
      </c>
      <c r="L190" s="58" t="inlineStr">
        <is>
          <t>N/A</t>
        </is>
      </c>
    </row>
    <row r="191" ht="25" customHeight="1" s="55">
      <c r="A191" s="57" t="n">
        <v>189</v>
      </c>
      <c r="B191" s="57" t="inlineStr">
        <is>
          <t>UKYT-26-032</t>
        </is>
      </c>
      <c r="C191" s="57" t="inlineStr">
        <is>
          <t>Open field</t>
        </is>
      </c>
      <c r="D191" s="59" t="n">
        <v>46245</v>
      </c>
      <c r="E191" s="57" t="inlineStr">
        <is>
          <t>Second</t>
        </is>
      </c>
      <c r="F191" s="57" t="n">
        <v>1.02</v>
      </c>
      <c r="G191" s="57" t="n">
        <v>1.02</v>
      </c>
      <c r="H191" s="57" t="n">
        <v>1.02</v>
      </c>
      <c r="I191" s="57">
        <f>AVERAGE(F191,G191,H191)</f>
        <v/>
      </c>
      <c r="J191" s="57">
        <f>(143.254*(I191^3))-(648.67*(I191^2))+(1125.805*(I191))-620.389</f>
        <v/>
      </c>
      <c r="K191" s="57" t="inlineStr">
        <is>
          <t>26-032</t>
        </is>
      </c>
      <c r="L191" s="58" t="inlineStr">
        <is>
          <t>N/A</t>
        </is>
      </c>
    </row>
    <row r="192" ht="25" customHeight="1" s="55">
      <c r="A192" s="57" t="n">
        <v>190</v>
      </c>
      <c r="B192" s="57" t="inlineStr">
        <is>
          <t>UKYT-25-004</t>
        </is>
      </c>
      <c r="C192" s="57" t="inlineStr">
        <is>
          <t>Open field</t>
        </is>
      </c>
      <c r="D192" s="59" t="n">
        <v>46245</v>
      </c>
      <c r="E192" s="57" t="inlineStr">
        <is>
          <t>Second</t>
        </is>
      </c>
      <c r="F192" s="57" t="n">
        <v>1.024</v>
      </c>
      <c r="G192" s="57" t="n">
        <v>1.024</v>
      </c>
      <c r="H192" s="57" t="n">
        <v>1.024</v>
      </c>
      <c r="I192" s="57">
        <f>AVERAGE(F192,G192,H192)</f>
        <v/>
      </c>
      <c r="J192" s="57">
        <f>(143.254*(I192^3))-(648.67*(I192^2))+(1125.805*(I192))-620.389</f>
        <v/>
      </c>
      <c r="K192" s="57" t="inlineStr">
        <is>
          <t>25-004</t>
        </is>
      </c>
      <c r="L192" s="58" t="inlineStr">
        <is>
          <t>N/A</t>
        </is>
      </c>
    </row>
    <row r="193" ht="25" customHeight="1" s="55">
      <c r="A193" s="57" t="n">
        <v>191</v>
      </c>
      <c r="B193" s="57" t="inlineStr">
        <is>
          <t>UKYT-26-036</t>
        </is>
      </c>
      <c r="C193" s="57" t="inlineStr">
        <is>
          <t>Open field</t>
        </is>
      </c>
      <c r="D193" s="59" t="n">
        <v>46245</v>
      </c>
      <c r="E193" s="57" t="inlineStr">
        <is>
          <t>Second</t>
        </is>
      </c>
      <c r="F193" s="57" t="n">
        <v>1.027</v>
      </c>
      <c r="G193" s="57" t="n">
        <v>1.028</v>
      </c>
      <c r="H193" s="57" t="n">
        <v>1.028</v>
      </c>
      <c r="I193" s="57">
        <f>AVERAGE(F193,G193,H193)</f>
        <v/>
      </c>
      <c r="J193" s="57">
        <f>(143.254*(I193^3))-(648.67*(I193^2))+(1125.805*(I193))-620.389</f>
        <v/>
      </c>
      <c r="K193" s="57" t="inlineStr">
        <is>
          <t>26-036</t>
        </is>
      </c>
      <c r="L193" s="58" t="inlineStr">
        <is>
          <t>N/A</t>
        </is>
      </c>
    </row>
    <row r="194" ht="25" customHeight="1" s="55">
      <c r="A194" s="57" t="n">
        <v>192</v>
      </c>
      <c r="B194" s="57" t="inlineStr">
        <is>
          <t>UKYT-26-022</t>
        </is>
      </c>
      <c r="C194" s="57" t="inlineStr">
        <is>
          <t>Open field</t>
        </is>
      </c>
      <c r="D194" s="59" t="n">
        <v>46245</v>
      </c>
      <c r="E194" s="57" t="inlineStr">
        <is>
          <t>Second</t>
        </is>
      </c>
      <c r="F194" s="57" t="n">
        <v>1.018</v>
      </c>
      <c r="G194" s="57" t="n">
        <v>1.018</v>
      </c>
      <c r="H194" s="57" t="n">
        <v>1.018</v>
      </c>
      <c r="I194" s="57">
        <f>AVERAGE(F194,G194,H194)</f>
        <v/>
      </c>
      <c r="J194" s="57">
        <f>(143.254*(I194^3))-(648.67*(I194^2))+(1125.805*(I194))-620.389</f>
        <v/>
      </c>
      <c r="K194" s="57" t="inlineStr">
        <is>
          <t>26-022</t>
        </is>
      </c>
      <c r="L194" s="58" t="inlineStr">
        <is>
          <t>N/A</t>
        </is>
      </c>
    </row>
    <row r="195" ht="25" customHeight="1" s="55">
      <c r="A195" s="57" t="n">
        <v>193</v>
      </c>
      <c r="B195" s="57" t="inlineStr">
        <is>
          <t>Maglia Rosa Cherry</t>
        </is>
      </c>
      <c r="C195" s="57" t="inlineStr">
        <is>
          <t>Open field</t>
        </is>
      </c>
      <c r="D195" s="59" t="n">
        <v>46245</v>
      </c>
      <c r="E195" s="57" t="inlineStr">
        <is>
          <t>Second</t>
        </is>
      </c>
      <c r="F195" s="57" t="n">
        <v>1.027</v>
      </c>
      <c r="G195" s="57" t="n">
        <v>1.029</v>
      </c>
      <c r="H195" s="57" t="n">
        <v>1.03</v>
      </c>
      <c r="I195" s="57">
        <f>AVERAGE(F195,G195,H195)</f>
        <v/>
      </c>
      <c r="J195" s="57">
        <f>(143.254*(I195^3))-(648.67*(I195^2))+(1125.805*(I195))-620.389</f>
        <v/>
      </c>
      <c r="K195" s="57" t="inlineStr">
        <is>
          <t>Maglia R Cherry</t>
        </is>
      </c>
      <c r="L195" s="58" t="inlineStr">
        <is>
          <t>N/A</t>
        </is>
      </c>
    </row>
    <row r="196" ht="25" customHeight="1" s="55">
      <c r="A196" s="57" t="n">
        <v>194</v>
      </c>
      <c r="B196" s="57" t="inlineStr">
        <is>
          <t>UKYT-25-001</t>
        </is>
      </c>
      <c r="C196" s="57" t="inlineStr">
        <is>
          <t>Open field</t>
        </is>
      </c>
      <c r="D196" s="59" t="n">
        <v>46245</v>
      </c>
      <c r="E196" s="57" t="inlineStr">
        <is>
          <t>Second</t>
        </is>
      </c>
      <c r="F196" s="57" t="n">
        <v>1.03</v>
      </c>
      <c r="G196" s="57" t="n">
        <v>1.029</v>
      </c>
      <c r="H196" s="57" t="n">
        <v>1.03</v>
      </c>
      <c r="I196" s="57">
        <f>AVERAGE(F196,G196,H196)</f>
        <v/>
      </c>
      <c r="J196" s="57">
        <f>(143.254*(I196^3))-(648.67*(I196^2))+(1125.805*(I196))-620.389</f>
        <v/>
      </c>
      <c r="K196" s="57" t="inlineStr">
        <is>
          <t>25-001 R3</t>
        </is>
      </c>
      <c r="L196" s="57" t="inlineStr">
        <is>
          <t>R3</t>
        </is>
      </c>
    </row>
    <row r="197" ht="25" customHeight="1" s="55">
      <c r="A197" s="57" t="n">
        <v>195</v>
      </c>
      <c r="B197" s="57" t="inlineStr">
        <is>
          <t>UKYT-25-241</t>
        </is>
      </c>
      <c r="C197" s="57" t="inlineStr">
        <is>
          <t>Open field</t>
        </is>
      </c>
      <c r="D197" s="59" t="n">
        <v>46245</v>
      </c>
      <c r="E197" s="57" t="inlineStr">
        <is>
          <t>Second</t>
        </is>
      </c>
      <c r="F197" s="57" t="n">
        <v>1.02</v>
      </c>
      <c r="G197" s="57" t="n">
        <v>1.021</v>
      </c>
      <c r="H197" s="57" t="n">
        <v>1.02</v>
      </c>
      <c r="I197" s="57">
        <f>AVERAGE(F197,G197,H197)</f>
        <v/>
      </c>
      <c r="J197" s="57">
        <f>(143.254*(I197^3))-(648.67*(I197^2))+(1125.805*(I197))-620.389</f>
        <v/>
      </c>
      <c r="K197" s="57" t="inlineStr">
        <is>
          <t>25241 G</t>
        </is>
      </c>
      <c r="L197" s="58" t="inlineStr">
        <is>
          <t>N/A</t>
        </is>
      </c>
    </row>
    <row r="198" ht="25" customHeight="1" s="55">
      <c r="A198" s="57" t="n">
        <v>196</v>
      </c>
      <c r="B198" s="57" t="inlineStr">
        <is>
          <t>UKYT-26-030</t>
        </is>
      </c>
      <c r="C198" s="57" t="inlineStr">
        <is>
          <t>Open field</t>
        </is>
      </c>
      <c r="D198" s="59" t="n">
        <v>46245</v>
      </c>
      <c r="E198" s="57" t="inlineStr">
        <is>
          <t>Second</t>
        </is>
      </c>
      <c r="F198" s="57" t="n">
        <v>1.026</v>
      </c>
      <c r="G198" s="57" t="n">
        <v>1.026</v>
      </c>
      <c r="H198" s="57" t="n">
        <v>1.026</v>
      </c>
      <c r="I198" s="57">
        <f>AVERAGE(F198,G198,H198)</f>
        <v/>
      </c>
      <c r="J198" s="57">
        <f>(143.254*(I198^3))-(648.67*(I198^2))+(1125.805*(I198))-620.389</f>
        <v/>
      </c>
      <c r="K198" s="57" t="inlineStr">
        <is>
          <t>26-030</t>
        </is>
      </c>
      <c r="L198" s="58" t="inlineStr">
        <is>
          <t>N/A</t>
        </is>
      </c>
    </row>
    <row r="199" ht="25" customHeight="1" s="55">
      <c r="A199" s="57" t="n">
        <v>197</v>
      </c>
      <c r="B199" s="57" t="inlineStr">
        <is>
          <t>NC25202G</t>
        </is>
      </c>
      <c r="C199" s="57" t="inlineStr">
        <is>
          <t>Open field</t>
        </is>
      </c>
      <c r="D199" s="59" t="n">
        <v>46245</v>
      </c>
      <c r="E199" s="57" t="inlineStr">
        <is>
          <t>Second</t>
        </is>
      </c>
      <c r="F199" s="57" t="n">
        <v>1.028</v>
      </c>
      <c r="G199" s="57" t="n">
        <v>1.028</v>
      </c>
      <c r="H199" s="57" t="n">
        <v>1.028</v>
      </c>
      <c r="I199" s="57">
        <f>AVERAGE(F199,G199,H199)</f>
        <v/>
      </c>
      <c r="J199" s="57">
        <f>(143.254*(I199^3))-(648.67*(I199^2))+(1125.805*(I199))-620.389</f>
        <v/>
      </c>
      <c r="K199" s="57" t="inlineStr">
        <is>
          <t>NC25202G</t>
        </is>
      </c>
      <c r="L199" s="58" t="inlineStr">
        <is>
          <t>N/A</t>
        </is>
      </c>
    </row>
    <row r="200" ht="25" customHeight="1" s="55">
      <c r="A200" s="57" t="n">
        <v>198</v>
      </c>
      <c r="B200" s="57" t="inlineStr">
        <is>
          <t>UKYT-26-035</t>
        </is>
      </c>
      <c r="C200" s="57" t="inlineStr">
        <is>
          <t>Open field</t>
        </is>
      </c>
      <c r="D200" s="59" t="n">
        <v>46245</v>
      </c>
      <c r="E200" s="57" t="inlineStr">
        <is>
          <t>Second</t>
        </is>
      </c>
      <c r="F200" s="57" t="n">
        <v>1.027</v>
      </c>
      <c r="G200" s="57" t="n">
        <v>1.027</v>
      </c>
      <c r="H200" s="57" t="n">
        <v>1.027</v>
      </c>
      <c r="I200" s="57">
        <f>AVERAGE(F200,G200,H200)</f>
        <v/>
      </c>
      <c r="J200" s="57">
        <f>(143.254*(I200^3))-(648.67*(I200^2))+(1125.805*(I200))-620.389</f>
        <v/>
      </c>
      <c r="K200" s="57" t="inlineStr">
        <is>
          <t>26-035</t>
        </is>
      </c>
      <c r="L200" s="58" t="inlineStr">
        <is>
          <t>N/A</t>
        </is>
      </c>
    </row>
    <row r="201" ht="25" customHeight="1" s="55">
      <c r="A201" s="57" t="n">
        <v>199</v>
      </c>
      <c r="B201" s="57" t="inlineStr">
        <is>
          <t>NC25317</t>
        </is>
      </c>
      <c r="C201" s="57" t="inlineStr">
        <is>
          <t>Open field</t>
        </is>
      </c>
      <c r="D201" s="59" t="n">
        <v>46245</v>
      </c>
      <c r="E201" s="57" t="inlineStr">
        <is>
          <t>Second</t>
        </is>
      </c>
      <c r="F201" s="57" t="n">
        <v>1.022</v>
      </c>
      <c r="G201" s="57" t="n">
        <v>1.021</v>
      </c>
      <c r="H201" s="57" t="n">
        <v>1.02</v>
      </c>
      <c r="I201" s="57">
        <f>AVERAGE(F201,G201,H201)</f>
        <v/>
      </c>
      <c r="J201" s="57">
        <f>(143.254*(I201^3))-(648.67*(I201^2))+(1125.805*(I201))-620.389</f>
        <v/>
      </c>
      <c r="K201" s="57" t="inlineStr">
        <is>
          <t>NC 25317</t>
        </is>
      </c>
      <c r="L201" s="58" t="inlineStr">
        <is>
          <t>N/A</t>
        </is>
      </c>
    </row>
    <row r="202" ht="25" customHeight="1" s="55">
      <c r="A202" s="57" t="n">
        <v>200</v>
      </c>
      <c r="B202" s="57" t="inlineStr">
        <is>
          <t>UKYT-26-021</t>
        </is>
      </c>
      <c r="C202" s="57" t="inlineStr">
        <is>
          <t>Open field</t>
        </is>
      </c>
      <c r="D202" s="59" t="n">
        <v>46245</v>
      </c>
      <c r="E202" s="57" t="inlineStr">
        <is>
          <t>Second</t>
        </is>
      </c>
      <c r="F202" s="57" t="n">
        <v>1.021</v>
      </c>
      <c r="G202" s="57" t="n">
        <v>1.021</v>
      </c>
      <c r="H202" s="57" t="n">
        <v>1.021</v>
      </c>
      <c r="I202" s="57">
        <f>AVERAGE(F202,G202,H202)</f>
        <v/>
      </c>
      <c r="J202" s="57">
        <f>(143.254*(I202^3))-(648.67*(I202^2))+(1125.805*(I202))-620.389</f>
        <v/>
      </c>
      <c r="K202" s="57" t="inlineStr">
        <is>
          <t xml:space="preserve">26-021 </t>
        </is>
      </c>
      <c r="L202" s="58" t="inlineStr">
        <is>
          <t>N/A</t>
        </is>
      </c>
    </row>
    <row r="203" ht="25" customHeight="1" s="55">
      <c r="A203" s="57" t="n">
        <v>201</v>
      </c>
      <c r="B203" s="57" t="inlineStr">
        <is>
          <t>UKYT-25-014</t>
        </is>
      </c>
      <c r="C203" s="57" t="inlineStr">
        <is>
          <t>Open field</t>
        </is>
      </c>
      <c r="D203" s="59" t="n">
        <v>46245</v>
      </c>
      <c r="E203" s="57" t="inlineStr">
        <is>
          <t>Second</t>
        </is>
      </c>
      <c r="F203" s="57" t="n">
        <v>1.032</v>
      </c>
      <c r="G203" s="57" t="n">
        <v>1.032</v>
      </c>
      <c r="H203" s="57" t="n">
        <v>1.032</v>
      </c>
      <c r="I203" s="57">
        <f>AVERAGE(F203,G203,H203)</f>
        <v/>
      </c>
      <c r="J203" s="57">
        <f>(143.254*(I203^3))-(648.67*(I203^2))+(1125.805*(I203))-620.389</f>
        <v/>
      </c>
      <c r="K203" s="57" t="inlineStr">
        <is>
          <t>25-014</t>
        </is>
      </c>
      <c r="L203" s="58" t="inlineStr">
        <is>
          <t>N/A</t>
        </is>
      </c>
    </row>
    <row r="204" ht="25" customHeight="1" s="55">
      <c r="A204" s="57" t="n">
        <v>202</v>
      </c>
      <c r="B204" s="57" t="inlineStr">
        <is>
          <t>UKYT-25-230</t>
        </is>
      </c>
      <c r="C204" s="57" t="inlineStr">
        <is>
          <t>Open field</t>
        </is>
      </c>
      <c r="D204" s="59" t="n">
        <v>46245</v>
      </c>
      <c r="E204" s="57" t="inlineStr">
        <is>
          <t>Second</t>
        </is>
      </c>
      <c r="F204" s="57" t="n">
        <v>1.019</v>
      </c>
      <c r="G204" s="57" t="n">
        <v>1.021</v>
      </c>
      <c r="H204" s="57" t="n">
        <v>1.017</v>
      </c>
      <c r="I204" s="57">
        <f>AVERAGE(F204,G204,H204)</f>
        <v/>
      </c>
      <c r="J204" s="57">
        <f>(143.254*(I204^3))-(648.67*(I204^2))+(1125.805*(I204))-620.389</f>
        <v/>
      </c>
      <c r="K204" s="57" t="inlineStr">
        <is>
          <t>25230 G</t>
        </is>
      </c>
      <c r="L204" s="58" t="inlineStr">
        <is>
          <t>N/A</t>
        </is>
      </c>
    </row>
    <row r="205" ht="25" customHeight="1" s="55">
      <c r="A205" s="57" t="n">
        <v>203</v>
      </c>
      <c r="B205" s="57" t="inlineStr">
        <is>
          <t>UKYT-26-028</t>
        </is>
      </c>
      <c r="C205" s="57" t="inlineStr">
        <is>
          <t>Open field</t>
        </is>
      </c>
      <c r="D205" s="59" t="n">
        <v>46245</v>
      </c>
      <c r="E205" s="57" t="inlineStr">
        <is>
          <t>Second</t>
        </is>
      </c>
      <c r="F205" s="57" t="n">
        <v>1.026</v>
      </c>
      <c r="G205" s="57" t="n">
        <v>1.026</v>
      </c>
      <c r="H205" s="57" t="n">
        <v>1.026</v>
      </c>
      <c r="I205" s="57">
        <f>AVERAGE(F205,G205,H205)</f>
        <v/>
      </c>
      <c r="J205" s="57">
        <f>(143.254*(I205^3))-(648.67*(I205^2))+(1125.805*(I205))-620.389</f>
        <v/>
      </c>
      <c r="K205" s="57" t="inlineStr">
        <is>
          <t>26-028</t>
        </is>
      </c>
      <c r="L205" s="58" t="inlineStr">
        <is>
          <t>N/A</t>
        </is>
      </c>
    </row>
    <row r="206" ht="25" customHeight="1" s="55">
      <c r="A206" s="57" t="n">
        <v>204</v>
      </c>
      <c r="B206" s="57" t="inlineStr">
        <is>
          <t>NC25209G</t>
        </is>
      </c>
      <c r="C206" s="57" t="inlineStr">
        <is>
          <t>Open field</t>
        </is>
      </c>
      <c r="D206" s="59" t="n">
        <v>46245</v>
      </c>
      <c r="E206" s="57" t="inlineStr">
        <is>
          <t>Second</t>
        </is>
      </c>
      <c r="F206" s="57" t="n">
        <v>1.02</v>
      </c>
      <c r="G206" s="57" t="n">
        <v>1.022</v>
      </c>
      <c r="H206" s="57" t="n">
        <v>1.02</v>
      </c>
      <c r="I206" s="57">
        <f>AVERAGE(F207,G207,H207)</f>
        <v/>
      </c>
      <c r="J206" s="57">
        <f>(143.254*(I207^3))-(648.67*(I207^2))+(1125.805*(I207))-620.389</f>
        <v/>
      </c>
      <c r="K206" s="57" t="inlineStr">
        <is>
          <t>NC 25209 G</t>
        </is>
      </c>
      <c r="L206" s="58" t="inlineStr">
        <is>
          <t>N/A</t>
        </is>
      </c>
    </row>
    <row r="207" ht="25" customHeight="1" s="55">
      <c r="A207" s="57" t="n">
        <v>205</v>
      </c>
      <c r="B207" s="57" t="inlineStr">
        <is>
          <t>UKYT-26-003</t>
        </is>
      </c>
      <c r="C207" s="57" t="inlineStr">
        <is>
          <t>Open field</t>
        </is>
      </c>
      <c r="D207" s="59" t="n">
        <v>46245</v>
      </c>
      <c r="E207" s="57" t="inlineStr">
        <is>
          <t>Second</t>
        </is>
      </c>
      <c r="F207" s="57" t="n">
        <v>1.02</v>
      </c>
      <c r="G207" s="57" t="n">
        <v>1.019</v>
      </c>
      <c r="H207" s="57" t="n">
        <v>1.016</v>
      </c>
      <c r="I207" s="57">
        <f>AVERAGE(F208,G208,H208)</f>
        <v/>
      </c>
      <c r="J207" s="57">
        <f>(143.254*(I208^3))-(648.67*(I208^2))+(1125.805*(I208))-620.389</f>
        <v/>
      </c>
      <c r="K207" s="57" t="inlineStr">
        <is>
          <t>26-03</t>
        </is>
      </c>
      <c r="L207" s="58" t="inlineStr">
        <is>
          <t>N/A</t>
        </is>
      </c>
    </row>
    <row r="208" ht="25" customHeight="1" s="55">
      <c r="A208" s="57" t="n">
        <v>206</v>
      </c>
      <c r="B208" s="57" t="inlineStr">
        <is>
          <t>Peace Vine</t>
        </is>
      </c>
      <c r="C208" s="57" t="inlineStr">
        <is>
          <t>Open field</t>
        </is>
      </c>
      <c r="D208" s="59" t="n">
        <v>46245</v>
      </c>
      <c r="E208" s="57" t="inlineStr">
        <is>
          <t>Second</t>
        </is>
      </c>
      <c r="F208" s="57" t="n">
        <v>1.017</v>
      </c>
      <c r="G208" s="57" t="n">
        <v>1.013</v>
      </c>
      <c r="H208" s="57" t="n">
        <v>1.018</v>
      </c>
      <c r="I208" s="57">
        <f>AVERAGE(F209,G209,H209)</f>
        <v/>
      </c>
      <c r="J208" s="57">
        <f>(143.254*(I209^3))-(648.67*(I209^2))+(1125.805*(I209))-620.389</f>
        <v/>
      </c>
      <c r="K208" s="57" t="inlineStr">
        <is>
          <t>PEACE VINE</t>
        </is>
      </c>
      <c r="L208" s="58" t="inlineStr">
        <is>
          <t>N/A</t>
        </is>
      </c>
    </row>
    <row r="209" ht="25" customHeight="1" s="55">
      <c r="A209" s="57" t="n">
        <v>207</v>
      </c>
      <c r="B209" s="57" t="inlineStr">
        <is>
          <t>UKYT-26-038</t>
        </is>
      </c>
      <c r="C209" s="57" t="inlineStr">
        <is>
          <t>Open field</t>
        </is>
      </c>
      <c r="D209" s="59" t="n">
        <v>46245</v>
      </c>
      <c r="E209" s="57" t="inlineStr">
        <is>
          <t>Second</t>
        </is>
      </c>
      <c r="F209" s="57" t="n">
        <v>1.031</v>
      </c>
      <c r="G209" s="57" t="n">
        <v>1.031</v>
      </c>
      <c r="H209" s="57" t="n">
        <v>1.032</v>
      </c>
      <c r="I209" s="57">
        <f>AVERAGE(F210,G210,H210)</f>
        <v/>
      </c>
      <c r="J209" s="57">
        <f>(143.254*(I210^3))-(648.67*(I210^2))+(1125.805*(I210))-620.389</f>
        <v/>
      </c>
      <c r="K209" s="57" t="inlineStr">
        <is>
          <t>26-038</t>
        </is>
      </c>
      <c r="L209" s="58" t="inlineStr">
        <is>
          <t>N/A</t>
        </is>
      </c>
    </row>
    <row r="210" ht="25" customHeight="1" s="55">
      <c r="A210" s="57" t="n">
        <v>208</v>
      </c>
      <c r="B210" s="57" t="inlineStr">
        <is>
          <t>NC24271G</t>
        </is>
      </c>
      <c r="C210" s="57" t="inlineStr">
        <is>
          <t>Open field</t>
        </is>
      </c>
      <c r="D210" s="59" t="n">
        <v>46245</v>
      </c>
      <c r="E210" s="57" t="inlineStr">
        <is>
          <t>Second</t>
        </is>
      </c>
      <c r="F210" s="57" t="n">
        <v>1.02</v>
      </c>
      <c r="G210" s="57" t="n">
        <v>1.02</v>
      </c>
      <c r="H210" s="57" t="n">
        <v>1.018</v>
      </c>
      <c r="I210" s="57">
        <f>AVERAGE(F211,G211,H211)</f>
        <v/>
      </c>
      <c r="J210" s="57">
        <f>(143.254*(I211^3))-(648.67*(I211^2))+(1125.805*(I211))-620.389</f>
        <v/>
      </c>
      <c r="K210" s="57" t="inlineStr">
        <is>
          <t>NC 24271 G</t>
        </is>
      </c>
      <c r="L210" s="58" t="inlineStr">
        <is>
          <t>N/A</t>
        </is>
      </c>
    </row>
    <row r="211" ht="25" customHeight="1" s="55">
      <c r="A211" s="57" t="n">
        <v>209</v>
      </c>
      <c r="B211" s="57" t="inlineStr">
        <is>
          <t>UKYT-26-032</t>
        </is>
      </c>
      <c r="C211" s="57" t="inlineStr">
        <is>
          <t>Open field</t>
        </is>
      </c>
      <c r="D211" s="59" t="n">
        <v>46252</v>
      </c>
      <c r="E211" s="57" t="inlineStr">
        <is>
          <t>Second</t>
        </is>
      </c>
      <c r="F211" s="57" t="n">
        <v>1.023</v>
      </c>
      <c r="G211" s="57" t="n">
        <v>1.023</v>
      </c>
      <c r="H211" s="57" t="n">
        <v>1.022</v>
      </c>
      <c r="I211" s="57">
        <f>AVERAGE(F212,G212,H212)</f>
        <v/>
      </c>
      <c r="J211" s="57">
        <f>(143.254*(I212^3))-(648.67*(I212^2))+(1125.805*(I212))-620.389</f>
        <v/>
      </c>
      <c r="K211" s="57" t="inlineStr">
        <is>
          <t>26-032</t>
        </is>
      </c>
      <c r="L211" s="58" t="inlineStr">
        <is>
          <t>N/A</t>
        </is>
      </c>
    </row>
    <row r="212" ht="25" customHeight="1" s="55">
      <c r="A212" s="57" t="n">
        <v>210</v>
      </c>
      <c r="B212" s="57" t="inlineStr">
        <is>
          <t>Mountain Fresh</t>
        </is>
      </c>
      <c r="C212" s="57" t="inlineStr">
        <is>
          <t>Open field</t>
        </is>
      </c>
      <c r="D212" s="59" t="n">
        <v>46252</v>
      </c>
      <c r="E212" s="57" t="inlineStr">
        <is>
          <t>Second</t>
        </is>
      </c>
      <c r="F212" s="57" t="n">
        <v>1.02</v>
      </c>
      <c r="G212" s="57" t="n">
        <v>1.021</v>
      </c>
      <c r="H212" s="57" t="n">
        <v>1.02</v>
      </c>
      <c r="I212" s="57">
        <f>AVERAGE(F213,G213,H213)</f>
        <v/>
      </c>
      <c r="J212" s="57">
        <f>(143.254*(I213^3))-(648.67*(I213^2))+(1125.805*(I213))-620.389</f>
        <v/>
      </c>
      <c r="K212" s="57" t="inlineStr">
        <is>
          <t>Mt. Fresh</t>
        </is>
      </c>
      <c r="L212" s="58" t="inlineStr">
        <is>
          <t>N/A</t>
        </is>
      </c>
    </row>
    <row r="213" ht="25" customHeight="1" s="55">
      <c r="A213" s="57" t="n">
        <v>211</v>
      </c>
      <c r="B213" s="57" t="inlineStr">
        <is>
          <t>UKYT-26-008</t>
        </is>
      </c>
      <c r="C213" s="57" t="inlineStr">
        <is>
          <t>Open field</t>
        </is>
      </c>
      <c r="D213" s="59" t="n">
        <v>46252</v>
      </c>
      <c r="E213" s="57" t="inlineStr">
        <is>
          <t>Second</t>
        </is>
      </c>
      <c r="F213" s="57" t="n">
        <v>1.023</v>
      </c>
      <c r="G213" s="57" t="n">
        <v>1.023</v>
      </c>
      <c r="H213" s="57" t="n">
        <v>1.023</v>
      </c>
      <c r="I213" s="57">
        <f>AVERAGE(F214,G214,H214)</f>
        <v/>
      </c>
      <c r="J213" s="57">
        <f>(143.254*(I214^3))-(648.67*(I214^2))+(1125.805*(I214))-620.389</f>
        <v/>
      </c>
      <c r="K213" s="57" t="inlineStr">
        <is>
          <t>26-008</t>
        </is>
      </c>
      <c r="L213" s="58" t="inlineStr">
        <is>
          <t>N/A</t>
        </is>
      </c>
    </row>
    <row r="214" ht="25" customHeight="1" s="55">
      <c r="A214" s="57" t="n">
        <v>212</v>
      </c>
      <c r="B214" s="57" t="inlineStr">
        <is>
          <t>UKYT-26-038</t>
        </is>
      </c>
      <c r="C214" s="57" t="inlineStr">
        <is>
          <t>Open field</t>
        </is>
      </c>
      <c r="D214" s="59" t="n">
        <v>46252</v>
      </c>
      <c r="E214" s="57" t="inlineStr">
        <is>
          <t>Second</t>
        </is>
      </c>
      <c r="F214" s="57" t="n">
        <v>1.021</v>
      </c>
      <c r="G214" s="57" t="n">
        <v>1.021</v>
      </c>
      <c r="H214" s="57" t="n">
        <v>1.021</v>
      </c>
      <c r="I214" s="57">
        <f>AVERAGE(F215,G215,H215)</f>
        <v/>
      </c>
      <c r="J214" s="57">
        <f>(143.254*(I215^3))-(648.67*(I215^2))+(1125.805*(I215))-620.389</f>
        <v/>
      </c>
      <c r="K214" s="57" t="inlineStr">
        <is>
          <t>26-038</t>
        </is>
      </c>
      <c r="L214" s="58" t="inlineStr">
        <is>
          <t>N/A</t>
        </is>
      </c>
    </row>
    <row r="215" ht="25" customHeight="1" s="55">
      <c r="A215" s="57" t="n">
        <v>213</v>
      </c>
      <c r="B215" s="57" t="inlineStr">
        <is>
          <t>Peace Vine</t>
        </is>
      </c>
      <c r="C215" s="57" t="inlineStr">
        <is>
          <t>Open field</t>
        </is>
      </c>
      <c r="D215" s="59" t="n">
        <v>46252</v>
      </c>
      <c r="E215" s="57" t="inlineStr">
        <is>
          <t>Second</t>
        </is>
      </c>
      <c r="F215" s="57" t="n">
        <v>1.019</v>
      </c>
      <c r="G215" s="57" t="n">
        <v>1.02</v>
      </c>
      <c r="H215" s="57" t="n">
        <v>1.02</v>
      </c>
      <c r="I215" s="57">
        <f>AVERAGE(F216,G216,H216)</f>
        <v/>
      </c>
      <c r="J215" s="57">
        <f>(143.254*(I216^3))-(648.67*(I216^2))+(1125.805*(I216))-620.389</f>
        <v/>
      </c>
      <c r="K215" s="57" t="inlineStr">
        <is>
          <t>Peachvine Ch.</t>
        </is>
      </c>
      <c r="L215" s="58" t="inlineStr">
        <is>
          <t>N/A</t>
        </is>
      </c>
    </row>
    <row r="216" ht="25" customHeight="1" s="55">
      <c r="A216" s="57" t="n">
        <v>214</v>
      </c>
      <c r="B216" s="57" t="inlineStr">
        <is>
          <t>UKYT-26-037</t>
        </is>
      </c>
      <c r="C216" s="57" t="inlineStr">
        <is>
          <t>Open field</t>
        </is>
      </c>
      <c r="D216" s="59" t="n">
        <v>46252</v>
      </c>
      <c r="E216" s="57" t="inlineStr">
        <is>
          <t>Second</t>
        </is>
      </c>
      <c r="F216" s="57" t="n">
        <v>1.027</v>
      </c>
      <c r="G216" s="57" t="n">
        <v>1.029</v>
      </c>
      <c r="H216" s="57" t="n">
        <v>1.025</v>
      </c>
      <c r="I216" s="57">
        <f>AVERAGE(F217,G217,H217)</f>
        <v/>
      </c>
      <c r="J216" s="57">
        <f>(143.254*(I217^3))-(648.67*(I217^2))+(1125.805*(I217))-620.389</f>
        <v/>
      </c>
      <c r="K216" s="57" t="inlineStr">
        <is>
          <t>26-037</t>
        </is>
      </c>
      <c r="L216" s="58" t="inlineStr">
        <is>
          <t>N/A</t>
        </is>
      </c>
    </row>
    <row r="217" ht="25" customHeight="1" s="55">
      <c r="A217" s="57" t="n">
        <v>215</v>
      </c>
      <c r="B217" s="57" t="inlineStr">
        <is>
          <t>UKYT-26-013</t>
        </is>
      </c>
      <c r="C217" s="57" t="inlineStr">
        <is>
          <t>Open field</t>
        </is>
      </c>
      <c r="D217" s="59" t="n">
        <v>46252</v>
      </c>
      <c r="E217" s="57" t="inlineStr">
        <is>
          <t>Second</t>
        </is>
      </c>
      <c r="F217" s="57" t="n">
        <v>1.026</v>
      </c>
      <c r="G217" s="57" t="n">
        <v>1.026</v>
      </c>
      <c r="H217" s="57" t="n">
        <v>1.026</v>
      </c>
      <c r="I217" s="57">
        <f>AVERAGE(F218,G218,H218)</f>
        <v/>
      </c>
      <c r="J217" s="57">
        <f>(143.254*(I218^3))-(648.67*(I218^2))+(1125.805*(I218))-620.389</f>
        <v/>
      </c>
      <c r="K217" s="57" t="inlineStr">
        <is>
          <t>26-013</t>
        </is>
      </c>
      <c r="L217" s="58" t="inlineStr">
        <is>
          <t>N/A</t>
        </is>
      </c>
    </row>
    <row r="218" ht="25" customHeight="1" s="55">
      <c r="A218" s="57" t="n">
        <v>216</v>
      </c>
      <c r="B218" s="57" t="inlineStr">
        <is>
          <t>Maglia Rosa Cherry</t>
        </is>
      </c>
      <c r="C218" s="57" t="inlineStr">
        <is>
          <t>Open field</t>
        </is>
      </c>
      <c r="D218" s="59" t="n">
        <v>46252</v>
      </c>
      <c r="E218" s="57" t="inlineStr">
        <is>
          <t>Second</t>
        </is>
      </c>
      <c r="F218" s="57" t="n">
        <v>1.032</v>
      </c>
      <c r="G218" s="57" t="n">
        <v>1.03</v>
      </c>
      <c r="H218" s="57" t="n">
        <v>1.026</v>
      </c>
      <c r="I218" s="57">
        <f>AVERAGE(F219,G219,H219)</f>
        <v/>
      </c>
      <c r="J218" s="57">
        <f>(143.254*(I219^3))-(648.67*(I219^2))+(1125.805*(I219))-620.389</f>
        <v/>
      </c>
      <c r="K218" s="57" t="inlineStr">
        <is>
          <t>Maglia Rosa Ch</t>
        </is>
      </c>
      <c r="L218" s="58" t="inlineStr">
        <is>
          <t>N/A</t>
        </is>
      </c>
    </row>
    <row r="219" ht="25" customHeight="1" s="55">
      <c r="A219" s="57" t="n">
        <v>217</v>
      </c>
      <c r="B219" s="57" t="inlineStr">
        <is>
          <t>UKYT-25-005</t>
        </is>
      </c>
      <c r="C219" s="57" t="inlineStr">
        <is>
          <t>Open field</t>
        </is>
      </c>
      <c r="D219" s="59" t="n">
        <v>46252</v>
      </c>
      <c r="E219" s="57" t="inlineStr">
        <is>
          <t>Second</t>
        </is>
      </c>
      <c r="F219" s="57" t="n">
        <v>1.03</v>
      </c>
      <c r="G219" s="57" t="n">
        <v>1.03</v>
      </c>
      <c r="H219" s="57" t="n">
        <v>1.033</v>
      </c>
      <c r="I219" s="57">
        <f>AVERAGE(F220,G220,H220)</f>
        <v/>
      </c>
      <c r="J219" s="57">
        <f>(143.254*(I220^3))-(648.67*(I220^2))+(1125.805*(I220))-620.389</f>
        <v/>
      </c>
      <c r="K219" s="57" t="inlineStr">
        <is>
          <t>25-005</t>
        </is>
      </c>
      <c r="L219" s="58" t="inlineStr">
        <is>
          <t>N/A</t>
        </is>
      </c>
    </row>
    <row r="220" ht="25" customHeight="1" s="55">
      <c r="A220" s="57" t="n">
        <v>218</v>
      </c>
      <c r="B220" s="57" t="inlineStr">
        <is>
          <t>UKYT-26-024</t>
        </is>
      </c>
      <c r="C220" s="57" t="inlineStr">
        <is>
          <t>Open field</t>
        </is>
      </c>
      <c r="D220" s="59" t="n">
        <v>46252</v>
      </c>
      <c r="E220" s="57" t="inlineStr">
        <is>
          <t>Second</t>
        </is>
      </c>
      <c r="F220" s="57" t="n">
        <v>1.025</v>
      </c>
      <c r="G220" s="57" t="n">
        <v>1.035</v>
      </c>
      <c r="H220" s="57" t="n">
        <v>1.032</v>
      </c>
      <c r="I220" s="57">
        <f>AVERAGE(F221,G221,H221)</f>
        <v/>
      </c>
      <c r="J220" s="57">
        <f>(143.254*(I221^3))-(648.67*(I221^2))+(1125.805*(I221))-620.389</f>
        <v/>
      </c>
      <c r="K220" s="57" t="inlineStr">
        <is>
          <t>26-024</t>
        </is>
      </c>
      <c r="L220" s="58" t="inlineStr">
        <is>
          <t>N/A</t>
        </is>
      </c>
    </row>
    <row r="221" ht="25" customHeight="1" s="55">
      <c r="A221" s="57" t="n">
        <v>219</v>
      </c>
      <c r="B221" s="57" t="inlineStr">
        <is>
          <t>UKYT-26-032</t>
        </is>
      </c>
      <c r="C221" s="57" t="inlineStr">
        <is>
          <t>Open field</t>
        </is>
      </c>
      <c r="D221" s="59" t="n">
        <v>46252</v>
      </c>
      <c r="E221" s="57" t="inlineStr">
        <is>
          <t>Second</t>
        </is>
      </c>
      <c r="F221" s="57" t="n">
        <v>1.026</v>
      </c>
      <c r="G221" s="57" t="n">
        <v>1.024</v>
      </c>
      <c r="H221" s="57" t="n">
        <v>1.027</v>
      </c>
      <c r="I221" s="57">
        <f>AVERAGE(F222,G222,H222)</f>
        <v/>
      </c>
      <c r="J221" s="57">
        <f>(143.254*(I222^3))-(648.67*(I222^2))+(1125.805*(I222))-620.389</f>
        <v/>
      </c>
      <c r="K221" s="57" t="inlineStr">
        <is>
          <t>26-032</t>
        </is>
      </c>
      <c r="L221" s="58" t="inlineStr">
        <is>
          <t>N/A</t>
        </is>
      </c>
    </row>
    <row r="222" ht="25" customHeight="1" s="55">
      <c r="A222" s="57" t="n">
        <v>220</v>
      </c>
      <c r="B222" s="57" t="inlineStr">
        <is>
          <t>UKYT-26-037</t>
        </is>
      </c>
      <c r="C222" s="57" t="inlineStr">
        <is>
          <t>Open field</t>
        </is>
      </c>
      <c r="D222" s="59" t="n">
        <v>46252</v>
      </c>
      <c r="E222" s="57" t="inlineStr">
        <is>
          <t>Second</t>
        </is>
      </c>
      <c r="F222" s="57" t="n">
        <v>1.03</v>
      </c>
      <c r="G222" s="57" t="n">
        <v>1.028</v>
      </c>
      <c r="H222" s="57" t="n">
        <v>1.032</v>
      </c>
      <c r="I222" s="57">
        <f>AVERAGE(F223,G223,H223)</f>
        <v/>
      </c>
      <c r="J222" s="57">
        <f>(143.254*(I223^3))-(648.67*(I223^2))+(1125.805*(I223))-620.389</f>
        <v/>
      </c>
      <c r="K222" s="57" t="inlineStr">
        <is>
          <t>26-037</t>
        </is>
      </c>
      <c r="L222" s="58" t="inlineStr">
        <is>
          <t>N/A</t>
        </is>
      </c>
    </row>
    <row r="223" ht="25" customHeight="1" s="55">
      <c r="A223" s="57" t="n">
        <v>221</v>
      </c>
      <c r="B223" s="57" t="inlineStr">
        <is>
          <t>UKYT-26-026</t>
        </is>
      </c>
      <c r="C223" s="57" t="inlineStr">
        <is>
          <t>Open field</t>
        </is>
      </c>
      <c r="D223" s="59" t="n">
        <v>46252</v>
      </c>
      <c r="E223" s="57" t="inlineStr">
        <is>
          <t>Second</t>
        </is>
      </c>
      <c r="F223" s="57" t="n">
        <v>1.016</v>
      </c>
      <c r="G223" s="57" t="n">
        <v>1.016</v>
      </c>
      <c r="H223" s="57" t="n">
        <v>1.016</v>
      </c>
      <c r="I223" s="57">
        <f>AVERAGE(F224,G224,H224)</f>
        <v/>
      </c>
      <c r="J223" s="57">
        <f>(143.254*(I224^3))-(648.67*(I224^2))+(1125.805*(I224))-620.389</f>
        <v/>
      </c>
      <c r="K223" s="57" t="inlineStr">
        <is>
          <t>26-026</t>
        </is>
      </c>
      <c r="L223" s="58" t="inlineStr">
        <is>
          <t>N/A</t>
        </is>
      </c>
    </row>
    <row r="224" ht="25" customHeight="1" s="55">
      <c r="A224" s="57" t="n">
        <v>222</v>
      </c>
      <c r="B224" s="57" t="inlineStr">
        <is>
          <t>UKYT-26-034</t>
        </is>
      </c>
      <c r="C224" s="57" t="inlineStr">
        <is>
          <t>Open field</t>
        </is>
      </c>
      <c r="D224" s="59" t="n">
        <v>46252</v>
      </c>
      <c r="E224" s="57" t="inlineStr">
        <is>
          <t>Second</t>
        </is>
      </c>
      <c r="F224" s="57" t="n">
        <v>1.027</v>
      </c>
      <c r="G224" s="57" t="n">
        <v>1.025</v>
      </c>
      <c r="H224" s="57" t="n">
        <v>1.027</v>
      </c>
      <c r="I224" s="57">
        <f>AVERAGE(F225,G225,H225)</f>
        <v/>
      </c>
      <c r="J224" s="57">
        <f>(143.254*(I225^3))-(648.67*(I225^2))+(1125.805*(I225))-620.389</f>
        <v/>
      </c>
      <c r="K224" s="57" t="inlineStr">
        <is>
          <t>26-034</t>
        </is>
      </c>
      <c r="L224" s="58" t="inlineStr">
        <is>
          <t>N/A</t>
        </is>
      </c>
    </row>
    <row r="225" ht="25" customHeight="1" s="55">
      <c r="A225" s="57" t="n">
        <v>223</v>
      </c>
      <c r="B225" s="57" t="inlineStr">
        <is>
          <t>UKYT-26-007</t>
        </is>
      </c>
      <c r="C225" s="57" t="inlineStr">
        <is>
          <t>Open field</t>
        </is>
      </c>
      <c r="D225" s="59" t="n">
        <v>46252</v>
      </c>
      <c r="E225" s="57" t="inlineStr">
        <is>
          <t>Second</t>
        </is>
      </c>
      <c r="F225" s="57" t="n">
        <v>1.029</v>
      </c>
      <c r="G225" s="57" t="n">
        <v>1.029</v>
      </c>
      <c r="H225" s="57" t="n">
        <v>1.03</v>
      </c>
      <c r="I225" s="57">
        <f>AVERAGE(F226,G226,H226)</f>
        <v/>
      </c>
      <c r="J225" s="57">
        <f>(143.254*(I226^3))-(648.67*(I226^2))+(1125.805*(I226))-620.389</f>
        <v/>
      </c>
      <c r="K225" s="57" t="inlineStr">
        <is>
          <t>26-007</t>
        </is>
      </c>
      <c r="L225" s="58" t="inlineStr">
        <is>
          <t>N/A</t>
        </is>
      </c>
    </row>
    <row r="226" ht="25" customHeight="1" s="55">
      <c r="A226" s="57" t="n">
        <v>224</v>
      </c>
      <c r="B226" s="57" t="inlineStr">
        <is>
          <t>UKYT-26-033</t>
        </is>
      </c>
      <c r="C226" s="57" t="inlineStr">
        <is>
          <t>Open field</t>
        </is>
      </c>
      <c r="D226" s="59" t="n">
        <v>46252</v>
      </c>
      <c r="E226" s="57" t="inlineStr">
        <is>
          <t>Second</t>
        </is>
      </c>
      <c r="F226" s="57" t="n">
        <v>1.024</v>
      </c>
      <c r="G226" s="57" t="n">
        <v>1.025</v>
      </c>
      <c r="H226" s="57" t="n">
        <v>1.026</v>
      </c>
      <c r="I226" s="57">
        <f>AVERAGE(F227,G227,H227)</f>
        <v/>
      </c>
      <c r="J226" s="57">
        <f>(143.254*(I227^3))-(648.67*(I227^2))+(1125.805*(I227))-620.389</f>
        <v/>
      </c>
      <c r="K226" s="57" t="inlineStr">
        <is>
          <t>26-033</t>
        </is>
      </c>
      <c r="L226" s="58" t="inlineStr">
        <is>
          <t>N/A</t>
        </is>
      </c>
    </row>
    <row r="227" ht="25" customHeight="1" s="55">
      <c r="A227" s="57" t="n">
        <v>225</v>
      </c>
      <c r="B227" s="57" t="inlineStr">
        <is>
          <t>UKYT-26-019</t>
        </is>
      </c>
      <c r="C227" s="57" t="inlineStr">
        <is>
          <t>Open field</t>
        </is>
      </c>
      <c r="D227" s="59" t="n">
        <v>46252</v>
      </c>
      <c r="E227" s="57" t="inlineStr">
        <is>
          <t>Second</t>
        </is>
      </c>
      <c r="F227" s="57" t="n">
        <v>1.022</v>
      </c>
      <c r="G227" s="57" t="n">
        <v>1.022</v>
      </c>
      <c r="H227" s="57" t="n">
        <v>1.022</v>
      </c>
      <c r="I227" s="57">
        <f>AVERAGE(F228,G228,H228)</f>
        <v/>
      </c>
      <c r="J227" s="57">
        <f>(143.254*(I228^3))-(648.67*(I228^2))+(1125.805*(I228))-620.389</f>
        <v/>
      </c>
      <c r="K227" s="57" t="inlineStr">
        <is>
          <t>26-019</t>
        </is>
      </c>
      <c r="L227" s="58" t="inlineStr">
        <is>
          <t>N/A</t>
        </is>
      </c>
    </row>
    <row r="228" ht="25" customHeight="1" s="55">
      <c r="A228" s="57" t="n">
        <v>226</v>
      </c>
      <c r="B228" s="57" t="inlineStr">
        <is>
          <t>UKYT-26-036</t>
        </is>
      </c>
      <c r="C228" s="57" t="inlineStr">
        <is>
          <t>Open field</t>
        </is>
      </c>
      <c r="D228" s="59" t="n">
        <v>46252</v>
      </c>
      <c r="E228" s="57" t="inlineStr">
        <is>
          <t>Second</t>
        </is>
      </c>
      <c r="F228" s="57" t="n">
        <v>1.024</v>
      </c>
      <c r="G228" s="57" t="n">
        <v>1.027</v>
      </c>
      <c r="H228" s="57" t="n">
        <v>1.025</v>
      </c>
      <c r="I228" s="57">
        <f>AVERAGE(F229,G229,H229)</f>
        <v/>
      </c>
      <c r="J228" s="57">
        <f>(143.254*(I229^3))-(648.67*(I229^2))+(1125.805*(I229))-620.389</f>
        <v/>
      </c>
      <c r="K228" s="57" t="inlineStr">
        <is>
          <t>26-036 R2</t>
        </is>
      </c>
      <c r="L228" s="57" t="inlineStr">
        <is>
          <t>R2</t>
        </is>
      </c>
    </row>
    <row r="229" ht="25" customHeight="1" s="55">
      <c r="A229" s="57" t="n">
        <v>227</v>
      </c>
      <c r="B229" s="57" t="inlineStr">
        <is>
          <t>UKYT-26-029</t>
        </is>
      </c>
      <c r="C229" s="57" t="inlineStr">
        <is>
          <t>Open field</t>
        </is>
      </c>
      <c r="D229" s="59" t="n">
        <v>46252</v>
      </c>
      <c r="E229" s="57" t="inlineStr">
        <is>
          <t>Second</t>
        </is>
      </c>
      <c r="F229" s="57" t="n">
        <v>1.031</v>
      </c>
      <c r="G229" s="57" t="n">
        <v>1.03</v>
      </c>
      <c r="H229" s="57" t="n">
        <v>1.03</v>
      </c>
      <c r="I229" s="57">
        <f>AVERAGE(F230,G230,H230)</f>
        <v/>
      </c>
      <c r="J229" s="57">
        <f>(143.254*(I230^3))-(648.67*(I230^2))+(1125.805*(I230))-620.389</f>
        <v/>
      </c>
      <c r="K229" s="57" t="inlineStr">
        <is>
          <t>26-029</t>
        </is>
      </c>
      <c r="L229" s="58" t="inlineStr">
        <is>
          <t>N/A</t>
        </is>
      </c>
    </row>
    <row r="230" ht="25" customHeight="1" s="55">
      <c r="A230" s="57" t="n">
        <v>228</v>
      </c>
      <c r="B230" s="57" t="inlineStr">
        <is>
          <t>Mountain Fresh</t>
        </is>
      </c>
      <c r="C230" s="57" t="inlineStr">
        <is>
          <t>Open field</t>
        </is>
      </c>
      <c r="D230" s="59" t="n">
        <v>46252</v>
      </c>
      <c r="E230" s="57" t="inlineStr">
        <is>
          <t>Second</t>
        </is>
      </c>
      <c r="F230" s="57" t="n">
        <v>1.016</v>
      </c>
      <c r="G230" s="57" t="n">
        <v>1.016</v>
      </c>
      <c r="H230" s="57" t="n">
        <v>1.016</v>
      </c>
      <c r="I230" s="57">
        <f>AVERAGE(F231,G231,H231)</f>
        <v/>
      </c>
      <c r="J230" s="57">
        <f>(143.254*(I231^3))-(648.67*(I231^2))+(1125.805*(I231))-620.389</f>
        <v/>
      </c>
      <c r="K230" s="57" t="inlineStr">
        <is>
          <t>Mt. Fresh</t>
        </is>
      </c>
      <c r="L230" s="58" t="inlineStr">
        <is>
          <t>N/A</t>
        </is>
      </c>
    </row>
    <row r="231" ht="25" customHeight="1" s="55">
      <c r="A231" s="57" t="n">
        <v>229</v>
      </c>
      <c r="B231" s="57" t="inlineStr">
        <is>
          <t>UKYT-26-030</t>
        </is>
      </c>
      <c r="C231" s="57" t="inlineStr">
        <is>
          <t>Open field</t>
        </is>
      </c>
      <c r="D231" s="59" t="n">
        <v>46252</v>
      </c>
      <c r="E231" s="57" t="inlineStr">
        <is>
          <t>Second</t>
        </is>
      </c>
      <c r="F231" s="57" t="n">
        <v>1.026</v>
      </c>
      <c r="G231" s="57" t="n">
        <v>1.026</v>
      </c>
      <c r="H231" s="57" t="n">
        <v>1.026</v>
      </c>
      <c r="I231" s="57">
        <f>AVERAGE(F232,G232,H232)</f>
        <v/>
      </c>
      <c r="J231" s="57">
        <f>(143.254*(I232^3))-(648.67*(I232^2))+(1125.805*(I232))-620.389</f>
        <v/>
      </c>
      <c r="K231" s="57" t="inlineStr">
        <is>
          <t>26-030</t>
        </is>
      </c>
      <c r="L231" s="58" t="inlineStr">
        <is>
          <t>N/A</t>
        </is>
      </c>
    </row>
    <row r="232" ht="25" customHeight="1" s="55">
      <c r="A232" s="57" t="n">
        <v>230</v>
      </c>
      <c r="B232" s="57" t="inlineStr">
        <is>
          <t>UKYT-25-012</t>
        </is>
      </c>
      <c r="C232" s="57" t="inlineStr">
        <is>
          <t>Open field</t>
        </is>
      </c>
      <c r="D232" s="59" t="n">
        <v>46252</v>
      </c>
      <c r="E232" s="57" t="inlineStr">
        <is>
          <t>Second</t>
        </is>
      </c>
      <c r="F232" s="57" t="n">
        <v>1.028</v>
      </c>
      <c r="G232" s="57" t="n">
        <v>1.029</v>
      </c>
      <c r="H232" s="57" t="n">
        <v>1.033</v>
      </c>
      <c r="I232" s="57">
        <f>AVERAGE(F233,G233,H233)</f>
        <v/>
      </c>
      <c r="J232" s="57">
        <f>(143.254*(I233^3))-(648.67*(I233^2))+(1125.805*(I233))-620.389</f>
        <v/>
      </c>
      <c r="K232" s="57" t="inlineStr">
        <is>
          <t>25-012</t>
        </is>
      </c>
      <c r="L232" s="58" t="inlineStr">
        <is>
          <t>N/A</t>
        </is>
      </c>
    </row>
    <row r="233" ht="25" customHeight="1" s="55">
      <c r="A233" s="57" t="n">
        <v>231</v>
      </c>
      <c r="B233" s="57" t="inlineStr">
        <is>
          <t>UKYT-26-006</t>
        </is>
      </c>
      <c r="C233" s="57" t="inlineStr">
        <is>
          <t>Open field</t>
        </is>
      </c>
      <c r="D233" s="59" t="n">
        <v>46252</v>
      </c>
      <c r="E233" s="57" t="inlineStr">
        <is>
          <t>Second</t>
        </is>
      </c>
      <c r="F233" s="57" t="n">
        <v>1.038</v>
      </c>
      <c r="G233" s="57" t="n">
        <v>1.031</v>
      </c>
      <c r="H233" s="57" t="n">
        <v>1.03</v>
      </c>
      <c r="I233" s="57">
        <f>AVERAGE(F234,G234,H234)</f>
        <v/>
      </c>
      <c r="J233" s="57">
        <f>(143.254*(I234^3))-(648.67*(I234^2))+(1125.805*(I234))-620.389</f>
        <v/>
      </c>
      <c r="K233" s="57" t="inlineStr">
        <is>
          <t>26-006</t>
        </is>
      </c>
      <c r="L233" s="58" t="inlineStr">
        <is>
          <t>N/A</t>
        </is>
      </c>
    </row>
    <row r="234" ht="25" customHeight="1" s="55">
      <c r="A234" s="57" t="n">
        <v>232</v>
      </c>
      <c r="B234" s="57" t="inlineStr">
        <is>
          <t>UKYT-26-023</t>
        </is>
      </c>
      <c r="C234" s="57" t="inlineStr">
        <is>
          <t>Open field</t>
        </is>
      </c>
      <c r="D234" s="59" t="n">
        <v>46252</v>
      </c>
      <c r="E234" s="57" t="inlineStr">
        <is>
          <t>Second</t>
        </is>
      </c>
      <c r="F234" s="57" t="n">
        <v>1.02</v>
      </c>
      <c r="G234" s="57" t="n">
        <v>1.02</v>
      </c>
      <c r="H234" s="57" t="n">
        <v>1.02</v>
      </c>
      <c r="I234" s="57">
        <f>AVERAGE(F235,G235,H235)</f>
        <v/>
      </c>
      <c r="J234" s="57">
        <f>(143.254*(I235^3))-(648.67*(I235^2))+(1125.805*(I235))-620.389</f>
        <v/>
      </c>
      <c r="K234" s="57" t="inlineStr">
        <is>
          <t>26-023</t>
        </is>
      </c>
      <c r="L234" s="58" t="inlineStr">
        <is>
          <t>N/A</t>
        </is>
      </c>
    </row>
    <row r="235" ht="25" customHeight="1" s="55">
      <c r="A235" s="57" t="n">
        <v>233</v>
      </c>
      <c r="B235" s="57" t="inlineStr">
        <is>
          <t>UKYT-25-003</t>
        </is>
      </c>
      <c r="C235" s="57" t="inlineStr">
        <is>
          <t>Open field</t>
        </is>
      </c>
      <c r="D235" s="59" t="n">
        <v>46252</v>
      </c>
      <c r="E235" s="57" t="inlineStr">
        <is>
          <t>Second</t>
        </is>
      </c>
      <c r="F235" s="57" t="n">
        <v>1.024</v>
      </c>
      <c r="G235" s="57" t="n">
        <v>1.025</v>
      </c>
      <c r="H235" s="57" t="n">
        <v>1.026</v>
      </c>
      <c r="I235" s="57">
        <f>AVERAGE(F236,G236,H236)</f>
        <v/>
      </c>
      <c r="J235" s="57">
        <f>(143.254*(I236^3))-(648.67*(I236^2))+(1125.805*(I236))-620.389</f>
        <v/>
      </c>
      <c r="K235" s="57" t="inlineStr">
        <is>
          <t>25-03</t>
        </is>
      </c>
      <c r="L235" s="58" t="inlineStr">
        <is>
          <t>N/A</t>
        </is>
      </c>
    </row>
    <row r="236" ht="25" customHeight="1" s="55">
      <c r="A236" s="57" t="n">
        <v>234</v>
      </c>
      <c r="B236" s="57" t="inlineStr">
        <is>
          <t>UKYT-26-043</t>
        </is>
      </c>
      <c r="C236" s="57" t="inlineStr">
        <is>
          <t>Open field</t>
        </is>
      </c>
      <c r="D236" s="59" t="n">
        <v>46252</v>
      </c>
      <c r="E236" s="57" t="inlineStr">
        <is>
          <t>Second</t>
        </is>
      </c>
      <c r="F236" s="57" t="n">
        <v>1.019</v>
      </c>
      <c r="G236" s="57" t="n">
        <v>1.019</v>
      </c>
      <c r="H236" s="57" t="n">
        <v>1.018</v>
      </c>
      <c r="I236" s="57">
        <f>AVERAGE(F237,G237,H237)</f>
        <v/>
      </c>
      <c r="J236" s="57">
        <f>(143.254*(I237^3))-(648.67*(I237^2))+(1125.805*(I237))-620.389</f>
        <v/>
      </c>
      <c r="K236" s="57" t="inlineStr">
        <is>
          <t>26-043</t>
        </is>
      </c>
      <c r="L236" s="58" t="inlineStr">
        <is>
          <t>N/A</t>
        </is>
      </c>
    </row>
    <row r="237" ht="25" customHeight="1" s="55">
      <c r="A237" s="57" t="n">
        <v>235</v>
      </c>
      <c r="B237" s="57" t="inlineStr">
        <is>
          <t>UKYT-26-013</t>
        </is>
      </c>
      <c r="C237" s="57" t="inlineStr">
        <is>
          <t>Open field</t>
        </is>
      </c>
      <c r="D237" s="59" t="n">
        <v>46252</v>
      </c>
      <c r="E237" s="57" t="inlineStr">
        <is>
          <t>Second</t>
        </is>
      </c>
      <c r="F237" s="57" t="n">
        <v>1.021</v>
      </c>
      <c r="G237" s="57" t="n">
        <v>1.021</v>
      </c>
      <c r="H237" s="57" t="n">
        <v>1.021</v>
      </c>
      <c r="I237" s="57">
        <f>AVERAGE(F238,G238,H238)</f>
        <v/>
      </c>
      <c r="J237" s="57">
        <f>(143.254*(I238^3))-(648.67*(I238^2))+(1125.805*(I238))-620.389</f>
        <v/>
      </c>
      <c r="K237" s="57" t="inlineStr">
        <is>
          <t>26-013.</t>
        </is>
      </c>
      <c r="L237" s="58" t="inlineStr">
        <is>
          <t>N/A</t>
        </is>
      </c>
    </row>
    <row r="238" ht="25" customHeight="1" s="55">
      <c r="A238" s="57" t="n">
        <v>236</v>
      </c>
      <c r="B238" s="57" t="inlineStr">
        <is>
          <t>UKYT-26-011</t>
        </is>
      </c>
      <c r="C238" s="57" t="inlineStr">
        <is>
          <t>Open field</t>
        </is>
      </c>
      <c r="D238" s="59" t="n">
        <v>46252</v>
      </c>
      <c r="E238" s="57" t="inlineStr">
        <is>
          <t>Second</t>
        </is>
      </c>
      <c r="F238" s="57" t="n">
        <v>1.021</v>
      </c>
      <c r="G238" s="57" t="n">
        <v>1.021</v>
      </c>
      <c r="H238" s="57" t="n">
        <v>1.021</v>
      </c>
      <c r="I238" s="57">
        <f>AVERAGE(F239,G239,H239)</f>
        <v/>
      </c>
      <c r="J238" s="57">
        <f>(143.254*(I239^3))-(648.67*(I239^2))+(1125.805*(I239))-620.389</f>
        <v/>
      </c>
      <c r="K238" s="57" t="inlineStr">
        <is>
          <t>26-011</t>
        </is>
      </c>
      <c r="L238" s="58" t="inlineStr">
        <is>
          <t>N/A</t>
        </is>
      </c>
    </row>
    <row r="239" ht="25" customHeight="1" s="55">
      <c r="A239" s="57" t="n">
        <v>237</v>
      </c>
      <c r="B239" s="57" t="inlineStr">
        <is>
          <t>UKYT-26-009</t>
        </is>
      </c>
      <c r="C239" s="57" t="inlineStr">
        <is>
          <t>Open field</t>
        </is>
      </c>
      <c r="D239" s="59" t="n">
        <v>46252</v>
      </c>
      <c r="E239" s="57" t="inlineStr">
        <is>
          <t>Second</t>
        </is>
      </c>
      <c r="F239" s="57" t="n">
        <v>1.02</v>
      </c>
      <c r="G239" s="57" t="n">
        <v>1.02</v>
      </c>
      <c r="H239" s="57" t="n">
        <v>1.02</v>
      </c>
      <c r="I239" s="57">
        <f>AVERAGE(F240,G240,H240)</f>
        <v/>
      </c>
      <c r="J239" s="57">
        <f>(143.254*(I240^3))-(648.67*(I240^2))+(1125.805*(I240))-620.389</f>
        <v/>
      </c>
      <c r="K239" s="57" t="inlineStr">
        <is>
          <t>26-009</t>
        </is>
      </c>
      <c r="L239" s="58" t="inlineStr">
        <is>
          <t>N/A</t>
        </is>
      </c>
    </row>
    <row r="240" ht="25" customHeight="1" s="55">
      <c r="A240" s="57" t="n">
        <v>238</v>
      </c>
      <c r="B240" s="57" t="inlineStr">
        <is>
          <t>UKYT-26-031</t>
        </is>
      </c>
      <c r="C240" s="57" t="inlineStr">
        <is>
          <t>Open field</t>
        </is>
      </c>
      <c r="D240" s="59" t="n">
        <v>46252</v>
      </c>
      <c r="E240" s="57" t="inlineStr">
        <is>
          <t>Second</t>
        </is>
      </c>
      <c r="F240" s="57" t="n">
        <v>1.019</v>
      </c>
      <c r="G240" s="57" t="n">
        <v>1.019</v>
      </c>
      <c r="H240" s="57" t="n">
        <v>1.019</v>
      </c>
      <c r="I240" s="57">
        <f>AVERAGE(F241,G241,H241)</f>
        <v/>
      </c>
      <c r="J240" s="57">
        <f>(143.254*(I241^3))-(648.67*(I241^2))+(1125.805*(I241))-620.389</f>
        <v/>
      </c>
      <c r="K240" s="57" t="inlineStr">
        <is>
          <t>26-031</t>
        </is>
      </c>
      <c r="L240" s="58" t="inlineStr">
        <is>
          <t>N/A</t>
        </is>
      </c>
    </row>
    <row r="241" ht="25" customHeight="1" s="55">
      <c r="A241" s="57" t="n">
        <v>239</v>
      </c>
      <c r="B241" s="57" t="inlineStr">
        <is>
          <t>UKYT-26-008</t>
        </is>
      </c>
      <c r="C241" s="57" t="inlineStr">
        <is>
          <t>Open field</t>
        </is>
      </c>
      <c r="D241" s="59" t="n">
        <v>46252</v>
      </c>
      <c r="E241" s="57" t="inlineStr">
        <is>
          <t>Second</t>
        </is>
      </c>
      <c r="F241" s="57" t="n">
        <v>1.013</v>
      </c>
      <c r="G241" s="57" t="n">
        <v>1.013</v>
      </c>
      <c r="H241" s="57" t="n">
        <v>1.013</v>
      </c>
      <c r="I241" s="57">
        <f>AVERAGE(F242,G242,H242)</f>
        <v/>
      </c>
      <c r="J241" s="57">
        <f>(143.254*(I242^3))-(648.67*(I242^2))+(1125.805*(I242))-620.389</f>
        <v/>
      </c>
      <c r="K241" s="57" t="inlineStr">
        <is>
          <t>26-008</t>
        </is>
      </c>
      <c r="L241" s="58" t="inlineStr">
        <is>
          <t>N/A</t>
        </is>
      </c>
    </row>
  </sheetData>
  <autoFilter ref="A2:L241"/>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U13"/>
  <sheetViews>
    <sheetView showGridLines="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21" customWidth="1" style="55" min="2" max="2"/>
    <col width="8" customWidth="1" style="55" min="3" max="3"/>
    <col width="13" customWidth="1" style="55" min="4" max="4"/>
    <col width="8" customWidth="1" style="55" min="5" max="5"/>
    <col width="8" customWidth="1" style="55" min="6" max="6"/>
    <col width="8" customWidth="1" style="55" min="7" max="7"/>
    <col width="8" customWidth="1" style="55" min="8" max="8"/>
    <col width="8" customWidth="1" style="55" min="9" max="9"/>
    <col width="10" customWidth="1" style="55" min="10" max="10"/>
    <col width="10" customWidth="1" style="55" min="11" max="11"/>
    <col width="10" customWidth="1" style="55" min="12" max="12"/>
    <col width="10" customWidth="1" style="55" min="13" max="13"/>
    <col width="36" customWidth="1" style="55" min="14" max="14"/>
    <col width="36" customWidth="1" style="55" min="15" max="15"/>
    <col width="23" customWidth="1" style="55" min="16" max="16"/>
    <col width="24" customWidth="1" style="55" min="17" max="17"/>
    <col width="29" customWidth="1" style="55" min="18" max="18"/>
    <col width="36" customWidth="1" style="55" min="19" max="19"/>
    <col width="13" customWidth="1" style="55" min="20" max="20"/>
    <col width="11" customWidth="1" style="55" min="21" max="21"/>
  </cols>
  <sheetData>
    <row r="1" ht="18" customHeight="1" s="55">
      <c r="A1" s="56" t="inlineStr">
        <is>
          <t>SN</t>
        </is>
      </c>
      <c r="B1" s="56" t="inlineStr">
        <is>
          <t>Date</t>
        </is>
      </c>
      <c r="C1" s="56" t="inlineStr">
        <is>
          <t>User</t>
        </is>
      </c>
      <c r="D1" s="56" t="inlineStr">
        <is>
          <t>Sample</t>
        </is>
      </c>
      <c r="E1" s="56" t="inlineStr">
        <is>
          <t>A750</t>
        </is>
      </c>
      <c r="F1" s="56" t="inlineStr">
        <is>
          <t>A663</t>
        </is>
      </c>
      <c r="G1" s="56" t="inlineStr">
        <is>
          <t>A645</t>
        </is>
      </c>
      <c r="H1" s="56" t="inlineStr">
        <is>
          <t>A505</t>
        </is>
      </c>
      <c r="I1" s="56" t="inlineStr">
        <is>
          <t>A453</t>
        </is>
      </c>
      <c r="J1" s="56" t="inlineStr">
        <is>
          <t>A'663</t>
        </is>
      </c>
      <c r="K1" s="56" t="inlineStr">
        <is>
          <t>A'645</t>
        </is>
      </c>
      <c r="L1" s="56" t="inlineStr">
        <is>
          <t>A'505</t>
        </is>
      </c>
      <c r="M1" s="56" t="inlineStr">
        <is>
          <t>A'453</t>
        </is>
      </c>
      <c r="N1" s="56" t="inlineStr">
        <is>
          <t>Lycopene (mg/100 mL)</t>
        </is>
      </c>
      <c r="O1" s="56" t="inlineStr">
        <is>
          <t>Beta-carotene (mg/100 mL)</t>
        </is>
      </c>
      <c r="P1" s="56" t="inlineStr">
        <is>
          <t>Exact sample mass (g)</t>
        </is>
      </c>
      <c r="Q1" s="56" t="inlineStr">
        <is>
          <t>Lycopene (mg/100 g fw)</t>
        </is>
      </c>
      <c r="R1" s="56" t="inlineStr">
        <is>
          <t>Beta-carotene (mg/100 g fw)</t>
        </is>
      </c>
      <c r="S1" s="56" t="inlineStr">
        <is>
          <t>Notes</t>
        </is>
      </c>
      <c r="T1" s="56" t="inlineStr">
        <is>
          <t>Sample_raw</t>
        </is>
      </c>
      <c r="U1" s="56" t="inlineStr">
        <is>
          <t>Replicate</t>
        </is>
      </c>
    </row>
    <row r="2" ht="25" customHeight="1" s="55">
      <c r="A2" s="57" t="n">
        <v>1</v>
      </c>
      <c r="B2" s="59" t="n">
        <v>46218</v>
      </c>
      <c r="C2" s="57" t="inlineStr">
        <is>
          <t>BA</t>
        </is>
      </c>
      <c r="D2" s="57" t="inlineStr">
        <is>
          <t>UKYT-25-004</t>
        </is>
      </c>
      <c r="E2" s="57" t="n">
        <v>-0.001</v>
      </c>
      <c r="F2" s="57" t="n">
        <v>0.115</v>
      </c>
      <c r="G2" s="57" t="n">
        <v>0.13</v>
      </c>
      <c r="H2" s="57" t="n">
        <v>0.311</v>
      </c>
      <c r="I2" s="57" t="n">
        <v>1.341</v>
      </c>
      <c r="J2" s="57">
        <f>F2-E2</f>
        <v/>
      </c>
      <c r="K2" s="57">
        <f>G2-E2</f>
        <v/>
      </c>
      <c r="L2" s="57">
        <f>H2-E2</f>
        <v/>
      </c>
      <c r="M2" s="57">
        <f>I2-E2</f>
        <v/>
      </c>
      <c r="N2" s="57">
        <f>-0.0458*J2+0.204*K2+0.372*L2-0.0806*M2</f>
        <v/>
      </c>
      <c r="O2" s="57">
        <f>0.216*J2-1.22*K2-0.304*L2+0.452*M2</f>
        <v/>
      </c>
      <c r="P2" s="57" t="n">
        <v>1</v>
      </c>
      <c r="Q2" s="57">
        <f>N2*(5/1)*1</f>
        <v/>
      </c>
      <c r="R2" s="57">
        <f>O2*(5/1)*1</f>
        <v/>
      </c>
      <c r="S2" s="58" t="inlineStr">
        <is>
          <t>N/A</t>
        </is>
      </c>
      <c r="T2" s="57" t="inlineStr">
        <is>
          <t>UKYT-25-004</t>
        </is>
      </c>
      <c r="U2" s="58" t="inlineStr">
        <is>
          <t>N/A</t>
        </is>
      </c>
    </row>
    <row r="3" ht="25" customHeight="1" s="55">
      <c r="A3" s="57" t="n">
        <v>2</v>
      </c>
      <c r="B3" s="59" t="n">
        <v>46218</v>
      </c>
      <c r="C3" s="57" t="inlineStr">
        <is>
          <t>BA</t>
        </is>
      </c>
      <c r="D3" s="57" t="inlineStr">
        <is>
          <t>UKYT-25-008</t>
        </is>
      </c>
      <c r="E3" s="57" t="n">
        <v>0</v>
      </c>
      <c r="F3" s="57" t="n">
        <v>0.287</v>
      </c>
      <c r="G3" s="57" t="n">
        <v>0.124</v>
      </c>
      <c r="H3" s="57" t="n">
        <v>0.403</v>
      </c>
      <c r="I3" s="57" t="n">
        <v>0.796</v>
      </c>
      <c r="J3" s="57">
        <f>F3-E3</f>
        <v/>
      </c>
      <c r="K3" s="57">
        <f>G3-E3</f>
        <v/>
      </c>
      <c r="L3" s="57">
        <f>H3-E3</f>
        <v/>
      </c>
      <c r="M3" s="57">
        <f>I3-E3</f>
        <v/>
      </c>
      <c r="N3" s="57">
        <f>-0.0458*J3+0.204*K3+0.372*L3-0.0806*M3</f>
        <v/>
      </c>
      <c r="O3" s="57">
        <f>0.216*J3-1.22*K3-0.304*L3+0.452*M3</f>
        <v/>
      </c>
      <c r="P3" s="57" t="n">
        <v>1</v>
      </c>
      <c r="Q3" s="57">
        <f>N3*(5/1)*1</f>
        <v/>
      </c>
      <c r="R3" s="57">
        <f>O3*(5/1)*1</f>
        <v/>
      </c>
      <c r="S3" s="58" t="inlineStr">
        <is>
          <t>N/A</t>
        </is>
      </c>
      <c r="T3" s="57" t="inlineStr">
        <is>
          <t>UKYT-25-008</t>
        </is>
      </c>
      <c r="U3" s="58" t="inlineStr">
        <is>
          <t>N/A</t>
        </is>
      </c>
    </row>
    <row r="4" ht="25" customHeight="1" s="55">
      <c r="A4" s="57" t="n">
        <v>3</v>
      </c>
      <c r="B4" s="59" t="n">
        <v>46218</v>
      </c>
      <c r="C4" s="57" t="inlineStr">
        <is>
          <t>BA</t>
        </is>
      </c>
      <c r="D4" s="57" t="inlineStr">
        <is>
          <t>UKYT-25-010</t>
        </is>
      </c>
      <c r="E4" s="57" t="n">
        <v>0.014</v>
      </c>
      <c r="F4" s="57" t="n">
        <v>0.185</v>
      </c>
      <c r="G4" s="57" t="n">
        <v>0.077</v>
      </c>
      <c r="H4" s="57" t="n">
        <v>0.441</v>
      </c>
      <c r="I4" s="57" t="n">
        <v>0.715</v>
      </c>
      <c r="J4" s="57">
        <f>F4-E4</f>
        <v/>
      </c>
      <c r="K4" s="57">
        <f>G4-E4</f>
        <v/>
      </c>
      <c r="L4" s="57">
        <f>H4-E4</f>
        <v/>
      </c>
      <c r="M4" s="57">
        <f>I4-E4</f>
        <v/>
      </c>
      <c r="N4" s="57">
        <f>-0.0458*J4+0.204*K4+0.372*L4-0.0806*M4</f>
        <v/>
      </c>
      <c r="O4" s="57">
        <f>0.216*J4-1.22*K4-0.304*L4+0.452*M4</f>
        <v/>
      </c>
      <c r="P4" s="57" t="n">
        <v>1</v>
      </c>
      <c r="Q4" s="57">
        <f>N4*(5/1)*1</f>
        <v/>
      </c>
      <c r="R4" s="57">
        <f>O4*(5/1)*1</f>
        <v/>
      </c>
      <c r="S4" s="58" t="inlineStr">
        <is>
          <t>N/A</t>
        </is>
      </c>
      <c r="T4" s="57" t="inlineStr">
        <is>
          <t>UKYT-25-010</t>
        </is>
      </c>
      <c r="U4" s="58" t="inlineStr">
        <is>
          <t>N/A</t>
        </is>
      </c>
    </row>
    <row r="5" ht="25" customHeight="1" s="55">
      <c r="A5" s="57" t="n">
        <v>4</v>
      </c>
      <c r="B5" s="59" t="n">
        <v>46219</v>
      </c>
      <c r="C5" s="57" t="inlineStr">
        <is>
          <t>BA</t>
        </is>
      </c>
      <c r="D5" s="57" t="inlineStr">
        <is>
          <t>UKYT-25-005</t>
        </is>
      </c>
      <c r="E5" s="57" t="n">
        <v>-0.059</v>
      </c>
      <c r="F5" s="57" t="n">
        <v>0.061</v>
      </c>
      <c r="G5" s="57" t="n">
        <v>0.025</v>
      </c>
      <c r="H5" s="57" t="n">
        <v>0.117</v>
      </c>
      <c r="I5" s="57" t="n">
        <v>0.526</v>
      </c>
      <c r="J5" s="57">
        <f>F5-E5</f>
        <v/>
      </c>
      <c r="K5" s="57">
        <f>G5-E5</f>
        <v/>
      </c>
      <c r="L5" s="57">
        <f>H5-E5</f>
        <v/>
      </c>
      <c r="M5" s="57">
        <f>I5-E5</f>
        <v/>
      </c>
      <c r="N5" s="57">
        <f>-0.0458*J5+0.204*K5+0.372*L5-0.0806*M5</f>
        <v/>
      </c>
      <c r="O5" s="57">
        <f>0.216*J5-1.22*K5-0.304*L5+0.452*M5</f>
        <v/>
      </c>
      <c r="P5" s="57" t="n">
        <v>1</v>
      </c>
      <c r="Q5" s="57">
        <f>N5*(5/1)*1</f>
        <v/>
      </c>
      <c r="R5" s="57">
        <f>O5*(5/1)*1</f>
        <v/>
      </c>
      <c r="S5" s="58" t="inlineStr">
        <is>
          <t>N/A</t>
        </is>
      </c>
      <c r="T5" s="57" t="inlineStr">
        <is>
          <t>25-005</t>
        </is>
      </c>
      <c r="U5" s="58" t="inlineStr">
        <is>
          <t>N/A</t>
        </is>
      </c>
    </row>
    <row r="6" ht="25" customHeight="1" s="55">
      <c r="A6" s="57" t="n">
        <v>5</v>
      </c>
      <c r="B6" s="59" t="n">
        <v>46219</v>
      </c>
      <c r="C6" s="57" t="inlineStr">
        <is>
          <t>BA</t>
        </is>
      </c>
      <c r="D6" s="57" t="inlineStr">
        <is>
          <t>UKYT-25-013</t>
        </is>
      </c>
      <c r="E6" s="57" t="n">
        <v>0.047</v>
      </c>
      <c r="F6" s="57" t="n">
        <v>0.381</v>
      </c>
      <c r="G6" s="57" t="n">
        <v>0.145</v>
      </c>
      <c r="H6" s="57" t="n">
        <v>2.073</v>
      </c>
      <c r="I6" s="57" t="n">
        <v>2.048</v>
      </c>
      <c r="J6" s="57">
        <f>F6-E6</f>
        <v/>
      </c>
      <c r="K6" s="57">
        <f>G6-E6</f>
        <v/>
      </c>
      <c r="L6" s="57">
        <f>H6-E6</f>
        <v/>
      </c>
      <c r="M6" s="57">
        <f>I6-E6</f>
        <v/>
      </c>
      <c r="N6" s="57">
        <f>-0.0458*J6+0.204*K6+0.372*L6-0.0806*M6</f>
        <v/>
      </c>
      <c r="O6" s="57">
        <f>0.216*J6-1.22*K6-0.304*L6+0.452*M6</f>
        <v/>
      </c>
      <c r="P6" s="57" t="n">
        <v>1</v>
      </c>
      <c r="Q6" s="57">
        <f>N6*(5/1)*1</f>
        <v/>
      </c>
      <c r="R6" s="57">
        <f>O6*(5/1)*1</f>
        <v/>
      </c>
      <c r="S6" s="57" t="inlineStr">
        <is>
          <t>Highest lycopene</t>
        </is>
      </c>
      <c r="T6" s="57" t="inlineStr">
        <is>
          <t>25-013</t>
        </is>
      </c>
      <c r="U6" s="58" t="inlineStr">
        <is>
          <t>N/A</t>
        </is>
      </c>
    </row>
    <row r="7" ht="25" customHeight="1" s="55">
      <c r="A7" s="57" t="n">
        <v>6</v>
      </c>
      <c r="B7" s="59" t="n">
        <v>46219</v>
      </c>
      <c r="C7" s="57" t="inlineStr">
        <is>
          <t>BA</t>
        </is>
      </c>
      <c r="D7" s="57" t="inlineStr">
        <is>
          <t>UKYT-25-017</t>
        </is>
      </c>
      <c r="E7" s="57" t="n">
        <v>0.001</v>
      </c>
      <c r="F7" s="57" t="n">
        <v>0.188</v>
      </c>
      <c r="G7" s="57" t="n">
        <v>0.073</v>
      </c>
      <c r="H7" s="57" t="n">
        <v>0.645</v>
      </c>
      <c r="I7" s="57" t="n">
        <v>0.871</v>
      </c>
      <c r="J7" s="57">
        <f>F7-E7</f>
        <v/>
      </c>
      <c r="K7" s="57">
        <f>G7-E7</f>
        <v/>
      </c>
      <c r="L7" s="57">
        <f>H7-E7</f>
        <v/>
      </c>
      <c r="M7" s="57">
        <f>I7-E7</f>
        <v/>
      </c>
      <c r="N7" s="57">
        <f>-0.0458*J7+0.204*K7+0.372*L7-0.0806*M7</f>
        <v/>
      </c>
      <c r="O7" s="57">
        <f>0.216*J7-1.22*K7-0.304*L7+0.452*M7</f>
        <v/>
      </c>
      <c r="P7" s="57" t="n">
        <v>1</v>
      </c>
      <c r="Q7" s="57">
        <f>N7*(5/1)*1</f>
        <v/>
      </c>
      <c r="R7" s="57">
        <f>O7*(5/1)*1</f>
        <v/>
      </c>
      <c r="S7" s="58" t="inlineStr">
        <is>
          <t>N/A</t>
        </is>
      </c>
      <c r="T7" s="57" t="inlineStr">
        <is>
          <t>25-017</t>
        </is>
      </c>
      <c r="U7" s="58" t="inlineStr">
        <is>
          <t>N/A</t>
        </is>
      </c>
    </row>
    <row r="8" ht="25" customHeight="1" s="55">
      <c r="A8" s="57" t="n">
        <v>7</v>
      </c>
      <c r="B8" s="59" t="n">
        <v>46225</v>
      </c>
      <c r="C8" s="57" t="inlineStr">
        <is>
          <t>BA</t>
        </is>
      </c>
      <c r="D8" s="57" t="inlineStr">
        <is>
          <t>UKYT-26-001</t>
        </is>
      </c>
      <c r="E8" s="57" t="n">
        <v>0.011</v>
      </c>
      <c r="F8" s="57" t="n">
        <v>0.029</v>
      </c>
      <c r="G8" s="57" t="n">
        <v>0.014</v>
      </c>
      <c r="H8" s="57" t="n">
        <v>0.267</v>
      </c>
      <c r="I8" s="57" t="n">
        <v>0.362</v>
      </c>
      <c r="J8" s="57">
        <f>F8-E8</f>
        <v/>
      </c>
      <c r="K8" s="57">
        <f>G8-E8</f>
        <v/>
      </c>
      <c r="L8" s="57">
        <f>H8-E8</f>
        <v/>
      </c>
      <c r="M8" s="57">
        <f>I8-E8</f>
        <v/>
      </c>
      <c r="N8" s="57">
        <f>-0.0458*J8+0.204*K8+0.372*L8-0.0806*M8</f>
        <v/>
      </c>
      <c r="O8" s="57">
        <f>0.216*J8-1.22*K8-0.304*L8+0.452*M8</f>
        <v/>
      </c>
      <c r="P8" s="57" t="n">
        <v>1</v>
      </c>
      <c r="Q8" s="57">
        <f>N8*(5/1)*1</f>
        <v/>
      </c>
      <c r="R8" s="57">
        <f>O8*(5/1)*1</f>
        <v/>
      </c>
      <c r="S8" s="58" t="inlineStr">
        <is>
          <t>N/A</t>
        </is>
      </c>
      <c r="T8" s="57" t="inlineStr">
        <is>
          <t>26-001</t>
        </is>
      </c>
      <c r="U8" s="58" t="inlineStr">
        <is>
          <t>N/A</t>
        </is>
      </c>
    </row>
    <row r="9" ht="25" customHeight="1" s="55">
      <c r="A9" s="57" t="n">
        <v>8</v>
      </c>
      <c r="B9" s="59" t="n">
        <v>46225</v>
      </c>
      <c r="C9" s="57" t="inlineStr">
        <is>
          <t>BA</t>
        </is>
      </c>
      <c r="D9" s="57" t="inlineStr">
        <is>
          <t>UKYT-25-006</t>
        </is>
      </c>
      <c r="E9" s="57" t="n">
        <v>0.042</v>
      </c>
      <c r="F9" s="57" t="n">
        <v>0.295</v>
      </c>
      <c r="G9" s="57" t="n">
        <v>0.122</v>
      </c>
      <c r="H9" s="57" t="n">
        <v>0.405</v>
      </c>
      <c r="I9" s="57" t="n">
        <v>0.919</v>
      </c>
      <c r="J9" s="57">
        <f>F9-E9</f>
        <v/>
      </c>
      <c r="K9" s="57">
        <f>G9-E9</f>
        <v/>
      </c>
      <c r="L9" s="57">
        <f>H9-E9</f>
        <v/>
      </c>
      <c r="M9" s="57">
        <f>I9-E9</f>
        <v/>
      </c>
      <c r="N9" s="57">
        <f>-0.0458*J9+0.204*K9+0.372*L9-0.0806*M9</f>
        <v/>
      </c>
      <c r="O9" s="57">
        <f>0.216*J9-1.22*K9-0.304*L9+0.452*M9</f>
        <v/>
      </c>
      <c r="P9" s="57" t="n">
        <v>1</v>
      </c>
      <c r="Q9" s="57">
        <f>N9*(5/1)*1</f>
        <v/>
      </c>
      <c r="R9" s="57">
        <f>O9*(5/1)*1</f>
        <v/>
      </c>
      <c r="S9" s="58" t="inlineStr">
        <is>
          <t>N/A</t>
        </is>
      </c>
      <c r="T9" s="57" t="inlineStr">
        <is>
          <t>25-006</t>
        </is>
      </c>
      <c r="U9" s="58" t="inlineStr">
        <is>
          <t>N/A</t>
        </is>
      </c>
    </row>
    <row r="10" ht="25" customHeight="1" s="55">
      <c r="A10" s="57" t="n">
        <v>9</v>
      </c>
      <c r="B10" s="59" t="n">
        <v>46225</v>
      </c>
      <c r="C10" s="57" t="inlineStr">
        <is>
          <t>BA</t>
        </is>
      </c>
      <c r="D10" s="57" t="inlineStr">
        <is>
          <t>UKYT-26-006</t>
        </is>
      </c>
      <c r="E10" s="57" t="n">
        <v>0</v>
      </c>
      <c r="F10" s="57" t="n">
        <v>0.102</v>
      </c>
      <c r="G10" s="57" t="n">
        <v>0.041</v>
      </c>
      <c r="H10" s="57" t="n">
        <v>0.199</v>
      </c>
      <c r="I10" s="57" t="n">
        <v>1.262</v>
      </c>
      <c r="J10" s="57">
        <f>F10-E10</f>
        <v/>
      </c>
      <c r="K10" s="57">
        <f>G10-E10</f>
        <v/>
      </c>
      <c r="L10" s="57">
        <f>H10-E10</f>
        <v/>
      </c>
      <c r="M10" s="57">
        <f>I10-E10</f>
        <v/>
      </c>
      <c r="N10" s="57">
        <f>-0.0458*J10+0.204*K10+0.372*L10-0.0806*M10</f>
        <v/>
      </c>
      <c r="O10" s="57">
        <f>0.216*J10-1.22*K10-0.304*L10+0.452*M10</f>
        <v/>
      </c>
      <c r="P10" s="57" t="n">
        <v>1</v>
      </c>
      <c r="Q10" s="57">
        <f>N10*(5/1)*1</f>
        <v/>
      </c>
      <c r="R10" s="57">
        <f>O10*(5/1)*1</f>
        <v/>
      </c>
      <c r="S10" s="57" t="inlineStr">
        <is>
          <t>Highest beta-carotene recorded. The negative lycopene levels indicate that the lycopene level is below the limit of detection, and an interference occurred at this specific spectrophotometer wavelength. Will redo these samples to see if its reocurring or not.</t>
        </is>
      </c>
      <c r="T10" s="57" t="inlineStr">
        <is>
          <t>26-006</t>
        </is>
      </c>
      <c r="U10" s="58" t="inlineStr">
        <is>
          <t>N/A</t>
        </is>
      </c>
    </row>
    <row r="11" ht="25" customHeight="1" s="55">
      <c r="A11" s="57" t="n">
        <v>10</v>
      </c>
      <c r="B11" s="59" t="n">
        <v>46225</v>
      </c>
      <c r="C11" s="57" t="inlineStr">
        <is>
          <t>BA</t>
        </is>
      </c>
      <c r="D11" s="57" t="inlineStr">
        <is>
          <t>UKYT-25-007</t>
        </is>
      </c>
      <c r="E11" s="57" t="n">
        <v>0</v>
      </c>
      <c r="F11" s="57" t="n">
        <v>0.14</v>
      </c>
      <c r="G11" s="57" t="n">
        <v>0.05</v>
      </c>
      <c r="H11" s="57" t="n">
        <v>0.123</v>
      </c>
      <c r="I11" s="57" t="n">
        <v>0.643</v>
      </c>
      <c r="J11" s="57">
        <f>F11-E11</f>
        <v/>
      </c>
      <c r="K11" s="57">
        <f>G11-E11</f>
        <v/>
      </c>
      <c r="L11" s="57">
        <f>H11-E11</f>
        <v/>
      </c>
      <c r="M11" s="57">
        <f>I11-E11</f>
        <v/>
      </c>
      <c r="N11" s="57">
        <f>-0.0458*J11+0.204*K11+0.372*L11-0.0806*M11</f>
        <v/>
      </c>
      <c r="O11" s="57">
        <f>0.216*J11-1.22*K11-0.304*L11+0.452*M11</f>
        <v/>
      </c>
      <c r="P11" s="57" t="n">
        <v>1</v>
      </c>
      <c r="Q11" s="57">
        <f>N11*(5/1)*1</f>
        <v/>
      </c>
      <c r="R11" s="57">
        <f>O11*(5/1)*1</f>
        <v/>
      </c>
      <c r="S11" s="58" t="inlineStr">
        <is>
          <t>N/A</t>
        </is>
      </c>
      <c r="T11" s="57" t="inlineStr">
        <is>
          <t>25-007</t>
        </is>
      </c>
      <c r="U11" s="58" t="inlineStr">
        <is>
          <t>N/A</t>
        </is>
      </c>
    </row>
    <row r="12" ht="25" customHeight="1" s="55">
      <c r="A12" s="57" t="n">
        <v>11</v>
      </c>
      <c r="B12" s="59" t="n">
        <v>46225</v>
      </c>
      <c r="C12" s="57" t="inlineStr">
        <is>
          <t>BA</t>
        </is>
      </c>
      <c r="D12" s="57" t="inlineStr">
        <is>
          <t>UKYT-25-011</t>
        </is>
      </c>
      <c r="E12" s="57" t="n">
        <v>-0.001</v>
      </c>
      <c r="F12" s="57" t="n">
        <v>0.079</v>
      </c>
      <c r="G12" s="57" t="n">
        <v>0.035</v>
      </c>
      <c r="H12" s="57" t="n">
        <v>0.15</v>
      </c>
      <c r="I12" s="57" t="n">
        <v>1.011</v>
      </c>
      <c r="J12" s="57">
        <f>F12-E12</f>
        <v/>
      </c>
      <c r="K12" s="57">
        <f>G12-E12</f>
        <v/>
      </c>
      <c r="L12" s="57">
        <f>H12-E12</f>
        <v/>
      </c>
      <c r="M12" s="57">
        <f>I12-E12</f>
        <v/>
      </c>
      <c r="N12" s="57">
        <f>-0.0458*J12+0.204*K12+0.372*L12-0.0806*M12</f>
        <v/>
      </c>
      <c r="O12" s="57">
        <f>0.216*J12-1.22*K12-0.304*L12+0.452*M12</f>
        <v/>
      </c>
      <c r="P12" s="57" t="n">
        <v>1</v>
      </c>
      <c r="Q12" s="57">
        <f>N12*(5/1)*1</f>
        <v/>
      </c>
      <c r="R12" s="57">
        <f>O12*(5/1)*1</f>
        <v/>
      </c>
      <c r="S12" s="58" t="inlineStr">
        <is>
          <t>N/A</t>
        </is>
      </c>
      <c r="T12" s="57" t="inlineStr">
        <is>
          <t>25-011</t>
        </is>
      </c>
      <c r="U12" s="58" t="inlineStr">
        <is>
          <t>N/A</t>
        </is>
      </c>
    </row>
    <row r="13" ht="25" customHeight="1" s="55">
      <c r="A13" s="57" t="n">
        <v>12</v>
      </c>
      <c r="B13" s="59" t="n">
        <v>46225</v>
      </c>
      <c r="C13" s="57" t="inlineStr">
        <is>
          <t>BA</t>
        </is>
      </c>
      <c r="D13" s="57" t="inlineStr">
        <is>
          <t>UKYT-25-012</t>
        </is>
      </c>
      <c r="E13" s="57" t="n">
        <v>0.096</v>
      </c>
      <c r="F13" s="57" t="n">
        <v>0.111</v>
      </c>
      <c r="G13" s="57" t="n">
        <v>0.044</v>
      </c>
      <c r="H13" s="57" t="n">
        <v>0.11</v>
      </c>
      <c r="I13" s="57" t="n">
        <v>0.696</v>
      </c>
      <c r="J13" s="57">
        <f>F13-E13</f>
        <v/>
      </c>
      <c r="K13" s="57">
        <f>G13-E13</f>
        <v/>
      </c>
      <c r="L13" s="57">
        <f>H13-E13</f>
        <v/>
      </c>
      <c r="M13" s="57">
        <f>I13-E13</f>
        <v/>
      </c>
      <c r="N13" s="57">
        <f>-0.0458*J13+0.204*K13+0.372*L13-0.0806*M13</f>
        <v/>
      </c>
      <c r="O13" s="57">
        <f>0.216*J13-1.22*K13-0.304*L13+0.452*M13</f>
        <v/>
      </c>
      <c r="P13" s="57" t="n">
        <v>1</v>
      </c>
      <c r="Q13" s="57">
        <f>N13*(5/1)*1</f>
        <v/>
      </c>
      <c r="R13" s="57">
        <f>O13*(5/1)*1</f>
        <v/>
      </c>
      <c r="S13" s="58" t="inlineStr">
        <is>
          <t>N/A</t>
        </is>
      </c>
      <c r="T13" s="57" t="inlineStr">
        <is>
          <t>25-012</t>
        </is>
      </c>
      <c r="U13" s="58" t="inlineStr">
        <is>
          <t>N/A</t>
        </is>
      </c>
    </row>
  </sheetData>
  <autoFilter ref="A1:U13"/>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I3"/>
  <sheetViews>
    <sheetView showGridLines="1" topLeftCell="A1"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21" customWidth="1" style="55" min="2" max="2"/>
    <col width="8" customWidth="1" style="55" min="3" max="3"/>
    <col width="13" customWidth="1" style="55" min="4" max="5"/>
    <col width="15" customWidth="1" style="55" min="5" max="5"/>
    <col width="16" customWidth="1" style="55" min="6" max="6"/>
    <col width="34" customWidth="1" style="55" min="7" max="7"/>
    <col width="13" customWidth="1" style="55" min="8" max="8"/>
    <col width="11" customWidth="1" style="55" min="9" max="9"/>
  </cols>
  <sheetData>
    <row r="1" ht="18" customHeight="1" s="55">
      <c r="A1" s="56" t="inlineStr">
        <is>
          <t>SN</t>
        </is>
      </c>
      <c r="B1" s="56" t="inlineStr">
        <is>
          <t>Date</t>
        </is>
      </c>
      <c r="C1" s="56" t="inlineStr">
        <is>
          <t>User</t>
        </is>
      </c>
      <c r="D1" s="56" t="inlineStr">
        <is>
          <t>Sample</t>
        </is>
      </c>
      <c r="E1" s="56" t="inlineStr">
        <is>
          <t>Vol NaOH (mL)</t>
        </is>
      </c>
      <c r="F1" s="56" t="inlineStr">
        <is>
          <t>Exact mass (g)</t>
        </is>
      </c>
      <c r="G1" s="56" t="inlineStr">
        <is>
          <t>TA (% citric acid, g/100 g)</t>
        </is>
      </c>
      <c r="H1" s="56" t="inlineStr">
        <is>
          <t>Sample_raw</t>
        </is>
      </c>
      <c r="I1" s="56" t="inlineStr">
        <is>
          <t>Replicate</t>
        </is>
      </c>
    </row>
    <row r="2" ht="25" customHeight="1" s="55">
      <c r="A2" s="57" t="n">
        <v>1</v>
      </c>
      <c r="B2" s="59" t="n">
        <v>46218</v>
      </c>
      <c r="C2" s="57" t="inlineStr">
        <is>
          <t>CP</t>
        </is>
      </c>
      <c r="D2" s="57" t="inlineStr">
        <is>
          <t>UKYT-25-008</t>
        </is>
      </c>
      <c r="E2" s="57" t="n">
        <v>0.33</v>
      </c>
      <c r="F2" s="57" t="n">
        <v>3.9</v>
      </c>
      <c r="G2" s="57">
        <f>((E2)*(0.1)*(0.06404)*100)/(F2)</f>
        <v/>
      </c>
      <c r="H2" s="57" t="inlineStr">
        <is>
          <t>UKYT-25-008</t>
        </is>
      </c>
      <c r="I2" s="58" t="inlineStr">
        <is>
          <t>N/A</t>
        </is>
      </c>
    </row>
    <row r="3" ht="25" customHeight="1" s="55">
      <c r="A3" s="57" t="n">
        <v>2</v>
      </c>
      <c r="B3" s="59" t="n">
        <v>46218</v>
      </c>
      <c r="C3" s="57" t="inlineStr">
        <is>
          <t>CP</t>
        </is>
      </c>
      <c r="D3" s="57" t="inlineStr">
        <is>
          <t>UKYT-25-010</t>
        </is>
      </c>
      <c r="E3" s="57" t="n">
        <v>1.53</v>
      </c>
      <c r="F3" s="57" t="n">
        <v>4</v>
      </c>
      <c r="G3" s="57">
        <f>((E3)*(0.1)*(0.06404)*100)/(F3)</f>
        <v/>
      </c>
      <c r="H3" s="57" t="inlineStr">
        <is>
          <t>UKYT-25-010</t>
        </is>
      </c>
      <c r="I3" s="58" t="inlineStr">
        <is>
          <t>N/A</t>
        </is>
      </c>
    </row>
  </sheetData>
  <autoFilter ref="A1:I3"/>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I1"/>
  <sheetViews>
    <sheetView showGridLines="1" topLeftCell="A1"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8" customWidth="1" style="55" min="2" max="2"/>
    <col width="8" customWidth="1" style="55" min="3" max="3"/>
    <col width="8" customWidth="1" style="55" min="4" max="4"/>
    <col width="8" customWidth="1" style="55" min="5" max="5"/>
    <col width="8" customWidth="1" style="55" min="6" max="6"/>
    <col width="19" customWidth="1" style="55" min="7" max="7"/>
    <col width="12" customWidth="1" style="55" min="8" max="8"/>
    <col width="11" customWidth="1" style="55" min="9" max="9"/>
  </cols>
  <sheetData>
    <row r="1" ht="18" customHeight="1" s="55">
      <c r="A1" s="56" t="inlineStr">
        <is>
          <t>SN</t>
        </is>
      </c>
      <c r="B1" s="56" t="inlineStr">
        <is>
          <t>Date</t>
        </is>
      </c>
      <c r="C1" s="56" t="inlineStr">
        <is>
          <t>User</t>
        </is>
      </c>
      <c r="D1" s="56" t="inlineStr">
        <is>
          <t>Sample</t>
        </is>
      </c>
      <c r="E1" s="56" t="inlineStr">
        <is>
          <t>A530</t>
        </is>
      </c>
      <c r="F1" s="56" t="inlineStr">
        <is>
          <t>A657</t>
        </is>
      </c>
      <c r="G1" s="56" t="inlineStr">
        <is>
          <t>Total Anthocyanin</t>
        </is>
      </c>
      <c r="H1" s="56" t="inlineStr">
        <is>
          <t>Sample_raw</t>
        </is>
      </c>
      <c r="I1" s="56" t="inlineStr">
        <is>
          <t>Replicate</t>
        </is>
      </c>
    </row>
  </sheetData>
  <autoFilter ref="A1:I1"/>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I187"/>
  <sheetViews>
    <sheetView showGridLines="1" tabSelected="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customWidth="1" style="27" min="1" max="2"/>
    <col width="21" customWidth="1" style="55" min="2" max="2"/>
    <col width="8" bestFit="1" customWidth="1" style="27" min="3" max="3"/>
    <col width="16" customWidth="1" style="27" min="4" max="4"/>
    <col width="8" bestFit="1" customWidth="1" style="27" min="5" max="5"/>
    <col width="36" bestFit="1" customWidth="1" style="27" min="6" max="6"/>
    <col width="36" customWidth="1" style="27" min="7" max="16384"/>
    <col width="20" customWidth="1" style="55" min="8" max="8"/>
    <col width="11" customWidth="1" style="55" min="9" max="9"/>
  </cols>
  <sheetData>
    <row r="1" ht="18" customHeight="1" s="55" thickBot="1">
      <c r="A1" s="56" t="inlineStr">
        <is>
          <t>SN</t>
        </is>
      </c>
      <c r="B1" s="56" t="inlineStr">
        <is>
          <t>Date</t>
        </is>
      </c>
      <c r="C1" s="56" t="inlineStr">
        <is>
          <t>User</t>
        </is>
      </c>
      <c r="D1" s="56" t="inlineStr">
        <is>
          <t>Sample</t>
        </is>
      </c>
      <c r="E1" s="56" t="inlineStr">
        <is>
          <t>A630</t>
        </is>
      </c>
      <c r="F1" s="56" t="inlineStr">
        <is>
          <t>GABA (mg/g)</t>
        </is>
      </c>
      <c r="G1" s="56" t="inlineStr">
        <is>
          <t>Notes</t>
        </is>
      </c>
      <c r="H1" s="56" t="inlineStr">
        <is>
          <t>Sample_raw</t>
        </is>
      </c>
      <c r="I1" s="56" t="inlineStr">
        <is>
          <t>Replicate</t>
        </is>
      </c>
    </row>
    <row r="2" ht="25" customHeight="1" s="55">
      <c r="A2" s="57" t="n">
        <v>1</v>
      </c>
      <c r="B2" s="59" t="n">
        <v>46218</v>
      </c>
      <c r="C2" s="57" t="inlineStr">
        <is>
          <t>BA</t>
        </is>
      </c>
      <c r="D2" s="57" t="inlineStr">
        <is>
          <t>UKYT-25-003</t>
        </is>
      </c>
      <c r="E2" s="57" t="n">
        <v>0.8149999999999999</v>
      </c>
      <c r="F2" s="57">
        <f> ((((E2 + 0.00265) / 0.00779) * 12 * 1) / (3 * 1000))</f>
        <v/>
      </c>
      <c r="G2" s="57" t="inlineStr">
        <is>
          <t>15-Jul Standard Curve Equation</t>
        </is>
      </c>
      <c r="H2" s="57" t="inlineStr">
        <is>
          <t>25-003</t>
        </is>
      </c>
      <c r="I2" s="58" t="inlineStr">
        <is>
          <t>N/A</t>
        </is>
      </c>
    </row>
    <row r="3" ht="25" customHeight="1" s="55">
      <c r="A3" s="57" t="n">
        <v>2</v>
      </c>
      <c r="B3" s="59" t="n">
        <v>46218</v>
      </c>
      <c r="C3" s="57" t="inlineStr">
        <is>
          <t>BA</t>
        </is>
      </c>
      <c r="D3" s="57" t="inlineStr">
        <is>
          <t>UKYT-25-004</t>
        </is>
      </c>
      <c r="E3" s="57" t="n">
        <v>0.474</v>
      </c>
      <c r="F3" s="57">
        <f> ((((E3 + 0.00265) / 0.00779) * 12 * 1) / (3 * 1000))</f>
        <v/>
      </c>
      <c r="G3" s="57" t="inlineStr">
        <is>
          <t>7.79E-03*x + -0.0265</t>
        </is>
      </c>
      <c r="H3" s="57" t="inlineStr">
        <is>
          <t>25-004</t>
        </is>
      </c>
      <c r="I3" s="58" t="inlineStr">
        <is>
          <t>N/A</t>
        </is>
      </c>
    </row>
    <row r="4" ht="25" customHeight="1" s="55">
      <c r="A4" s="57" t="n">
        <v>3</v>
      </c>
      <c r="B4" s="59" t="n">
        <v>46218</v>
      </c>
      <c r="C4" s="57" t="inlineStr">
        <is>
          <t>BA</t>
        </is>
      </c>
      <c r="D4" s="57" t="inlineStr">
        <is>
          <t>UKYT-25-008</t>
        </is>
      </c>
      <c r="E4" s="57" t="n">
        <v>0.55</v>
      </c>
      <c r="F4" s="57">
        <f> ((((E4 + 0.00265) / 0.00779) * 12 * 1) / (3 * 1000))</f>
        <v/>
      </c>
      <c r="G4" s="58" t="inlineStr">
        <is>
          <t>N/A</t>
        </is>
      </c>
      <c r="H4" s="57" t="inlineStr">
        <is>
          <t>25-008</t>
        </is>
      </c>
      <c r="I4" s="58" t="inlineStr">
        <is>
          <t>N/A</t>
        </is>
      </c>
    </row>
    <row r="5" ht="25" customHeight="1" s="55">
      <c r="A5" s="57" t="n">
        <v>4</v>
      </c>
      <c r="B5" s="59" t="n">
        <v>46218</v>
      </c>
      <c r="C5" s="57" t="inlineStr">
        <is>
          <t>BA</t>
        </is>
      </c>
      <c r="D5" s="57" t="inlineStr">
        <is>
          <t>UKYT-25-010</t>
        </is>
      </c>
      <c r="E5" s="57" t="n">
        <v>0.584</v>
      </c>
      <c r="F5" s="57">
        <f> ((((E5 + 0.00265) / 0.00779) * 12 * 1) / (3 * 1000))</f>
        <v/>
      </c>
      <c r="G5" s="58" t="inlineStr">
        <is>
          <t>N/A</t>
        </is>
      </c>
      <c r="H5" s="57" t="inlineStr">
        <is>
          <t>25-010</t>
        </is>
      </c>
      <c r="I5" s="58" t="inlineStr">
        <is>
          <t>N/A</t>
        </is>
      </c>
    </row>
    <row r="6" ht="25" customHeight="1" s="55">
      <c r="A6" s="57" t="n">
        <v>5</v>
      </c>
      <c r="B6" s="59" t="n">
        <v>46223</v>
      </c>
      <c r="C6" s="57" t="inlineStr">
        <is>
          <t>AR</t>
        </is>
      </c>
      <c r="D6" s="57" t="inlineStr">
        <is>
          <t>UKYT-25-001</t>
        </is>
      </c>
      <c r="E6" s="57" t="n">
        <v>0.609</v>
      </c>
      <c r="F6" s="57">
        <f> ((((E6 + 0.00159) / 0.00519) * 12 * 1) / (3 * 1000))</f>
        <v/>
      </c>
      <c r="G6" s="58" t="inlineStr">
        <is>
          <t>N/A</t>
        </is>
      </c>
      <c r="H6" s="57" t="inlineStr">
        <is>
          <t>25-001</t>
        </is>
      </c>
      <c r="I6" s="58" t="inlineStr">
        <is>
          <t>N/A</t>
        </is>
      </c>
    </row>
    <row r="7" ht="25" customHeight="1" s="55">
      <c r="A7" s="57" t="n">
        <v>6</v>
      </c>
      <c r="B7" s="59" t="n">
        <v>46223</v>
      </c>
      <c r="C7" s="57" t="inlineStr">
        <is>
          <t>AR</t>
        </is>
      </c>
      <c r="D7" s="57" t="inlineStr">
        <is>
          <t>UKYT-25-005</t>
        </is>
      </c>
      <c r="E7" s="57" t="n">
        <v>0.429</v>
      </c>
      <c r="F7" s="57">
        <f> ((((E7 + 0.00159) / 0.00519) * 12 * 1) / (3 * 1000))</f>
        <v/>
      </c>
      <c r="G7" s="58" t="inlineStr">
        <is>
          <t>N/A</t>
        </is>
      </c>
      <c r="H7" s="57" t="inlineStr">
        <is>
          <t>25-005</t>
        </is>
      </c>
      <c r="I7" s="58" t="inlineStr">
        <is>
          <t>N/A</t>
        </is>
      </c>
    </row>
    <row r="8" ht="25" customHeight="1" s="55">
      <c r="A8" s="57" t="n">
        <v>7</v>
      </c>
      <c r="B8" s="59" t="n">
        <v>46223</v>
      </c>
      <c r="C8" s="57" t="inlineStr">
        <is>
          <t>AR</t>
        </is>
      </c>
      <c r="D8" s="57" t="inlineStr">
        <is>
          <t>UKYT-25-007</t>
        </is>
      </c>
      <c r="E8" s="57" t="n">
        <v>0.36</v>
      </c>
      <c r="F8" s="57">
        <f> ((((E8 + 0.00159) / 0.00519) * 12 * 1) / (3 * 1000))</f>
        <v/>
      </c>
      <c r="G8" s="58" t="inlineStr">
        <is>
          <t>N/A</t>
        </is>
      </c>
      <c r="H8" s="57" t="inlineStr">
        <is>
          <t>25-007</t>
        </is>
      </c>
      <c r="I8" s="58" t="inlineStr">
        <is>
          <t>N/A</t>
        </is>
      </c>
    </row>
    <row r="9" ht="25" customHeight="1" s="55">
      <c r="A9" s="57" t="n">
        <v>8</v>
      </c>
      <c r="B9" s="59" t="n">
        <v>46223</v>
      </c>
      <c r="C9" s="57" t="inlineStr">
        <is>
          <t>AR</t>
        </is>
      </c>
      <c r="D9" s="57" t="inlineStr">
        <is>
          <t>UKYT-25-010</t>
        </is>
      </c>
      <c r="E9" s="57" t="n">
        <v>0.357</v>
      </c>
      <c r="F9" s="57">
        <f> ((((E9 + 0.00159) / 0.00519) * 12 * 1) / (3 * 1000))</f>
        <v/>
      </c>
      <c r="G9" s="57" t="inlineStr">
        <is>
          <t>The gaba stocks i used were 50ug, 150 ug, and 250ug, since i made 500ug aliquots, this is a good range and it leaves a bit left incase of pipetting errors or spills. 250ug is also able to be read unlike the 500 and 600 we were running before, so for the upcoming gaba extractions, I will likely keep the standards in that threshold: 50, 150, 250.; 20-Jul Standard Curve Equation</t>
        </is>
      </c>
      <c r="H9" s="57" t="inlineStr">
        <is>
          <t>25-010</t>
        </is>
      </c>
      <c r="I9" s="58" t="inlineStr">
        <is>
          <t>N/A</t>
        </is>
      </c>
    </row>
    <row r="10" ht="25" customHeight="1" s="55">
      <c r="A10" s="57" t="n">
        <v>9</v>
      </c>
      <c r="B10" s="59" t="n">
        <v>46223</v>
      </c>
      <c r="C10" s="57" t="inlineStr">
        <is>
          <t>AR</t>
        </is>
      </c>
      <c r="D10" s="57" t="inlineStr">
        <is>
          <t>UKYT-25-013</t>
        </is>
      </c>
      <c r="E10" s="57" t="n">
        <v>0.377</v>
      </c>
      <c r="F10" s="57">
        <f> ((P18+((E10 + 0.00159+E10) / 0.00519) * 12 * 1) / (3 * 1000))</f>
        <v/>
      </c>
      <c r="G10" s="57" t="inlineStr">
        <is>
          <t>5.19E-03*x + -0.0159</t>
        </is>
      </c>
      <c r="H10" s="57" t="inlineStr">
        <is>
          <t>25-013</t>
        </is>
      </c>
      <c r="I10" s="58" t="inlineStr">
        <is>
          <t>N/A</t>
        </is>
      </c>
    </row>
    <row r="11" ht="25" customHeight="1" s="55">
      <c r="A11" s="57" t="n">
        <v>10</v>
      </c>
      <c r="B11" s="59" t="n">
        <v>46223</v>
      </c>
      <c r="C11" s="57" t="inlineStr">
        <is>
          <t>AR</t>
        </is>
      </c>
      <c r="D11" s="57" t="inlineStr">
        <is>
          <t>UKYT-25-017</t>
        </is>
      </c>
      <c r="E11" s="57" t="n">
        <v>0.501</v>
      </c>
      <c r="F11" s="57">
        <f> ((((E11 + 0.00159) / 0.00519) * 12 * 1) / (3 * 1000))</f>
        <v/>
      </c>
      <c r="G11" s="58" t="inlineStr">
        <is>
          <t>N/A</t>
        </is>
      </c>
      <c r="H11" s="57" t="inlineStr">
        <is>
          <t>25-017</t>
        </is>
      </c>
      <c r="I11" s="58" t="inlineStr">
        <is>
          <t>N/A</t>
        </is>
      </c>
    </row>
    <row r="12" ht="25" customHeight="1" s="55">
      <c r="A12" s="57" t="n">
        <v>11</v>
      </c>
      <c r="B12" s="59" t="n">
        <v>46224</v>
      </c>
      <c r="C12" s="57" t="inlineStr">
        <is>
          <t>BA</t>
        </is>
      </c>
      <c r="D12" s="57" t="inlineStr">
        <is>
          <t>UKYT-26-001</t>
        </is>
      </c>
      <c r="E12" s="57" t="n">
        <v>0.04</v>
      </c>
      <c r="F12" s="57">
        <f> ((((E12 + -0.011) / -0.000118) * 12 * 1) / (3 * 1000))</f>
        <v/>
      </c>
      <c r="G12" s="57" t="inlineStr">
        <is>
          <t>Difficulties with the standards as well as the samples. After leaving them for an hour, the samples turned yellow instead of blue.; 21-Jul Standard Curve Equation</t>
        </is>
      </c>
      <c r="H12" s="57" t="inlineStr">
        <is>
          <t>26-001</t>
        </is>
      </c>
      <c r="I12" s="58" t="inlineStr">
        <is>
          <t>N/A</t>
        </is>
      </c>
    </row>
    <row r="13" ht="25" customHeight="1" s="55">
      <c r="A13" s="57" t="n">
        <v>12</v>
      </c>
      <c r="B13" s="59" t="n">
        <v>46224</v>
      </c>
      <c r="C13" s="57" t="inlineStr">
        <is>
          <t>BA</t>
        </is>
      </c>
      <c r="D13" s="57" t="inlineStr">
        <is>
          <t>UKYT-25-004</t>
        </is>
      </c>
      <c r="E13" s="57" t="n">
        <v>0.173</v>
      </c>
      <c r="F13" s="57">
        <f> ((((E13 + -0.011) / -0.000118) * 12 * 1) / (3 * 1000))</f>
        <v/>
      </c>
      <c r="G13" s="58" t="inlineStr">
        <is>
          <t>N/A</t>
        </is>
      </c>
      <c r="H13" s="57" t="inlineStr">
        <is>
          <t>25-004</t>
        </is>
      </c>
      <c r="I13" s="58" t="inlineStr">
        <is>
          <t>N/A</t>
        </is>
      </c>
    </row>
    <row r="14" ht="25" customHeight="1" s="55">
      <c r="A14" s="57" t="n">
        <v>13</v>
      </c>
      <c r="B14" s="59" t="n">
        <v>46224</v>
      </c>
      <c r="C14" s="57" t="inlineStr">
        <is>
          <t>BA</t>
        </is>
      </c>
      <c r="D14" s="57" t="inlineStr">
        <is>
          <t>UKYT-25-011</t>
        </is>
      </c>
      <c r="E14" s="57" t="n">
        <v>0.044</v>
      </c>
      <c r="F14" s="57">
        <f> ((((E14 + -0.011) / -0.000118) * 12 * 1) / (3 * 1000))</f>
        <v/>
      </c>
      <c r="G14" s="58" t="inlineStr">
        <is>
          <t>N/A</t>
        </is>
      </c>
      <c r="H14" s="57" t="inlineStr">
        <is>
          <t>25-011</t>
        </is>
      </c>
      <c r="I14" s="58" t="inlineStr">
        <is>
          <t>N/A</t>
        </is>
      </c>
    </row>
    <row r="15" ht="25" customHeight="1" s="55">
      <c r="A15" s="57" t="n">
        <v>14</v>
      </c>
      <c r="B15" s="59" t="n">
        <v>46224</v>
      </c>
      <c r="C15" s="57" t="inlineStr">
        <is>
          <t>BA</t>
        </is>
      </c>
      <c r="D15" s="57" t="inlineStr">
        <is>
          <t>UKYT-25-012</t>
        </is>
      </c>
      <c r="E15" s="57" t="n">
        <v>0.192</v>
      </c>
      <c r="F15" s="57">
        <f> ((((E15 + -0.011) / -0.000118) * 12 * 1) / (3 * 1000))</f>
        <v/>
      </c>
      <c r="G15" s="58" t="inlineStr">
        <is>
          <t>N/A</t>
        </is>
      </c>
      <c r="H15" s="57" t="inlineStr">
        <is>
          <t>25-012</t>
        </is>
      </c>
      <c r="I15" s="58" t="inlineStr">
        <is>
          <t>N/A</t>
        </is>
      </c>
    </row>
    <row r="16" ht="25" customHeight="1" s="55">
      <c r="A16" s="57" t="n">
        <v>15</v>
      </c>
      <c r="B16" s="59" t="n">
        <v>46224</v>
      </c>
      <c r="C16" s="57" t="inlineStr">
        <is>
          <t>BA</t>
        </is>
      </c>
      <c r="D16" s="57" t="inlineStr">
        <is>
          <t>UKYT-25-014</t>
        </is>
      </c>
      <c r="E16" s="57" t="n">
        <v>0.214</v>
      </c>
      <c r="F16" s="57">
        <f> ((((E16 + -0.011) / -0.000118) * 12 * 1) / (3 * 1000))</f>
        <v/>
      </c>
      <c r="G16" s="58" t="inlineStr">
        <is>
          <t>N/A</t>
        </is>
      </c>
      <c r="H16" s="57" t="inlineStr">
        <is>
          <t>25-014</t>
        </is>
      </c>
      <c r="I16" s="58" t="inlineStr">
        <is>
          <t>N/A</t>
        </is>
      </c>
    </row>
    <row r="17" ht="25" customHeight="1" s="55">
      <c r="A17" s="57" t="n">
        <v>16</v>
      </c>
      <c r="B17" s="59" t="n">
        <v>46225</v>
      </c>
      <c r="C17" s="57" t="inlineStr">
        <is>
          <t>BA</t>
        </is>
      </c>
      <c r="D17" s="57" t="inlineStr">
        <is>
          <t>UKYT-26-001</t>
        </is>
      </c>
      <c r="E17" s="57" t="n">
        <v>1.07</v>
      </c>
      <c r="F17" s="57">
        <f> ((((E17 + 0.0035) / 0.0325) * 12 * 1) / (3 * 1000))</f>
        <v/>
      </c>
      <c r="G17" s="57" t="inlineStr">
        <is>
          <t>Better values today. Samples were left overnight in a Styrofoam box with ice. Absorbance values are high, but GABA values are lower than usual.; 22 - Jul Standard Curve Equation</t>
        </is>
      </c>
      <c r="H17" s="57" t="inlineStr">
        <is>
          <t>26-001</t>
        </is>
      </c>
      <c r="I17" s="58" t="inlineStr">
        <is>
          <t>N/A</t>
        </is>
      </c>
    </row>
    <row r="18" ht="25" customHeight="1" s="55">
      <c r="A18" s="57" t="n">
        <v>17</v>
      </c>
      <c r="B18" s="59" t="n">
        <v>46225</v>
      </c>
      <c r="C18" s="57" t="inlineStr">
        <is>
          <t>BA</t>
        </is>
      </c>
      <c r="D18" s="57" t="inlineStr">
        <is>
          <t>UKYT-25-004</t>
        </is>
      </c>
      <c r="E18" s="57" t="n">
        <v>1.019</v>
      </c>
      <c r="F18" s="57">
        <f> ((((E18 + 0.0035) / 0.0325) * 12 * 1) / (3 * 1000))</f>
        <v/>
      </c>
      <c r="G18" s="57" t="inlineStr">
        <is>
          <t>3.5E-03*x + 0.0325</t>
        </is>
      </c>
      <c r="H18" s="57" t="inlineStr">
        <is>
          <t>25-004</t>
        </is>
      </c>
      <c r="I18" s="58" t="inlineStr">
        <is>
          <t>N/A</t>
        </is>
      </c>
    </row>
    <row r="19" ht="25" customHeight="1" s="55">
      <c r="A19" s="57" t="n">
        <v>18</v>
      </c>
      <c r="B19" s="59" t="n">
        <v>46225</v>
      </c>
      <c r="C19" s="57" t="inlineStr">
        <is>
          <t>BA</t>
        </is>
      </c>
      <c r="D19" s="57" t="inlineStr">
        <is>
          <t>UKYT-25-011</t>
        </is>
      </c>
      <c r="E19" s="57" t="n">
        <v>0.915</v>
      </c>
      <c r="F19" s="57">
        <f> ((((E19 + 0.0035) / 0.0325) * 12 * 1) / (3 * 1000))</f>
        <v/>
      </c>
      <c r="G19" s="58" t="inlineStr">
        <is>
          <t>N/A</t>
        </is>
      </c>
      <c r="H19" s="57" t="inlineStr">
        <is>
          <t>25-011</t>
        </is>
      </c>
      <c r="I19" s="58" t="inlineStr">
        <is>
          <t>N/A</t>
        </is>
      </c>
    </row>
    <row r="20" ht="25" customHeight="1" s="55">
      <c r="A20" s="57" t="n">
        <v>19</v>
      </c>
      <c r="B20" s="59" t="n">
        <v>46225</v>
      </c>
      <c r="C20" s="57" t="inlineStr">
        <is>
          <t>BA</t>
        </is>
      </c>
      <c r="D20" s="57" t="inlineStr">
        <is>
          <t>UKYT-25-012</t>
        </is>
      </c>
      <c r="E20" s="57" t="n">
        <v>1.145</v>
      </c>
      <c r="F20" s="57">
        <f> ((((E20 + 0.0035) / 0.0325) * 12 * 1) / (3 * 1000))</f>
        <v/>
      </c>
      <c r="G20" s="58" t="inlineStr">
        <is>
          <t>N/A</t>
        </is>
      </c>
      <c r="H20" s="57" t="inlineStr">
        <is>
          <t>25-012</t>
        </is>
      </c>
      <c r="I20" s="58" t="inlineStr">
        <is>
          <t>N/A</t>
        </is>
      </c>
    </row>
    <row r="21" ht="25" customHeight="1" s="55">
      <c r="A21" s="57" t="n">
        <v>20</v>
      </c>
      <c r="B21" s="59" t="n">
        <v>46225</v>
      </c>
      <c r="C21" s="57" t="inlineStr">
        <is>
          <t>BA</t>
        </is>
      </c>
      <c r="D21" s="57" t="inlineStr">
        <is>
          <t>UKYT-25-014</t>
        </is>
      </c>
      <c r="E21" s="57" t="n">
        <v>1.299</v>
      </c>
      <c r="F21" s="57">
        <f> ((((E21 + 0.0035) / 0.0325) * 12 * 1) / (3 * 1000))</f>
        <v/>
      </c>
      <c r="G21" s="58" t="inlineStr">
        <is>
          <t>N/A</t>
        </is>
      </c>
      <c r="H21" s="57" t="inlineStr">
        <is>
          <t>25-014</t>
        </is>
      </c>
      <c r="I21" s="58" t="inlineStr">
        <is>
          <t>N/A</t>
        </is>
      </c>
    </row>
    <row r="22" ht="25" customHeight="1" s="55">
      <c r="A22" s="57" t="n">
        <v>21</v>
      </c>
      <c r="B22" s="59" t="n">
        <v>46230</v>
      </c>
      <c r="C22" s="57" t="inlineStr">
        <is>
          <t>AR</t>
        </is>
      </c>
      <c r="D22" s="57" t="inlineStr">
        <is>
          <t>UKYT-25-006</t>
        </is>
      </c>
      <c r="E22" s="57" t="n">
        <v>0.362</v>
      </c>
      <c r="F22" s="57">
        <f> ((((E22 + 0.0482) / 0.00487) * 12 * 1) / (3 * 1000))</f>
        <v/>
      </c>
      <c r="G22" s="58" t="inlineStr">
        <is>
          <t>N/A</t>
        </is>
      </c>
      <c r="H22" s="57" t="inlineStr">
        <is>
          <t>25-006</t>
        </is>
      </c>
      <c r="I22" s="58" t="inlineStr">
        <is>
          <t>N/A</t>
        </is>
      </c>
    </row>
    <row r="23" ht="25" customHeight="1" s="55">
      <c r="A23" s="57" t="n">
        <v>22</v>
      </c>
      <c r="B23" s="59" t="n">
        <v>46230</v>
      </c>
      <c r="C23" s="57" t="inlineStr">
        <is>
          <t>AR</t>
        </is>
      </c>
      <c r="D23" s="57" t="inlineStr">
        <is>
          <t>UKYT-25-007</t>
        </is>
      </c>
      <c r="E23" s="57" t="n">
        <v>0.365</v>
      </c>
      <c r="F23" s="57">
        <f> ((((E23 + 0.0482) / 0.00487) * 12 * 1) / (3 * 1000))</f>
        <v/>
      </c>
      <c r="G23" s="58" t="inlineStr">
        <is>
          <t>N/A</t>
        </is>
      </c>
      <c r="H23" s="57" t="inlineStr">
        <is>
          <t>25-007</t>
        </is>
      </c>
      <c r="I23" s="58" t="inlineStr">
        <is>
          <t>N/A</t>
        </is>
      </c>
    </row>
    <row r="24" ht="25" customHeight="1" s="55">
      <c r="A24" s="57" t="n">
        <v>23</v>
      </c>
      <c r="B24" s="59" t="n">
        <v>46230</v>
      </c>
      <c r="C24" s="57" t="inlineStr">
        <is>
          <t>AR</t>
        </is>
      </c>
      <c r="D24" s="57" t="inlineStr">
        <is>
          <t>UKYT-25-009</t>
        </is>
      </c>
      <c r="E24" s="57" t="n">
        <v>0.541</v>
      </c>
      <c r="F24" s="57">
        <f> ((((E24 + 0.0482) / 0.00487) * 12 * 1) / (3 * 1000))</f>
        <v/>
      </c>
      <c r="G24" s="58" t="inlineStr">
        <is>
          <t>N/A</t>
        </is>
      </c>
      <c r="H24" s="57" t="inlineStr">
        <is>
          <t>25-009</t>
        </is>
      </c>
      <c r="I24" s="58" t="inlineStr">
        <is>
          <t>N/A</t>
        </is>
      </c>
    </row>
    <row r="25" ht="25" customHeight="1" s="55">
      <c r="A25" s="57" t="n">
        <v>24</v>
      </c>
      <c r="B25" s="59" t="n">
        <v>46230</v>
      </c>
      <c r="C25" s="57" t="inlineStr">
        <is>
          <t>AR</t>
        </is>
      </c>
      <c r="D25" s="57" t="inlineStr">
        <is>
          <t>UKYT-25-011</t>
        </is>
      </c>
      <c r="E25" s="57" t="n">
        <v>0.583</v>
      </c>
      <c r="F25" s="57">
        <f> ((((E25 + 0.0482) / 0.00487) * 12 * 1) / (3 * 1000))</f>
        <v/>
      </c>
      <c r="G25" s="57" t="inlineStr">
        <is>
          <t>Everything went well today. If the slope consistently floats around 5.00E-03, we should be able to make a universal equation soon. If it doesnt then we would likely need more runs until it stabilizes consistently at a acceptable slope.; 27 - Jul Standard Curve Equation</t>
        </is>
      </c>
      <c r="H25" s="57" t="inlineStr">
        <is>
          <t>25-011</t>
        </is>
      </c>
      <c r="I25" s="58" t="inlineStr">
        <is>
          <t>N/A</t>
        </is>
      </c>
    </row>
    <row r="26" ht="25" customHeight="1" s="55">
      <c r="A26" s="57" t="n">
        <v>25</v>
      </c>
      <c r="B26" s="59" t="n">
        <v>46230</v>
      </c>
      <c r="C26" s="57" t="inlineStr">
        <is>
          <t>AR</t>
        </is>
      </c>
      <c r="D26" s="57" t="inlineStr">
        <is>
          <t>UKYT-25-013</t>
        </is>
      </c>
      <c r="E26" s="57" t="n">
        <v>0.576</v>
      </c>
      <c r="F26" s="57">
        <f> ((((E26 + 0.0482) / 0.00487) * 12 * 1) / (3 * 1000))</f>
        <v/>
      </c>
      <c r="G26" s="57" t="inlineStr">
        <is>
          <t>4.87E-03*x + -0.0482</t>
        </is>
      </c>
      <c r="H26" s="57" t="inlineStr">
        <is>
          <t>25-013</t>
        </is>
      </c>
      <c r="I26" s="58" t="inlineStr">
        <is>
          <t>N/A</t>
        </is>
      </c>
    </row>
    <row r="27" ht="25" customHeight="1" s="55">
      <c r="A27" s="57" t="n">
        <v>26</v>
      </c>
      <c r="B27" s="59" t="n">
        <v>46230</v>
      </c>
      <c r="C27" s="57" t="inlineStr">
        <is>
          <t>AR</t>
        </is>
      </c>
      <c r="D27" s="57" t="inlineStr">
        <is>
          <t>UKYT-25-017</t>
        </is>
      </c>
      <c r="E27" s="57" t="n">
        <v>0.498</v>
      </c>
      <c r="F27" s="57">
        <f> ((((E27 + 0.0482) / 0.00487) * 12 * 1) / (3 * 1000))</f>
        <v/>
      </c>
      <c r="G27" s="58" t="inlineStr">
        <is>
          <t>N/A</t>
        </is>
      </c>
      <c r="H27" s="57" t="inlineStr">
        <is>
          <t>25-017</t>
        </is>
      </c>
      <c r="I27" s="58" t="inlineStr">
        <is>
          <t>N/A</t>
        </is>
      </c>
    </row>
    <row r="28" ht="25" customHeight="1" s="55">
      <c r="A28" s="57" t="n">
        <v>27</v>
      </c>
      <c r="B28" s="59" t="n">
        <v>46231</v>
      </c>
      <c r="C28" s="57" t="inlineStr">
        <is>
          <t>AR</t>
        </is>
      </c>
      <c r="D28" s="57" t="inlineStr">
        <is>
          <t>UKYT-26-001</t>
        </is>
      </c>
      <c r="E28" s="57" t="n">
        <v>0.144</v>
      </c>
      <c r="F28" s="57">
        <f> ((((E28 + 0.02506) / 0.001769) * 0.8 * 1) / (0.2 * 1000))</f>
        <v/>
      </c>
      <c r="G28" s="57" t="inlineStr">
        <is>
          <t>26-001</t>
        </is>
      </c>
      <c r="H28" s="57" t="inlineStr">
        <is>
          <t>HT3 26-001 Rep 1</t>
        </is>
      </c>
      <c r="I28" s="57" t="inlineStr">
        <is>
          <t>R1</t>
        </is>
      </c>
    </row>
    <row r="29" ht="25" customHeight="1" s="55">
      <c r="A29" s="57" t="n">
        <v>28</v>
      </c>
      <c r="B29" s="59" t="n">
        <v>46231</v>
      </c>
      <c r="C29" s="57" t="inlineStr">
        <is>
          <t>AR</t>
        </is>
      </c>
      <c r="D29" s="57" t="inlineStr">
        <is>
          <t>UKYT-26-001</t>
        </is>
      </c>
      <c r="E29" s="57" t="n">
        <v>0.138</v>
      </c>
      <c r="F29" s="57">
        <f> ((((E29 + 0.02506) / 0.001769) * 0.8 * 1) / (0.2 * 1000))</f>
        <v/>
      </c>
      <c r="G29" s="57" t="inlineStr">
        <is>
          <t>26-001</t>
        </is>
      </c>
      <c r="H29" s="57" t="inlineStr">
        <is>
          <t>HT3 26-001 Rep 2</t>
        </is>
      </c>
      <c r="I29" s="57" t="inlineStr">
        <is>
          <t>R2</t>
        </is>
      </c>
    </row>
    <row r="30" ht="25" customHeight="1" s="55">
      <c r="A30" s="57" t="n">
        <v>29</v>
      </c>
      <c r="B30" s="59" t="n">
        <v>46231</v>
      </c>
      <c r="C30" s="57" t="inlineStr">
        <is>
          <t>AR</t>
        </is>
      </c>
      <c r="D30" s="57" t="inlineStr">
        <is>
          <t>UKYT-26-001</t>
        </is>
      </c>
      <c r="E30" s="57" t="n">
        <v>0.17</v>
      </c>
      <c r="F30" s="57">
        <f> ((((E30 + 0.02506) / 0.001769) * 0.8 * 1) / (0.2 * 1000))</f>
        <v/>
      </c>
      <c r="G30" s="57" t="inlineStr">
        <is>
          <t>26-001</t>
        </is>
      </c>
      <c r="H30" s="57" t="inlineStr">
        <is>
          <t>HT3 26-001 Rep 3</t>
        </is>
      </c>
      <c r="I30" s="57" t="inlineStr">
        <is>
          <t>R3</t>
        </is>
      </c>
    </row>
    <row r="31" ht="25" customHeight="1" s="55">
      <c r="A31" s="57" t="n">
        <v>30</v>
      </c>
      <c r="B31" s="59" t="n">
        <v>46231</v>
      </c>
      <c r="C31" s="57" t="inlineStr">
        <is>
          <t>AR</t>
        </is>
      </c>
      <c r="D31" s="57" t="inlineStr">
        <is>
          <t>UKYT-26-001</t>
        </is>
      </c>
      <c r="E31" s="57" t="n">
        <v>0.131</v>
      </c>
      <c r="F31" s="57">
        <f> ((((E31 + 0.02506) / 0.001769) * 0.8 * 1) / (0.2 * 1000))</f>
        <v/>
      </c>
      <c r="G31" s="57" t="inlineStr">
        <is>
          <t>26-001</t>
        </is>
      </c>
      <c r="H31" s="57" t="inlineStr">
        <is>
          <t>HT3 26-001 Rep 4</t>
        </is>
      </c>
      <c r="I31" s="57" t="inlineStr">
        <is>
          <t>R4</t>
        </is>
      </c>
    </row>
    <row r="32" ht="25" customHeight="1" s="55">
      <c r="A32" s="57" t="n">
        <v>31</v>
      </c>
      <c r="B32" s="59" t="n">
        <v>46231</v>
      </c>
      <c r="C32" s="57" t="inlineStr">
        <is>
          <t>AR</t>
        </is>
      </c>
      <c r="D32" s="57" t="inlineStr">
        <is>
          <t>UKYT-25-002</t>
        </is>
      </c>
      <c r="E32" s="57" t="n">
        <v>0.18</v>
      </c>
      <c r="F32" s="57">
        <f> ((((E32 + 0.02506) / 0.001769) * 0.8 * 1) / (0.2 * 1000))</f>
        <v/>
      </c>
      <c r="G32" s="57" t="inlineStr">
        <is>
          <t>25-002</t>
        </is>
      </c>
      <c r="H32" s="57" t="inlineStr">
        <is>
          <t>HT3 25-002 Rep 1</t>
        </is>
      </c>
      <c r="I32" s="57" t="inlineStr">
        <is>
          <t>R1</t>
        </is>
      </c>
    </row>
    <row r="33" ht="25" customHeight="1" s="55">
      <c r="A33" s="57" t="n">
        <v>32</v>
      </c>
      <c r="B33" s="59" t="n">
        <v>46231</v>
      </c>
      <c r="C33" s="57" t="inlineStr">
        <is>
          <t>AR</t>
        </is>
      </c>
      <c r="D33" s="57" t="inlineStr">
        <is>
          <t>UKYT-25-002</t>
        </is>
      </c>
      <c r="E33" s="57" t="n">
        <v>0.209</v>
      </c>
      <c r="F33" s="57">
        <f> ((((E33 + 0.02506) / 0.001769) * 0.8 * 1) / (0.2 * 1000))</f>
        <v/>
      </c>
      <c r="G33" s="57" t="inlineStr">
        <is>
          <t>25-002</t>
        </is>
      </c>
      <c r="H33" s="57" t="inlineStr">
        <is>
          <t>HT3 25-002 Rep 2</t>
        </is>
      </c>
      <c r="I33" s="57" t="inlineStr">
        <is>
          <t>R2</t>
        </is>
      </c>
    </row>
    <row r="34" ht="25" customHeight="1" s="55">
      <c r="A34" s="57" t="n">
        <v>33</v>
      </c>
      <c r="B34" s="59" t="n">
        <v>46231</v>
      </c>
      <c r="C34" s="57" t="inlineStr">
        <is>
          <t>AR</t>
        </is>
      </c>
      <c r="D34" s="57" t="inlineStr">
        <is>
          <t>UKYT-25-002</t>
        </is>
      </c>
      <c r="E34" s="57" t="n">
        <v>0.292</v>
      </c>
      <c r="F34" s="57">
        <f> ((((E34 + 0.02506) / 0.001769) * 0.8 * 1) / (0.2 * 1000))</f>
        <v/>
      </c>
      <c r="G34" s="57" t="inlineStr">
        <is>
          <t>25-002</t>
        </is>
      </c>
      <c r="H34" s="57" t="inlineStr">
        <is>
          <t>HT3 25-002 Rep 3</t>
        </is>
      </c>
      <c r="I34" s="57" t="inlineStr">
        <is>
          <t>R3</t>
        </is>
      </c>
    </row>
    <row r="35" ht="25" customHeight="1" s="55">
      <c r="A35" s="57" t="n">
        <v>34</v>
      </c>
      <c r="B35" s="59" t="n">
        <v>46231</v>
      </c>
      <c r="C35" s="57" t="inlineStr">
        <is>
          <t>AR</t>
        </is>
      </c>
      <c r="D35" s="57" t="inlineStr">
        <is>
          <t>UKYT-25-002</t>
        </is>
      </c>
      <c r="E35" s="57" t="n">
        <v>0.177</v>
      </c>
      <c r="F35" s="57">
        <f> ((((E35 + 0.02506) / 0.001769) * 0.8 * 1) / (0.2 * 1000))</f>
        <v/>
      </c>
      <c r="G35" s="57" t="inlineStr">
        <is>
          <t>25-002</t>
        </is>
      </c>
      <c r="H35" s="57" t="inlineStr">
        <is>
          <t>HT3 25-002 Rep 4</t>
        </is>
      </c>
      <c r="I35" s="57" t="inlineStr">
        <is>
          <t>R4</t>
        </is>
      </c>
    </row>
    <row r="36" ht="25" customHeight="1" s="55">
      <c r="A36" s="57" t="n">
        <v>35</v>
      </c>
      <c r="B36" s="59" t="n">
        <v>46231</v>
      </c>
      <c r="C36" s="57" t="inlineStr">
        <is>
          <t>AR</t>
        </is>
      </c>
      <c r="D36" s="57" t="inlineStr">
        <is>
          <t>Mountain Fresh</t>
        </is>
      </c>
      <c r="E36" s="57" t="n">
        <v>0.425</v>
      </c>
      <c r="F36" s="57">
        <f> ((((E36 + 0.02506) / 0.001769) * 0.8 * 1) / (0.2 * 1000))</f>
        <v/>
      </c>
      <c r="G36" s="57" t="inlineStr">
        <is>
          <t>M. Fresh</t>
        </is>
      </c>
      <c r="H36" s="57" t="inlineStr">
        <is>
          <t>HT3 M. Fresh Rep 1</t>
        </is>
      </c>
      <c r="I36" s="57" t="inlineStr">
        <is>
          <t>R1</t>
        </is>
      </c>
    </row>
    <row r="37" ht="25" customHeight="1" s="55">
      <c r="A37" s="57" t="n">
        <v>36</v>
      </c>
      <c r="B37" s="59" t="n">
        <v>46231</v>
      </c>
      <c r="C37" s="57" t="inlineStr">
        <is>
          <t>AR</t>
        </is>
      </c>
      <c r="D37" s="57" t="inlineStr">
        <is>
          <t>Mountain Fresh</t>
        </is>
      </c>
      <c r="E37" s="57" t="n">
        <v>0.45</v>
      </c>
      <c r="F37" s="57">
        <f> ((((E37 + 0.02506) / 0.001769) * 0.8 * 1) / (0.2 * 1000))</f>
        <v/>
      </c>
      <c r="G37" s="57" t="inlineStr">
        <is>
          <t>M. Fresh</t>
        </is>
      </c>
      <c r="H37" s="57" t="inlineStr">
        <is>
          <t>HT3 M. Fresh Rep 2</t>
        </is>
      </c>
      <c r="I37" s="57" t="inlineStr">
        <is>
          <t>R2</t>
        </is>
      </c>
    </row>
    <row r="38" ht="25" customHeight="1" s="55">
      <c r="A38" s="57" t="n">
        <v>37</v>
      </c>
      <c r="B38" s="59" t="n">
        <v>46231</v>
      </c>
      <c r="C38" s="57" t="inlineStr">
        <is>
          <t>AR</t>
        </is>
      </c>
      <c r="D38" s="57" t="inlineStr">
        <is>
          <t>Mountain Fresh</t>
        </is>
      </c>
      <c r="E38" s="57" t="n">
        <v>0.389</v>
      </c>
      <c r="F38" s="57">
        <f> ((((E38 + 0.02506) / 0.001769) * 0.8 * 1) / (0.2 * 1000))</f>
        <v/>
      </c>
      <c r="G38" s="57" t="inlineStr">
        <is>
          <t>M. Fresh</t>
        </is>
      </c>
      <c r="H38" s="57" t="inlineStr">
        <is>
          <t>HT3 M. Fresh Rep 3</t>
        </is>
      </c>
      <c r="I38" s="57" t="inlineStr">
        <is>
          <t>R3</t>
        </is>
      </c>
    </row>
    <row r="39" ht="25" customHeight="1" s="55">
      <c r="A39" s="57" t="n">
        <v>38</v>
      </c>
      <c r="B39" s="59" t="n">
        <v>46231</v>
      </c>
      <c r="C39" s="57" t="inlineStr">
        <is>
          <t>AR</t>
        </is>
      </c>
      <c r="D39" s="57" t="inlineStr">
        <is>
          <t>Mountain Fresh</t>
        </is>
      </c>
      <c r="E39" s="57" t="n">
        <v>0.455</v>
      </c>
      <c r="F39" s="57">
        <f> ((((E39 + 0.02506) / 0.001769) * 0.8 * 1) / (0.2 * 1000))</f>
        <v/>
      </c>
      <c r="G39" s="57" t="inlineStr">
        <is>
          <t>M. Fresh</t>
        </is>
      </c>
      <c r="H39" s="57" t="inlineStr">
        <is>
          <t>HT3 M. Fresh Rep 4</t>
        </is>
      </c>
      <c r="I39" s="57" t="inlineStr">
        <is>
          <t>R4</t>
        </is>
      </c>
    </row>
    <row r="40" ht="25" customHeight="1" s="55">
      <c r="A40" s="57" t="n">
        <v>39</v>
      </c>
      <c r="B40" s="59" t="n">
        <v>46231</v>
      </c>
      <c r="C40" s="57" t="inlineStr">
        <is>
          <t>AR</t>
        </is>
      </c>
      <c r="D40" s="57" t="inlineStr">
        <is>
          <t>UKYT-25-004</t>
        </is>
      </c>
      <c r="E40" s="57" t="n">
        <v>0.126</v>
      </c>
      <c r="F40" s="57">
        <f> ((((E40 + 0.02506) / 0.001769) * 0.8 * 1) / (0.2 * 1000))</f>
        <v/>
      </c>
      <c r="G40" s="57" t="inlineStr">
        <is>
          <t>25-004</t>
        </is>
      </c>
      <c r="H40" s="57" t="inlineStr">
        <is>
          <t>HT3 25-004 Rep 1</t>
        </is>
      </c>
      <c r="I40" s="57" t="inlineStr">
        <is>
          <t>R1</t>
        </is>
      </c>
    </row>
    <row r="41" ht="25" customHeight="1" s="55">
      <c r="A41" s="57" t="n">
        <v>40</v>
      </c>
      <c r="B41" s="59" t="n">
        <v>46231</v>
      </c>
      <c r="C41" s="57" t="inlineStr">
        <is>
          <t>AR</t>
        </is>
      </c>
      <c r="D41" s="57" t="inlineStr">
        <is>
          <t>UKYT-25-004</t>
        </is>
      </c>
      <c r="E41" s="57" t="n">
        <v>0.164</v>
      </c>
      <c r="F41" s="57">
        <f> ((((E41 + 0.02506) / 0.001769) * 0.8 * 1) / (0.2 * 1000))</f>
        <v/>
      </c>
      <c r="G41" s="57" t="inlineStr">
        <is>
          <t>25-004</t>
        </is>
      </c>
      <c r="H41" s="57" t="inlineStr">
        <is>
          <t>HT3 25-004 Rep 2</t>
        </is>
      </c>
      <c r="I41" s="57" t="inlineStr">
        <is>
          <t>R2</t>
        </is>
      </c>
    </row>
    <row r="42" ht="25" customHeight="1" s="55">
      <c r="A42" s="57" t="n">
        <v>41</v>
      </c>
      <c r="B42" s="59" t="n">
        <v>46231</v>
      </c>
      <c r="C42" s="57" t="inlineStr">
        <is>
          <t>AR</t>
        </is>
      </c>
      <c r="D42" s="57" t="inlineStr">
        <is>
          <t>UKYT-25-004</t>
        </is>
      </c>
      <c r="E42" s="57" t="n">
        <v>0.183</v>
      </c>
      <c r="F42" s="57">
        <f> ((((E42 + 0.02506) / 0.001769) * 0.8 * 1) / (0.2 * 1000))</f>
        <v/>
      </c>
      <c r="G42" s="57" t="inlineStr">
        <is>
          <t>25-004</t>
        </is>
      </c>
      <c r="H42" s="57" t="inlineStr">
        <is>
          <t>HT3 25-004 Rep 3</t>
        </is>
      </c>
      <c r="I42" s="57" t="inlineStr">
        <is>
          <t>R3</t>
        </is>
      </c>
    </row>
    <row r="43" ht="25" customHeight="1" s="55">
      <c r="A43" s="57" t="n">
        <v>42</v>
      </c>
      <c r="B43" s="59" t="n">
        <v>46231</v>
      </c>
      <c r="C43" s="57" t="inlineStr">
        <is>
          <t>AR</t>
        </is>
      </c>
      <c r="D43" s="57" t="inlineStr">
        <is>
          <t>UKYT-25-004</t>
        </is>
      </c>
      <c r="E43" s="57" t="n">
        <v>0.213</v>
      </c>
      <c r="F43" s="57">
        <f> ((((E43 + 0.02506) / 0.001769) * 0.8 * 1) / (0.2 * 1000))</f>
        <v/>
      </c>
      <c r="G43" s="57" t="inlineStr">
        <is>
          <t>25-004</t>
        </is>
      </c>
      <c r="H43" s="57" t="inlineStr">
        <is>
          <t>HT3 25-004 Rep 4</t>
        </is>
      </c>
      <c r="I43" s="57" t="inlineStr">
        <is>
          <t>R4</t>
        </is>
      </c>
    </row>
    <row r="44" ht="25" customHeight="1" s="55">
      <c r="A44" s="57" t="n">
        <v>43</v>
      </c>
      <c r="B44" s="59" t="n">
        <v>46231</v>
      </c>
      <c r="C44" s="57" t="inlineStr">
        <is>
          <t>AR</t>
        </is>
      </c>
      <c r="D44" s="57" t="inlineStr">
        <is>
          <t>UKYT-25-005</t>
        </is>
      </c>
      <c r="E44" s="57" t="n">
        <v>0.162</v>
      </c>
      <c r="F44" s="57">
        <f> ((((E44 + 0.02506) / 0.001769) * 0.8 * 1) / (0.2 * 1000))</f>
        <v/>
      </c>
      <c r="G44" s="57" t="inlineStr">
        <is>
          <t>25-005</t>
        </is>
      </c>
      <c r="H44" s="57" t="inlineStr">
        <is>
          <t>HT3 25-005 Rep 1</t>
        </is>
      </c>
      <c r="I44" s="57" t="inlineStr">
        <is>
          <t>R1</t>
        </is>
      </c>
    </row>
    <row r="45" ht="25" customHeight="1" s="55">
      <c r="A45" s="57" t="n">
        <v>44</v>
      </c>
      <c r="B45" s="59" t="n">
        <v>46231</v>
      </c>
      <c r="C45" s="57" t="inlineStr">
        <is>
          <t>AR</t>
        </is>
      </c>
      <c r="D45" s="57" t="inlineStr">
        <is>
          <t>UKYT-25-005</t>
        </is>
      </c>
      <c r="E45" s="57" t="n">
        <v>0.196</v>
      </c>
      <c r="F45" s="57">
        <f> ((((E45 + 0.02506) / 0.001769) * 0.8 * 1) / (0.2 * 1000))</f>
        <v/>
      </c>
      <c r="G45" s="57" t="inlineStr">
        <is>
          <t>25-005</t>
        </is>
      </c>
      <c r="H45" s="57" t="inlineStr">
        <is>
          <t>HT3 25-005 Rep 2</t>
        </is>
      </c>
      <c r="I45" s="57" t="inlineStr">
        <is>
          <t>R2</t>
        </is>
      </c>
    </row>
    <row r="46" ht="25" customHeight="1" s="55">
      <c r="A46" s="57" t="n">
        <v>45</v>
      </c>
      <c r="B46" s="59" t="n">
        <v>46231</v>
      </c>
      <c r="C46" s="57" t="inlineStr">
        <is>
          <t>AR</t>
        </is>
      </c>
      <c r="D46" s="57" t="inlineStr">
        <is>
          <t>UKYT-25-005</t>
        </is>
      </c>
      <c r="E46" s="57" t="n">
        <v>0.22</v>
      </c>
      <c r="F46" s="57">
        <f> ((((E46 + 0.02506) / 0.001769) * 0.8 * 1) / (0.2 * 1000))</f>
        <v/>
      </c>
      <c r="G46" s="57" t="inlineStr">
        <is>
          <t>25-005</t>
        </is>
      </c>
      <c r="H46" s="57" t="inlineStr">
        <is>
          <t>HT3 25-005 Rep 3</t>
        </is>
      </c>
      <c r="I46" s="57" t="inlineStr">
        <is>
          <t>R3</t>
        </is>
      </c>
    </row>
    <row r="47" ht="25" customHeight="1" s="55">
      <c r="A47" s="57" t="n">
        <v>46</v>
      </c>
      <c r="B47" s="59" t="n">
        <v>46231</v>
      </c>
      <c r="C47" s="57" t="inlineStr">
        <is>
          <t>AR</t>
        </is>
      </c>
      <c r="D47" s="57" t="inlineStr">
        <is>
          <t>UKYT-25-005</t>
        </is>
      </c>
      <c r="E47" s="57" t="n">
        <v>0.196</v>
      </c>
      <c r="F47" s="57">
        <f> ((((E47 + 0.02506) / 0.001769) * 0.8 * 1) / (0.2 * 1000))</f>
        <v/>
      </c>
      <c r="G47" s="57" t="inlineStr">
        <is>
          <t>25-005</t>
        </is>
      </c>
      <c r="H47" s="57" t="inlineStr">
        <is>
          <t>HT3 25-005 Rep 4</t>
        </is>
      </c>
      <c r="I47" s="57" t="inlineStr">
        <is>
          <t>R4</t>
        </is>
      </c>
    </row>
    <row r="48" ht="25" customHeight="1" s="55">
      <c r="A48" s="57" t="n">
        <v>47</v>
      </c>
      <c r="B48" s="59" t="n">
        <v>46231</v>
      </c>
      <c r="C48" s="57" t="inlineStr">
        <is>
          <t>AR</t>
        </is>
      </c>
      <c r="D48" s="57" t="inlineStr">
        <is>
          <t>UKYT-26-006</t>
        </is>
      </c>
      <c r="E48" s="57" t="n">
        <v>0.113</v>
      </c>
      <c r="F48" s="57">
        <f> ((((E48 + 0.02506) / 0.001769) * 0.8 * 1) / (0.2 * 1000))</f>
        <v/>
      </c>
      <c r="G48" s="57" t="inlineStr">
        <is>
          <t>26-006</t>
        </is>
      </c>
      <c r="H48" s="57" t="inlineStr">
        <is>
          <t>HT3 26-006 Rep 1</t>
        </is>
      </c>
      <c r="I48" s="57" t="inlineStr">
        <is>
          <t>R1</t>
        </is>
      </c>
    </row>
    <row r="49" ht="25" customHeight="1" s="55">
      <c r="A49" s="57" t="n">
        <v>48</v>
      </c>
      <c r="B49" s="59" t="n">
        <v>46231</v>
      </c>
      <c r="C49" s="57" t="inlineStr">
        <is>
          <t>AR</t>
        </is>
      </c>
      <c r="D49" s="57" t="inlineStr">
        <is>
          <t>UKYT-26-006</t>
        </is>
      </c>
      <c r="E49" s="57" t="n">
        <v>0.108</v>
      </c>
      <c r="F49" s="57">
        <f> ((((E49 + 0.02506) / 0.001769) * 0.8 * 1) / (0.2 * 1000))</f>
        <v/>
      </c>
      <c r="G49" s="57" t="inlineStr">
        <is>
          <t>26-006</t>
        </is>
      </c>
      <c r="H49" s="57" t="inlineStr">
        <is>
          <t>HT3 26-006 Rep 2</t>
        </is>
      </c>
      <c r="I49" s="57" t="inlineStr">
        <is>
          <t>R2</t>
        </is>
      </c>
    </row>
    <row r="50" ht="25" customHeight="1" s="55">
      <c r="A50" s="57" t="n">
        <v>49</v>
      </c>
      <c r="B50" s="59" t="n">
        <v>46231</v>
      </c>
      <c r="C50" s="57" t="inlineStr">
        <is>
          <t>AR</t>
        </is>
      </c>
      <c r="D50" s="57" t="inlineStr">
        <is>
          <t>UKYT-26-006</t>
        </is>
      </c>
      <c r="E50" s="57" t="n">
        <v>0.251</v>
      </c>
      <c r="F50" s="57">
        <f> ((((E50 + 0.02506) / 0.001769) * 0.8 * 1) / (0.2 * 1000))</f>
        <v/>
      </c>
      <c r="G50" s="57" t="inlineStr">
        <is>
          <t>26-006</t>
        </is>
      </c>
      <c r="H50" s="57" t="inlineStr">
        <is>
          <t>HT3 26-006 Rep 3</t>
        </is>
      </c>
      <c r="I50" s="57" t="inlineStr">
        <is>
          <t>R3</t>
        </is>
      </c>
    </row>
    <row r="51" ht="25" customHeight="1" s="55">
      <c r="A51" s="57" t="n">
        <v>50</v>
      </c>
      <c r="B51" s="59" t="n">
        <v>46231</v>
      </c>
      <c r="C51" s="57" t="inlineStr">
        <is>
          <t>AR</t>
        </is>
      </c>
      <c r="D51" s="57" t="inlineStr">
        <is>
          <t>UKYT-26-006</t>
        </is>
      </c>
      <c r="E51" s="57" t="n">
        <v>0.147</v>
      </c>
      <c r="F51" s="57">
        <f> ((((E51 + 0.02506) / 0.001769) * 0.8 * 1) / (0.2 * 1000))</f>
        <v/>
      </c>
      <c r="G51" s="57" t="inlineStr">
        <is>
          <t>26-006</t>
        </is>
      </c>
      <c r="H51" s="57" t="inlineStr">
        <is>
          <t>HT3 26-006 Rep 4</t>
        </is>
      </c>
      <c r="I51" s="57" t="inlineStr">
        <is>
          <t>R4</t>
        </is>
      </c>
    </row>
    <row r="52" ht="25" customHeight="1" s="55">
      <c r="A52" s="57" t="n">
        <v>51</v>
      </c>
      <c r="B52" s="59" t="n">
        <v>46231</v>
      </c>
      <c r="C52" s="57" t="inlineStr">
        <is>
          <t>AR</t>
        </is>
      </c>
      <c r="D52" s="57" t="inlineStr">
        <is>
          <t>UKYT-25-007</t>
        </is>
      </c>
      <c r="E52" s="57" t="n">
        <v>0.178</v>
      </c>
      <c r="F52" s="57">
        <f> ((((E52 + 0.02506) / 0.001769) * 0.8 * 1) / (0.2 * 1000))</f>
        <v/>
      </c>
      <c r="G52" s="57" t="inlineStr">
        <is>
          <t>25-007</t>
        </is>
      </c>
      <c r="H52" s="57" t="inlineStr">
        <is>
          <t>HT3 25-007 Rep 1</t>
        </is>
      </c>
      <c r="I52" s="57" t="inlineStr">
        <is>
          <t>R1</t>
        </is>
      </c>
    </row>
    <row r="53" ht="25" customHeight="1" s="55">
      <c r="A53" s="57" t="n">
        <v>52</v>
      </c>
      <c r="B53" s="59" t="n">
        <v>46231</v>
      </c>
      <c r="C53" s="57" t="inlineStr">
        <is>
          <t>AR</t>
        </is>
      </c>
      <c r="D53" s="57" t="inlineStr">
        <is>
          <t>UKYT-25-007</t>
        </is>
      </c>
      <c r="E53" s="57" t="n">
        <v>0.198</v>
      </c>
      <c r="F53" s="57">
        <f> ((((E53 + 0.02506) / 0.001769) * 0.8 * 1) / (0.2 * 1000))</f>
        <v/>
      </c>
      <c r="G53" s="57" t="inlineStr">
        <is>
          <t>25-007</t>
        </is>
      </c>
      <c r="H53" s="57" t="inlineStr">
        <is>
          <t>HT3 25-007 Rep 2</t>
        </is>
      </c>
      <c r="I53" s="57" t="inlineStr">
        <is>
          <t>R2</t>
        </is>
      </c>
    </row>
    <row r="54" ht="25" customHeight="1" s="55">
      <c r="A54" s="57" t="n">
        <v>53</v>
      </c>
      <c r="B54" s="59" t="n">
        <v>46231</v>
      </c>
      <c r="C54" s="57" t="inlineStr">
        <is>
          <t>AR</t>
        </is>
      </c>
      <c r="D54" s="57" t="inlineStr">
        <is>
          <t>UKYT-25-007</t>
        </is>
      </c>
      <c r="E54" s="57" t="n">
        <v>0.291</v>
      </c>
      <c r="F54" s="57">
        <f> ((((E54 + 0.02506) / 0.001769) * 0.8 * 1) / (0.2 * 1000))</f>
        <v/>
      </c>
      <c r="G54" s="57" t="inlineStr">
        <is>
          <t>25-007</t>
        </is>
      </c>
      <c r="H54" s="57" t="inlineStr">
        <is>
          <t>HT3 25-007 Rep 3</t>
        </is>
      </c>
      <c r="I54" s="57" t="inlineStr">
        <is>
          <t>R3</t>
        </is>
      </c>
    </row>
    <row r="55" ht="25" customHeight="1" s="55">
      <c r="A55" s="57" t="n">
        <v>54</v>
      </c>
      <c r="B55" s="59" t="n">
        <v>46231</v>
      </c>
      <c r="C55" s="57" t="inlineStr">
        <is>
          <t>AR</t>
        </is>
      </c>
      <c r="D55" s="57" t="inlineStr">
        <is>
          <t>UKYT-25-007</t>
        </is>
      </c>
      <c r="E55" s="57" t="n">
        <v>0.179</v>
      </c>
      <c r="F55" s="57">
        <f> ((((E55 + 0.02506) / 0.001769) * 0.8 * 1) / (0.2 * 1000))</f>
        <v/>
      </c>
      <c r="G55" s="57" t="inlineStr">
        <is>
          <t>25-007</t>
        </is>
      </c>
      <c r="H55" s="57" t="inlineStr">
        <is>
          <t>HT3 25-007 Rep 4</t>
        </is>
      </c>
      <c r="I55" s="57" t="inlineStr">
        <is>
          <t>R4</t>
        </is>
      </c>
    </row>
    <row r="56" ht="25" customHeight="1" s="55">
      <c r="A56" s="57" t="n">
        <v>55</v>
      </c>
      <c r="B56" s="59" t="n">
        <v>46231</v>
      </c>
      <c r="C56" s="57" t="inlineStr">
        <is>
          <t>AR</t>
        </is>
      </c>
      <c r="D56" s="57" t="inlineStr">
        <is>
          <t>UKYT-25-008</t>
        </is>
      </c>
      <c r="E56" s="57" t="n">
        <v>0.139</v>
      </c>
      <c r="F56" s="57">
        <f> ((((E56 + 0.02506) / 0.001769) * 0.8 * 1) / (0.2 * 1000))</f>
        <v/>
      </c>
      <c r="G56" s="57" t="inlineStr">
        <is>
          <t>25-008</t>
        </is>
      </c>
      <c r="H56" s="57" t="inlineStr">
        <is>
          <t>HT3 25-008 Rep 1</t>
        </is>
      </c>
      <c r="I56" s="57" t="inlineStr">
        <is>
          <t>R1</t>
        </is>
      </c>
    </row>
    <row r="57" ht="25" customHeight="1" s="55">
      <c r="A57" s="57" t="n">
        <v>56</v>
      </c>
      <c r="B57" s="59" t="n">
        <v>46231</v>
      </c>
      <c r="C57" s="57" t="inlineStr">
        <is>
          <t>AR</t>
        </is>
      </c>
      <c r="D57" s="57" t="inlineStr">
        <is>
          <t>UKYT-25-008</t>
        </is>
      </c>
      <c r="E57" s="57" t="n">
        <v>0.137</v>
      </c>
      <c r="F57" s="57">
        <f> ((((E57 + 0.02506) / 0.001769) * 0.8 * 1) / (0.2 * 1000))</f>
        <v/>
      </c>
      <c r="G57" s="57" t="inlineStr">
        <is>
          <t>25-008</t>
        </is>
      </c>
      <c r="H57" s="57" t="inlineStr">
        <is>
          <t>HT3 25-008 Rep 2</t>
        </is>
      </c>
      <c r="I57" s="57" t="inlineStr">
        <is>
          <t>R2</t>
        </is>
      </c>
    </row>
    <row r="58" ht="25" customHeight="1" s="55">
      <c r="A58" s="57" t="n">
        <v>57</v>
      </c>
      <c r="B58" s="59" t="n">
        <v>46231</v>
      </c>
      <c r="C58" s="57" t="inlineStr">
        <is>
          <t>AR</t>
        </is>
      </c>
      <c r="D58" s="57" t="inlineStr">
        <is>
          <t>UKYT-25-008</t>
        </is>
      </c>
      <c r="E58" s="57" t="n">
        <v>0.217</v>
      </c>
      <c r="F58" s="57">
        <f> ((((E58 + 0.02506) / 0.001769) * 0.8 * 1) / (0.2 * 1000))</f>
        <v/>
      </c>
      <c r="G58" s="57" t="inlineStr">
        <is>
          <t>25-008</t>
        </is>
      </c>
      <c r="H58" s="57" t="inlineStr">
        <is>
          <t>HT3 25-008 Rep 3</t>
        </is>
      </c>
      <c r="I58" s="57" t="inlineStr">
        <is>
          <t>R3</t>
        </is>
      </c>
    </row>
    <row r="59" ht="25" customHeight="1" s="55">
      <c r="A59" s="57" t="n">
        <v>58</v>
      </c>
      <c r="B59" s="59" t="n">
        <v>46231</v>
      </c>
      <c r="C59" s="57" t="inlineStr">
        <is>
          <t>AR</t>
        </is>
      </c>
      <c r="D59" s="57" t="inlineStr">
        <is>
          <t>UKYT-25-008</t>
        </is>
      </c>
      <c r="E59" s="57" t="n">
        <v>0.238</v>
      </c>
      <c r="F59" s="57">
        <f> ((((E59 + 0.02506) / 0.001769) * 0.8 * 1) / (0.2 * 1000))</f>
        <v/>
      </c>
      <c r="G59" s="57" t="inlineStr">
        <is>
          <t>25-008</t>
        </is>
      </c>
      <c r="H59" s="57" t="inlineStr">
        <is>
          <t>HT3 25-008 Rep 4</t>
        </is>
      </c>
      <c r="I59" s="57" t="inlineStr">
        <is>
          <t>R4</t>
        </is>
      </c>
    </row>
    <row r="60" ht="25" customHeight="1" s="55">
      <c r="A60" s="57" t="n">
        <v>59</v>
      </c>
      <c r="B60" s="59" t="n">
        <v>46231</v>
      </c>
      <c r="C60" s="57" t="inlineStr">
        <is>
          <t>AR</t>
        </is>
      </c>
      <c r="D60" s="57" t="inlineStr">
        <is>
          <t>UKYT-25-009</t>
        </is>
      </c>
      <c r="E60" s="57" t="n">
        <v>0.141</v>
      </c>
      <c r="F60" s="57">
        <f> ((((E60 + 0.02506) / 0.001769) * 0.8 * 1) / (0.2 * 1000))</f>
        <v/>
      </c>
      <c r="G60" s="57" t="inlineStr">
        <is>
          <t>25-009</t>
        </is>
      </c>
      <c r="H60" s="57" t="inlineStr">
        <is>
          <t>HT3 25-009 Rep 1</t>
        </is>
      </c>
      <c r="I60" s="57" t="inlineStr">
        <is>
          <t>R1</t>
        </is>
      </c>
    </row>
    <row r="61" ht="25" customHeight="1" s="55">
      <c r="A61" s="57" t="n">
        <v>60</v>
      </c>
      <c r="B61" s="59" t="n">
        <v>46231</v>
      </c>
      <c r="C61" s="57" t="inlineStr">
        <is>
          <t>AR</t>
        </is>
      </c>
      <c r="D61" s="57" t="inlineStr">
        <is>
          <t>UKYT-25-009</t>
        </is>
      </c>
      <c r="E61" s="57" t="n">
        <v>0.092</v>
      </c>
      <c r="F61" s="57">
        <f> ((((E61 + 0.02506) / 0.001769) * 0.8 * 1) / (0.2 * 1000))</f>
        <v/>
      </c>
      <c r="G61" s="57" t="inlineStr">
        <is>
          <t>25-009</t>
        </is>
      </c>
      <c r="H61" s="57" t="inlineStr">
        <is>
          <t>HT3 25-009 Rep 2</t>
        </is>
      </c>
      <c r="I61" s="57" t="inlineStr">
        <is>
          <t>R2</t>
        </is>
      </c>
    </row>
    <row r="62" ht="25" customHeight="1" s="55">
      <c r="A62" s="57" t="n">
        <v>61</v>
      </c>
      <c r="B62" s="59" t="n">
        <v>46231</v>
      </c>
      <c r="C62" s="57" t="inlineStr">
        <is>
          <t>AR</t>
        </is>
      </c>
      <c r="D62" s="57" t="inlineStr">
        <is>
          <t>UKYT-25-009</t>
        </is>
      </c>
      <c r="E62" s="57" t="n">
        <v>0.147</v>
      </c>
      <c r="F62" s="57">
        <f> ((((E62 + 0.02506) / 0.001769) * 0.8 * 1) / (0.2 * 1000))</f>
        <v/>
      </c>
      <c r="G62" s="57" t="inlineStr">
        <is>
          <t>25-009</t>
        </is>
      </c>
      <c r="H62" s="57" t="inlineStr">
        <is>
          <t>HT3 25-009 Rep 3</t>
        </is>
      </c>
      <c r="I62" s="57" t="inlineStr">
        <is>
          <t>R3</t>
        </is>
      </c>
    </row>
    <row r="63" ht="25" customHeight="1" s="55">
      <c r="A63" s="57" t="n">
        <v>62</v>
      </c>
      <c r="B63" s="59" t="n">
        <v>46231</v>
      </c>
      <c r="C63" s="57" t="inlineStr">
        <is>
          <t>AR</t>
        </is>
      </c>
      <c r="D63" s="57" t="inlineStr">
        <is>
          <t>UKYT-25-009</t>
        </is>
      </c>
      <c r="E63" s="57" t="n">
        <v>0.109</v>
      </c>
      <c r="F63" s="57">
        <f> ((((E63 + 0.02506) / 0.001769) * 0.8 * 1) / (0.2 * 1000))</f>
        <v/>
      </c>
      <c r="G63" s="57" t="inlineStr">
        <is>
          <t>25-009</t>
        </is>
      </c>
      <c r="H63" s="57" t="inlineStr">
        <is>
          <t>HT3 25-009 Rep 4</t>
        </is>
      </c>
      <c r="I63" s="57" t="inlineStr">
        <is>
          <t>R4</t>
        </is>
      </c>
    </row>
    <row r="64" ht="25" customHeight="1" s="55">
      <c r="A64" s="57" t="n">
        <v>63</v>
      </c>
      <c r="B64" s="59" t="n">
        <v>46231</v>
      </c>
      <c r="C64" s="57" t="inlineStr">
        <is>
          <t>AR</t>
        </is>
      </c>
      <c r="D64" s="57" t="inlineStr">
        <is>
          <t>UKYT-25-010</t>
        </is>
      </c>
      <c r="E64" s="57" t="n">
        <v>0.217</v>
      </c>
      <c r="F64" s="57">
        <f> ((((E64 + 0.02506) / 0.001769) * 0.8 * 1) / (0.2 * 1000))</f>
        <v/>
      </c>
      <c r="G64" s="57" t="inlineStr">
        <is>
          <t>25-010</t>
        </is>
      </c>
      <c r="H64" s="57" t="inlineStr">
        <is>
          <t>HT3 25-010 Rep 1</t>
        </is>
      </c>
      <c r="I64" s="57" t="inlineStr">
        <is>
          <t>R1</t>
        </is>
      </c>
    </row>
    <row r="65" ht="25" customHeight="1" s="55">
      <c r="A65" s="57" t="n">
        <v>64</v>
      </c>
      <c r="B65" s="59" t="n">
        <v>46231</v>
      </c>
      <c r="C65" s="57" t="inlineStr">
        <is>
          <t>AR</t>
        </is>
      </c>
      <c r="D65" s="57" t="inlineStr">
        <is>
          <t>UKYT-25-010</t>
        </is>
      </c>
      <c r="E65" s="57" t="n">
        <v>0.2</v>
      </c>
      <c r="F65" s="57">
        <f> ((((E65 + 0.02506) / 0.001769) * 0.8 * 1) / (0.2 * 1000))</f>
        <v/>
      </c>
      <c r="G65" s="57" t="inlineStr">
        <is>
          <t>25-010</t>
        </is>
      </c>
      <c r="H65" s="57" t="inlineStr">
        <is>
          <t>HT3 25-010 Rep 2</t>
        </is>
      </c>
      <c r="I65" s="57" t="inlineStr">
        <is>
          <t>R2</t>
        </is>
      </c>
    </row>
    <row r="66" ht="25" customHeight="1" s="55">
      <c r="A66" s="57" t="n">
        <v>65</v>
      </c>
      <c r="B66" s="59" t="n">
        <v>46231</v>
      </c>
      <c r="C66" s="57" t="inlineStr">
        <is>
          <t>AR</t>
        </is>
      </c>
      <c r="D66" s="57" t="inlineStr">
        <is>
          <t>UKYT-25-010</t>
        </is>
      </c>
      <c r="E66" s="57" t="n">
        <v>0.25</v>
      </c>
      <c r="F66" s="57">
        <f> ((((E66 + 0.02506) / 0.001769) * 0.8 * 1) / (0.2 * 1000))</f>
        <v/>
      </c>
      <c r="G66" s="57" t="inlineStr">
        <is>
          <t>25-010</t>
        </is>
      </c>
      <c r="H66" s="57" t="inlineStr">
        <is>
          <t>HT3 25-010 Rep 3</t>
        </is>
      </c>
      <c r="I66" s="57" t="inlineStr">
        <is>
          <t>R3</t>
        </is>
      </c>
    </row>
    <row r="67" ht="25" customHeight="1" s="55">
      <c r="A67" s="57" t="n">
        <v>66</v>
      </c>
      <c r="B67" s="59" t="n">
        <v>46231</v>
      </c>
      <c r="C67" s="57" t="inlineStr">
        <is>
          <t>AR</t>
        </is>
      </c>
      <c r="D67" s="57" t="inlineStr">
        <is>
          <t>UKYT-25-010</t>
        </is>
      </c>
      <c r="E67" s="57" t="n">
        <v>0.304</v>
      </c>
      <c r="F67" s="57">
        <f> ((((E67 + 0.02506) / 0.001769) * 0.8 * 1) / (0.2 * 1000))</f>
        <v/>
      </c>
      <c r="G67" s="57" t="inlineStr">
        <is>
          <t>25-010</t>
        </is>
      </c>
      <c r="H67" s="57" t="inlineStr">
        <is>
          <t>HT3 25-010 Rep 4</t>
        </is>
      </c>
      <c r="I67" s="57" t="inlineStr">
        <is>
          <t>R4</t>
        </is>
      </c>
    </row>
    <row r="68" ht="25" customHeight="1" s="55">
      <c r="A68" s="57" t="n">
        <v>67</v>
      </c>
      <c r="B68" s="59" t="n">
        <v>46231</v>
      </c>
      <c r="C68" s="57" t="inlineStr">
        <is>
          <t>AR</t>
        </is>
      </c>
      <c r="D68" s="57" t="inlineStr">
        <is>
          <t>UKYT-25-011</t>
        </is>
      </c>
      <c r="E68" s="57" t="n">
        <v>0.155</v>
      </c>
      <c r="F68" s="57">
        <f> ((((E68 + 0.02506) / 0.001769) * 0.8 * 1) / (0.2 * 1000))</f>
        <v/>
      </c>
      <c r="G68" s="57" t="inlineStr">
        <is>
          <t>25-011</t>
        </is>
      </c>
      <c r="H68" s="57" t="inlineStr">
        <is>
          <t>HT3 25-011 Rep 1</t>
        </is>
      </c>
      <c r="I68" s="57" t="inlineStr">
        <is>
          <t>R1</t>
        </is>
      </c>
    </row>
    <row r="69" ht="25" customHeight="1" s="55">
      <c r="A69" s="57" t="n">
        <v>68</v>
      </c>
      <c r="B69" s="59" t="n">
        <v>46231</v>
      </c>
      <c r="C69" s="57" t="inlineStr">
        <is>
          <t>AR</t>
        </is>
      </c>
      <c r="D69" s="57" t="inlineStr">
        <is>
          <t>UKYT-25-011</t>
        </is>
      </c>
      <c r="E69" s="57" t="n">
        <v>0.22</v>
      </c>
      <c r="F69" s="57">
        <f> ((((E69 + 0.02506) / 0.001769) * 0.8 * 1) / (0.2 * 1000))</f>
        <v/>
      </c>
      <c r="G69" s="57" t="inlineStr">
        <is>
          <t>25-011</t>
        </is>
      </c>
      <c r="H69" s="57" t="inlineStr">
        <is>
          <t>HT3 25-011 Rep 2</t>
        </is>
      </c>
      <c r="I69" s="57" t="inlineStr">
        <is>
          <t>R2</t>
        </is>
      </c>
    </row>
    <row r="70" ht="25" customHeight="1" s="55">
      <c r="A70" s="57" t="n">
        <v>69</v>
      </c>
      <c r="B70" s="59" t="n">
        <v>46231</v>
      </c>
      <c r="C70" s="57" t="inlineStr">
        <is>
          <t>AR</t>
        </is>
      </c>
      <c r="D70" s="57" t="inlineStr">
        <is>
          <t>UKYT-25-011</t>
        </is>
      </c>
      <c r="E70" s="57" t="n">
        <v>0.236</v>
      </c>
      <c r="F70" s="57">
        <f> ((((E70 + 0.02506) / 0.001769) * 0.8 * 1) / (0.2 * 1000))</f>
        <v/>
      </c>
      <c r="G70" s="57" t="inlineStr">
        <is>
          <t>25-011</t>
        </is>
      </c>
      <c r="H70" s="57" t="inlineStr">
        <is>
          <t>HT3 25-011 Rep 3</t>
        </is>
      </c>
      <c r="I70" s="57" t="inlineStr">
        <is>
          <t>R3</t>
        </is>
      </c>
    </row>
    <row r="71" ht="25" customHeight="1" s="55">
      <c r="A71" s="57" t="n">
        <v>70</v>
      </c>
      <c r="B71" s="59" t="n">
        <v>46231</v>
      </c>
      <c r="C71" s="57" t="inlineStr">
        <is>
          <t>AR</t>
        </is>
      </c>
      <c r="D71" s="57" t="inlineStr">
        <is>
          <t>UKYT-25-011</t>
        </is>
      </c>
      <c r="E71" s="57" t="n">
        <v>0.202</v>
      </c>
      <c r="F71" s="57">
        <f> ((((E71 + 0.02506) / 0.001769) * 0.8 * 1) / (0.2 * 1000))</f>
        <v/>
      </c>
      <c r="G71" s="57" t="inlineStr">
        <is>
          <t>25-011</t>
        </is>
      </c>
      <c r="H71" s="57" t="inlineStr">
        <is>
          <t>HT3 25-011 Rep 4</t>
        </is>
      </c>
      <c r="I71" s="57" t="inlineStr">
        <is>
          <t>R4</t>
        </is>
      </c>
    </row>
    <row r="72" ht="25" customHeight="1" s="55">
      <c r="A72" s="57" t="n">
        <v>71</v>
      </c>
      <c r="B72" s="59" t="n">
        <v>46231</v>
      </c>
      <c r="C72" s="57" t="inlineStr">
        <is>
          <t>AR</t>
        </is>
      </c>
      <c r="D72" s="57" t="inlineStr">
        <is>
          <t>UKYT-25-012</t>
        </is>
      </c>
      <c r="E72" s="57" t="n">
        <v>0.356</v>
      </c>
      <c r="F72" s="57">
        <f> ((((E72 + 0.02506) / 0.001769) * 0.8 * 1) / (0.2 * 1000))</f>
        <v/>
      </c>
      <c r="G72" s="57" t="inlineStr">
        <is>
          <t>25-012</t>
        </is>
      </c>
      <c r="H72" s="57" t="inlineStr">
        <is>
          <t>HT3 25-012 Rep 1</t>
        </is>
      </c>
      <c r="I72" s="57" t="inlineStr">
        <is>
          <t>R1</t>
        </is>
      </c>
    </row>
    <row r="73" ht="25" customHeight="1" s="55">
      <c r="A73" s="57" t="n">
        <v>72</v>
      </c>
      <c r="B73" s="59" t="n">
        <v>46231</v>
      </c>
      <c r="C73" s="57" t="inlineStr">
        <is>
          <t>AR</t>
        </is>
      </c>
      <c r="D73" s="57" t="inlineStr">
        <is>
          <t>UKYT-25-012</t>
        </is>
      </c>
      <c r="E73" s="57" t="n">
        <v>0.15</v>
      </c>
      <c r="F73" s="57">
        <f> ((((E73 + 0.02506) / 0.001769) * 0.8 * 1) / (0.2 * 1000))</f>
        <v/>
      </c>
      <c r="G73" s="57" t="inlineStr">
        <is>
          <t>25-012</t>
        </is>
      </c>
      <c r="H73" s="57" t="inlineStr">
        <is>
          <t>HT3 25-012 Rep 2</t>
        </is>
      </c>
      <c r="I73" s="57" t="inlineStr">
        <is>
          <t>R2</t>
        </is>
      </c>
    </row>
    <row r="74" ht="25" customHeight="1" s="55">
      <c r="A74" s="57" t="n">
        <v>73</v>
      </c>
      <c r="B74" s="59" t="n">
        <v>46231</v>
      </c>
      <c r="C74" s="57" t="inlineStr">
        <is>
          <t>AR</t>
        </is>
      </c>
      <c r="D74" s="57" t="inlineStr">
        <is>
          <t>UKYT-25-012</t>
        </is>
      </c>
      <c r="E74" s="57" t="n">
        <v>0.19</v>
      </c>
      <c r="F74" s="57">
        <f> ((((E74 + 0.02506) / 0.001769) * 0.8 * 1) / (0.2 * 1000))</f>
        <v/>
      </c>
      <c r="G74" s="57" t="inlineStr">
        <is>
          <t>25-012</t>
        </is>
      </c>
      <c r="H74" s="57" t="inlineStr">
        <is>
          <t>HT3 25-012 Rep 3</t>
        </is>
      </c>
      <c r="I74" s="57" t="inlineStr">
        <is>
          <t>R3</t>
        </is>
      </c>
    </row>
    <row r="75" ht="25" customHeight="1" s="55">
      <c r="A75" s="57" t="n">
        <v>74</v>
      </c>
      <c r="B75" s="59" t="n">
        <v>46231</v>
      </c>
      <c r="C75" s="57" t="inlineStr">
        <is>
          <t>AR</t>
        </is>
      </c>
      <c r="D75" s="57" t="inlineStr">
        <is>
          <t>UKYT-25-012</t>
        </is>
      </c>
      <c r="E75" s="57" t="n">
        <v>0.261</v>
      </c>
      <c r="F75" s="57">
        <f> ((((E75 + 0.02506) / 0.001769) * 0.8 * 1) / (0.2 * 1000))</f>
        <v/>
      </c>
      <c r="G75" s="57" t="inlineStr">
        <is>
          <t>25-012</t>
        </is>
      </c>
      <c r="H75" s="57" t="inlineStr">
        <is>
          <t>HT3 25-012 Rep 4</t>
        </is>
      </c>
      <c r="I75" s="57" t="inlineStr">
        <is>
          <t>R4</t>
        </is>
      </c>
    </row>
    <row r="76" ht="25" customHeight="1" s="55">
      <c r="A76" s="57" t="n">
        <v>75</v>
      </c>
      <c r="B76" s="59" t="n">
        <v>46231</v>
      </c>
      <c r="C76" s="57" t="inlineStr">
        <is>
          <t>AR</t>
        </is>
      </c>
      <c r="D76" s="57" t="inlineStr">
        <is>
          <t>UKYT-25-013</t>
        </is>
      </c>
      <c r="E76" s="57" t="n">
        <v>0.202</v>
      </c>
      <c r="F76" s="57">
        <f> ((((E76 + 0.02506) / 0.001769) * 0.8 * 1) / (0.2 * 1000))</f>
        <v/>
      </c>
      <c r="G76" s="57" t="inlineStr">
        <is>
          <t>25-013</t>
        </is>
      </c>
      <c r="H76" s="57" t="inlineStr">
        <is>
          <t>HT3 25-013 Rep 1</t>
        </is>
      </c>
      <c r="I76" s="57" t="inlineStr">
        <is>
          <t>R1</t>
        </is>
      </c>
    </row>
    <row r="77" ht="25" customHeight="1" s="55">
      <c r="A77" s="57" t="n">
        <v>76</v>
      </c>
      <c r="B77" s="59" t="n">
        <v>46231</v>
      </c>
      <c r="C77" s="57" t="inlineStr">
        <is>
          <t>AR</t>
        </is>
      </c>
      <c r="D77" s="57" t="inlineStr">
        <is>
          <t>UKYT-25-013</t>
        </is>
      </c>
      <c r="E77" s="57" t="n">
        <v>0.257</v>
      </c>
      <c r="F77" s="57">
        <f> ((((E77 + 0.02506) / 0.001769) * 0.8 * 1) / (0.2 * 1000))</f>
        <v/>
      </c>
      <c r="G77" s="57" t="inlineStr">
        <is>
          <t>25-013</t>
        </is>
      </c>
      <c r="H77" s="57" t="inlineStr">
        <is>
          <t>HT3 25-013 Rep 2</t>
        </is>
      </c>
      <c r="I77" s="57" t="inlineStr">
        <is>
          <t>R2</t>
        </is>
      </c>
    </row>
    <row r="78" ht="25" customHeight="1" s="55">
      <c r="A78" s="57" t="n">
        <v>77</v>
      </c>
      <c r="B78" s="59" t="n">
        <v>46231</v>
      </c>
      <c r="C78" s="57" t="inlineStr">
        <is>
          <t>AR</t>
        </is>
      </c>
      <c r="D78" s="57" t="inlineStr">
        <is>
          <t>UKYT-25-013</t>
        </is>
      </c>
      <c r="E78" s="57" t="n">
        <v>0.194</v>
      </c>
      <c r="F78" s="57">
        <f> ((((E78 + 0.02506) / 0.001769) * 0.8 * 1) / (0.2 * 1000))</f>
        <v/>
      </c>
      <c r="G78" s="57" t="inlineStr">
        <is>
          <t>25-013</t>
        </is>
      </c>
      <c r="H78" s="57" t="inlineStr">
        <is>
          <t>HT3 25-013 Rep 3</t>
        </is>
      </c>
      <c r="I78" s="57" t="inlineStr">
        <is>
          <t>R3</t>
        </is>
      </c>
    </row>
    <row r="79" ht="25" customHeight="1" s="55">
      <c r="A79" s="57" t="n">
        <v>78</v>
      </c>
      <c r="B79" s="59" t="n">
        <v>46231</v>
      </c>
      <c r="C79" s="57" t="inlineStr">
        <is>
          <t>AR</t>
        </is>
      </c>
      <c r="D79" s="57" t="inlineStr">
        <is>
          <t>UKYT-25-013</t>
        </is>
      </c>
      <c r="E79" s="57" t="n">
        <v>0.197</v>
      </c>
      <c r="F79" s="57">
        <f> ((((E79 + 0.02506) / 0.001769) * 0.8 * 1) / (0.2 * 1000))</f>
        <v/>
      </c>
      <c r="G79" s="57" t="inlineStr">
        <is>
          <t>25-013</t>
        </is>
      </c>
      <c r="H79" s="57" t="inlineStr">
        <is>
          <t>HT3 25-013 Rep 4</t>
        </is>
      </c>
      <c r="I79" s="57" t="inlineStr">
        <is>
          <t>R4</t>
        </is>
      </c>
    </row>
    <row r="80" ht="25" customHeight="1" s="55">
      <c r="A80" s="57" t="n">
        <v>79</v>
      </c>
      <c r="B80" s="59" t="n">
        <v>46231</v>
      </c>
      <c r="C80" s="57" t="inlineStr">
        <is>
          <t>AR</t>
        </is>
      </c>
      <c r="D80" s="57" t="inlineStr">
        <is>
          <t>UKYT-25-014</t>
        </is>
      </c>
      <c r="E80" s="57" t="n">
        <v>0.164</v>
      </c>
      <c r="F80" s="57">
        <f> ((((E80 + 0.02506) / 0.001769) * 0.8 * 1) / (0.2 * 1000))</f>
        <v/>
      </c>
      <c r="G80" s="57" t="inlineStr">
        <is>
          <t>25-014</t>
        </is>
      </c>
      <c r="H80" s="57" t="inlineStr">
        <is>
          <t>HT3 25-014 Rep 1</t>
        </is>
      </c>
      <c r="I80" s="57" t="inlineStr">
        <is>
          <t>R1</t>
        </is>
      </c>
    </row>
    <row r="81" ht="25" customHeight="1" s="55">
      <c r="A81" s="57" t="n">
        <v>80</v>
      </c>
      <c r="B81" s="59" t="n">
        <v>46231</v>
      </c>
      <c r="C81" s="57" t="inlineStr">
        <is>
          <t>AR</t>
        </is>
      </c>
      <c r="D81" s="57" t="inlineStr">
        <is>
          <t>UKYT-25-014</t>
        </is>
      </c>
      <c r="E81" s="57" t="n">
        <v>0.178</v>
      </c>
      <c r="F81" s="57">
        <f> ((((E81 + 0.02506) / 0.001769) * 0.8 * 1) / (0.2 * 1000))</f>
        <v/>
      </c>
      <c r="G81" s="57" t="inlineStr">
        <is>
          <t>25-014</t>
        </is>
      </c>
      <c r="H81" s="57" t="inlineStr">
        <is>
          <t>HT3 25-014 Rep 2</t>
        </is>
      </c>
      <c r="I81" s="57" t="inlineStr">
        <is>
          <t>R2</t>
        </is>
      </c>
    </row>
    <row r="82" ht="25" customHeight="1" s="55">
      <c r="A82" s="57" t="n">
        <v>81</v>
      </c>
      <c r="B82" s="59" t="n">
        <v>46231</v>
      </c>
      <c r="C82" s="57" t="inlineStr">
        <is>
          <t>AR</t>
        </is>
      </c>
      <c r="D82" s="57" t="inlineStr">
        <is>
          <t>UKYT-25-014</t>
        </is>
      </c>
      <c r="E82" s="57" t="n">
        <v>0.278</v>
      </c>
      <c r="F82" s="57">
        <f> ((((E82 + 0.02506) / 0.001769) * 0.8 * 1) / (0.2 * 1000))</f>
        <v/>
      </c>
      <c r="G82" s="57" t="inlineStr">
        <is>
          <t>25-014</t>
        </is>
      </c>
      <c r="H82" s="57" t="inlineStr">
        <is>
          <t>HT3 25-014 Rep 3</t>
        </is>
      </c>
      <c r="I82" s="57" t="inlineStr">
        <is>
          <t>R3</t>
        </is>
      </c>
    </row>
    <row r="83" ht="25" customHeight="1" s="55">
      <c r="A83" s="57" t="n">
        <v>82</v>
      </c>
      <c r="B83" s="59" t="n">
        <v>46231</v>
      </c>
      <c r="C83" s="57" t="inlineStr">
        <is>
          <t>AR</t>
        </is>
      </c>
      <c r="D83" s="57" t="inlineStr">
        <is>
          <t>UKYT-25-014</t>
        </is>
      </c>
      <c r="E83" s="57" t="n">
        <v>0.215</v>
      </c>
      <c r="F83" s="57">
        <f> ((((E83 + 0.02506) / 0.001769) * 0.8 * 1) / (0.2 * 1000))</f>
        <v/>
      </c>
      <c r="G83" s="57" t="inlineStr">
        <is>
          <t>25-014</t>
        </is>
      </c>
      <c r="H83" s="57" t="inlineStr">
        <is>
          <t>HT3 25-014 Rep 4</t>
        </is>
      </c>
      <c r="I83" s="57" t="inlineStr">
        <is>
          <t>R4</t>
        </is>
      </c>
    </row>
    <row r="84" ht="25" customHeight="1" s="55">
      <c r="A84" s="57" t="n">
        <v>83</v>
      </c>
      <c r="B84" s="59" t="n">
        <v>46231</v>
      </c>
      <c r="C84" s="57" t="inlineStr">
        <is>
          <t>AR</t>
        </is>
      </c>
      <c r="D84" s="57" t="inlineStr">
        <is>
          <t>UKYT-25-016</t>
        </is>
      </c>
      <c r="E84" s="57" t="n">
        <v>0.319</v>
      </c>
      <c r="F84" s="57">
        <f> ((((E84 + 0.02506) / 0.001769) * 0.8 * 1) / (0.2 * 1000))</f>
        <v/>
      </c>
      <c r="G84" s="57" t="inlineStr">
        <is>
          <t>25-016</t>
        </is>
      </c>
      <c r="H84" s="57" t="inlineStr">
        <is>
          <t>HT3 25-016  Rep 1</t>
        </is>
      </c>
      <c r="I84" s="57" t="inlineStr">
        <is>
          <t>R1</t>
        </is>
      </c>
    </row>
    <row r="85" ht="25" customHeight="1" s="55">
      <c r="A85" s="57" t="n">
        <v>84</v>
      </c>
      <c r="B85" s="59" t="n">
        <v>46231</v>
      </c>
      <c r="C85" s="57" t="inlineStr">
        <is>
          <t>AR</t>
        </is>
      </c>
      <c r="D85" s="57" t="inlineStr">
        <is>
          <t>UKYT-25-016</t>
        </is>
      </c>
      <c r="E85" s="57" t="n">
        <v>0.482</v>
      </c>
      <c r="F85" s="57">
        <f> ((((E85 + 0.02506) / 0.001769) * 0.8 * 1) / (0.2 * 1000))</f>
        <v/>
      </c>
      <c r="G85" s="57" t="inlineStr">
        <is>
          <t>25-016</t>
        </is>
      </c>
      <c r="H85" s="57" t="inlineStr">
        <is>
          <t>HT3 25-016  Rep 2</t>
        </is>
      </c>
      <c r="I85" s="57" t="inlineStr">
        <is>
          <t>R2</t>
        </is>
      </c>
    </row>
    <row r="86" ht="25" customHeight="1" s="55">
      <c r="A86" s="57" t="n">
        <v>85</v>
      </c>
      <c r="B86" s="59" t="n">
        <v>46231</v>
      </c>
      <c r="C86" s="57" t="inlineStr">
        <is>
          <t>AR</t>
        </is>
      </c>
      <c r="D86" s="57" t="inlineStr">
        <is>
          <t>UKYT-25-016</t>
        </is>
      </c>
      <c r="E86" s="57" t="n">
        <v>0.419</v>
      </c>
      <c r="F86" s="57">
        <f> ((((E86 + 0.02506) / 0.001769) * 0.8 * 1) / (0.2 * 1000))</f>
        <v/>
      </c>
      <c r="G86" s="57" t="inlineStr">
        <is>
          <t>25-016</t>
        </is>
      </c>
      <c r="H86" s="57" t="inlineStr">
        <is>
          <t>HT3 25-016  Rep 3</t>
        </is>
      </c>
      <c r="I86" s="57" t="inlineStr">
        <is>
          <t>R3</t>
        </is>
      </c>
    </row>
    <row r="87" ht="25" customHeight="1" s="55">
      <c r="A87" s="57" t="n">
        <v>86</v>
      </c>
      <c r="B87" s="59" t="n">
        <v>46231</v>
      </c>
      <c r="C87" s="57" t="inlineStr">
        <is>
          <t>AR</t>
        </is>
      </c>
      <c r="D87" s="57" t="inlineStr">
        <is>
          <t>UKYT-25-016</t>
        </is>
      </c>
      <c r="E87" s="57" t="n">
        <v>0.317</v>
      </c>
      <c r="F87" s="57">
        <f> ((((E87 + 0.02506) / 0.001769) * 0.8 * 1) / (0.2 * 1000))</f>
        <v/>
      </c>
      <c r="G87" s="57" t="inlineStr">
        <is>
          <t>25-016</t>
        </is>
      </c>
      <c r="H87" s="57" t="inlineStr">
        <is>
          <t>HT3 25-016  Rep 4</t>
        </is>
      </c>
      <c r="I87" s="57" t="inlineStr">
        <is>
          <t>R4</t>
        </is>
      </c>
    </row>
    <row r="88" ht="25" customHeight="1" s="55">
      <c r="A88" s="57" t="n">
        <v>87</v>
      </c>
      <c r="B88" s="59" t="n">
        <v>46231</v>
      </c>
      <c r="C88" s="57" t="inlineStr">
        <is>
          <t>AR</t>
        </is>
      </c>
      <c r="D88" s="57" t="inlineStr">
        <is>
          <t>UKYT-25-017</t>
        </is>
      </c>
      <c r="E88" s="57" t="n">
        <v>0.409</v>
      </c>
      <c r="F88" s="57">
        <f> ((((E88 + 0.02506) / 0.001769) * 0.8 * 1) / (0.2 * 1000))</f>
        <v/>
      </c>
      <c r="G88" s="57" t="inlineStr">
        <is>
          <t>25-017</t>
        </is>
      </c>
      <c r="H88" s="57" t="inlineStr">
        <is>
          <t>HT3 25-017 Rep 1</t>
        </is>
      </c>
      <c r="I88" s="57" t="inlineStr">
        <is>
          <t>R1</t>
        </is>
      </c>
    </row>
    <row r="89" ht="25" customHeight="1" s="55">
      <c r="A89" s="57" t="n">
        <v>88</v>
      </c>
      <c r="B89" s="59" t="n">
        <v>46231</v>
      </c>
      <c r="C89" s="57" t="inlineStr">
        <is>
          <t>AR</t>
        </is>
      </c>
      <c r="D89" s="57" t="inlineStr">
        <is>
          <t>UKYT-25-017</t>
        </is>
      </c>
      <c r="E89" s="57" t="n">
        <v>0.462</v>
      </c>
      <c r="F89" s="57">
        <f> ((((E89 + 0.02506) / 0.001769) * 0.8 * 1) / (0.2 * 1000))</f>
        <v/>
      </c>
      <c r="G89" s="57" t="inlineStr">
        <is>
          <t>25-017</t>
        </is>
      </c>
      <c r="H89" s="57" t="inlineStr">
        <is>
          <t>HT3 25-017 Rep 2</t>
        </is>
      </c>
      <c r="I89" s="57" t="inlineStr">
        <is>
          <t>R2</t>
        </is>
      </c>
    </row>
    <row r="90" ht="25" customHeight="1" s="55">
      <c r="A90" s="57" t="n">
        <v>89</v>
      </c>
      <c r="B90" s="59" t="n">
        <v>46231</v>
      </c>
      <c r="C90" s="57" t="inlineStr">
        <is>
          <t>AR</t>
        </is>
      </c>
      <c r="D90" s="57" t="inlineStr">
        <is>
          <t>UKYT-25-017</t>
        </is>
      </c>
      <c r="E90" s="57" t="n">
        <v>0.333</v>
      </c>
      <c r="F90" s="57">
        <f> ((((E90 + 0.02506) / 0.001769) * 0.8 * 1) / (0.2 * 1000))</f>
        <v/>
      </c>
      <c r="G90" s="57" t="inlineStr">
        <is>
          <t>25-017</t>
        </is>
      </c>
      <c r="H90" s="57" t="inlineStr">
        <is>
          <t>HT3 25-017 Rep 3</t>
        </is>
      </c>
      <c r="I90" s="57" t="inlineStr">
        <is>
          <t>R3</t>
        </is>
      </c>
    </row>
    <row r="91" ht="25" customHeight="1" s="55">
      <c r="A91" s="57" t="n">
        <v>90</v>
      </c>
      <c r="B91" s="59" t="n">
        <v>46231</v>
      </c>
      <c r="C91" s="57" t="inlineStr">
        <is>
          <t>AR</t>
        </is>
      </c>
      <c r="D91" s="57" t="inlineStr">
        <is>
          <t>UKYT-25-017</t>
        </is>
      </c>
      <c r="E91" s="57" t="n">
        <v>0.488</v>
      </c>
      <c r="F91" s="57">
        <f> ((((E91 + 0.02506) / 0.001769) * 0.8 * 1) / (0.2 * 1000))</f>
        <v/>
      </c>
      <c r="G91" s="57" t="inlineStr">
        <is>
          <t>25-017</t>
        </is>
      </c>
      <c r="H91" s="57" t="inlineStr">
        <is>
          <t>HT3 25-017 Rep 4</t>
        </is>
      </c>
      <c r="I91" s="57" t="inlineStr">
        <is>
          <t>R4</t>
        </is>
      </c>
    </row>
    <row r="92" ht="25" customHeight="1" s="55">
      <c r="A92" s="57" t="n">
        <v>91</v>
      </c>
      <c r="B92" s="59" t="n">
        <v>46231</v>
      </c>
      <c r="C92" s="57" t="inlineStr">
        <is>
          <t>AR</t>
        </is>
      </c>
      <c r="D92" s="57" t="inlineStr">
        <is>
          <t>UKYT-25-018</t>
        </is>
      </c>
      <c r="E92" s="57" t="n">
        <v>0.405</v>
      </c>
      <c r="F92" s="57">
        <f> ((((E92 + 0.02506) / 0.001769) * 0.8 * 1) / (0.2 * 1000))</f>
        <v/>
      </c>
      <c r="G92" s="57" t="inlineStr">
        <is>
          <t>25-018</t>
        </is>
      </c>
      <c r="H92" s="57" t="inlineStr">
        <is>
          <t>HT3 25-018 Rep 1</t>
        </is>
      </c>
      <c r="I92" s="57" t="inlineStr">
        <is>
          <t>R1</t>
        </is>
      </c>
    </row>
    <row r="93" ht="25" customHeight="1" s="55">
      <c r="A93" s="57" t="n">
        <v>92</v>
      </c>
      <c r="B93" s="59" t="n">
        <v>46231</v>
      </c>
      <c r="C93" s="57" t="inlineStr">
        <is>
          <t>AR</t>
        </is>
      </c>
      <c r="D93" s="57" t="inlineStr">
        <is>
          <t>UKYT-25-018</t>
        </is>
      </c>
      <c r="E93" s="57" t="n">
        <v>0.494</v>
      </c>
      <c r="F93" s="57">
        <f> ((((E93 + 0.02506) / 0.001769) * 0.8 * 1) / (0.2 * 1000))</f>
        <v/>
      </c>
      <c r="G93" s="57" t="inlineStr">
        <is>
          <t>25-018</t>
        </is>
      </c>
      <c r="H93" s="57" t="inlineStr">
        <is>
          <t>HT3 25-018 Rep 2</t>
        </is>
      </c>
      <c r="I93" s="57" t="inlineStr">
        <is>
          <t>R2</t>
        </is>
      </c>
    </row>
    <row r="94" ht="25" customHeight="1" s="55">
      <c r="A94" s="57" t="n">
        <v>93</v>
      </c>
      <c r="B94" s="59" t="n">
        <v>46231</v>
      </c>
      <c r="C94" s="57" t="inlineStr">
        <is>
          <t>AR</t>
        </is>
      </c>
      <c r="D94" s="57" t="inlineStr">
        <is>
          <t>UKYT-25-018</t>
        </is>
      </c>
      <c r="E94" s="57" t="n">
        <v>0.372</v>
      </c>
      <c r="F94" s="57">
        <f> ((((E94 + 0.02506) / 0.001769) * 0.8 * 1) / (0.2 * 1000))</f>
        <v/>
      </c>
      <c r="G94" s="57" t="inlineStr">
        <is>
          <t>25-018</t>
        </is>
      </c>
      <c r="H94" s="57" t="inlineStr">
        <is>
          <t>HT3 25-018 Rep 3</t>
        </is>
      </c>
      <c r="I94" s="57" t="inlineStr">
        <is>
          <t>R3</t>
        </is>
      </c>
    </row>
    <row r="95" ht="25" customHeight="1" s="55">
      <c r="A95" s="57" t="n">
        <v>94</v>
      </c>
      <c r="B95" s="59" t="n">
        <v>46231</v>
      </c>
      <c r="C95" s="57" t="inlineStr">
        <is>
          <t>AR</t>
        </is>
      </c>
      <c r="D95" s="57" t="inlineStr">
        <is>
          <t>UKYT-25-018</t>
        </is>
      </c>
      <c r="E95" s="57" t="n">
        <v>0.344</v>
      </c>
      <c r="F95" s="57">
        <f> ((((E95 + 0.02506) / 0.001769) * 0.8 * 1) / (0.2 * 1000))</f>
        <v/>
      </c>
      <c r="G95" s="57" t="inlineStr">
        <is>
          <t>25-018</t>
        </is>
      </c>
      <c r="H95" s="57" t="inlineStr">
        <is>
          <t>HT3 25-018 Rep 4</t>
        </is>
      </c>
      <c r="I95" s="57" t="inlineStr">
        <is>
          <t>R4</t>
        </is>
      </c>
    </row>
    <row r="96" ht="25" customHeight="1" s="55">
      <c r="A96" s="57" t="n">
        <v>95</v>
      </c>
      <c r="B96" s="59" t="n">
        <v>46231</v>
      </c>
      <c r="C96" s="57" t="inlineStr">
        <is>
          <t>AR</t>
        </is>
      </c>
      <c r="D96" s="57" t="inlineStr">
        <is>
          <t>UKYT-25-002</t>
        </is>
      </c>
      <c r="E96" s="57" t="n">
        <v>0.148</v>
      </c>
      <c r="F96" s="57">
        <f> ((((E96 + 0.02506) / 0.001769) * 0.8 * 1) / (0.2 * 1000))</f>
        <v/>
      </c>
      <c r="G96" s="57" t="inlineStr">
        <is>
          <t>25-002</t>
        </is>
      </c>
      <c r="H96" s="57" t="inlineStr">
        <is>
          <t>H2 25-002 Rep 1</t>
        </is>
      </c>
      <c r="I96" s="57" t="inlineStr">
        <is>
          <t>R1</t>
        </is>
      </c>
    </row>
    <row r="97" ht="25" customHeight="1" s="55">
      <c r="A97" s="57" t="n">
        <v>96</v>
      </c>
      <c r="B97" s="59" t="n">
        <v>46231</v>
      </c>
      <c r="C97" s="57" t="inlineStr">
        <is>
          <t>AR</t>
        </is>
      </c>
      <c r="D97" s="57" t="inlineStr">
        <is>
          <t>UKYT-25-002</t>
        </is>
      </c>
      <c r="E97" s="57" t="n">
        <v>0.13</v>
      </c>
      <c r="F97" s="57">
        <f> ((((E97 + 0.02506) / 0.001769) * 0.8 * 1) / (0.2 * 1000))</f>
        <v/>
      </c>
      <c r="G97" s="57" t="inlineStr">
        <is>
          <t>25-002</t>
        </is>
      </c>
      <c r="H97" s="57" t="inlineStr">
        <is>
          <t>H2 25-002 Rep 2</t>
        </is>
      </c>
      <c r="I97" s="57" t="inlineStr">
        <is>
          <t>R2</t>
        </is>
      </c>
    </row>
    <row r="98" ht="25" customHeight="1" s="55">
      <c r="A98" s="57" t="n">
        <v>97</v>
      </c>
      <c r="B98" s="59" t="n">
        <v>46231</v>
      </c>
      <c r="C98" s="57" t="inlineStr">
        <is>
          <t>AR</t>
        </is>
      </c>
      <c r="D98" s="57" t="inlineStr">
        <is>
          <t>UKYT-25-002</t>
        </is>
      </c>
      <c r="E98" s="57" t="n">
        <v>0.199</v>
      </c>
      <c r="F98" s="57">
        <f> ((((E98 + 0.02506) / 0.001769) * 0.8 * 1) / (0.2 * 1000))</f>
        <v/>
      </c>
      <c r="G98" s="57" t="inlineStr">
        <is>
          <t>25-002</t>
        </is>
      </c>
      <c r="H98" s="57" t="inlineStr">
        <is>
          <t>H2 25-002 Rep 3</t>
        </is>
      </c>
      <c r="I98" s="57" t="inlineStr">
        <is>
          <t>R3</t>
        </is>
      </c>
    </row>
    <row r="99" ht="25" customHeight="1" s="55">
      <c r="A99" s="57" t="n">
        <v>98</v>
      </c>
      <c r="B99" s="59" t="n">
        <v>46231</v>
      </c>
      <c r="C99" s="57" t="inlineStr">
        <is>
          <t>AR</t>
        </is>
      </c>
      <c r="D99" s="57" t="inlineStr">
        <is>
          <t>UKYT-25-002</t>
        </is>
      </c>
      <c r="E99" s="57" t="n">
        <v>0.15</v>
      </c>
      <c r="F99" s="57">
        <f> ((((E99 + 0.02506) / 0.001769) * 0.8 * 1) / (0.2 * 1000))</f>
        <v/>
      </c>
      <c r="G99" s="57" t="inlineStr">
        <is>
          <t>25-002</t>
        </is>
      </c>
      <c r="H99" s="57" t="inlineStr">
        <is>
          <t>H2 25-002 Rep 4</t>
        </is>
      </c>
      <c r="I99" s="57" t="inlineStr">
        <is>
          <t>R4</t>
        </is>
      </c>
    </row>
    <row r="100" ht="25" customHeight="1" s="55">
      <c r="A100" s="57" t="n">
        <v>99</v>
      </c>
      <c r="B100" s="59" t="n">
        <v>46231</v>
      </c>
      <c r="C100" s="57" t="inlineStr">
        <is>
          <t>AR</t>
        </is>
      </c>
      <c r="D100" s="57" t="inlineStr">
        <is>
          <t>UKYT-25-004</t>
        </is>
      </c>
      <c r="E100" s="57" t="n">
        <v>0.101</v>
      </c>
      <c r="F100" s="57">
        <f> ((((E100 + 0.02506) / 0.001769) * 0.8 * 1) / (0.2 * 1000))</f>
        <v/>
      </c>
      <c r="G100" s="57" t="inlineStr">
        <is>
          <t>25-004</t>
        </is>
      </c>
      <c r="H100" s="57" t="inlineStr">
        <is>
          <t>H2 25-004 Rep 1</t>
        </is>
      </c>
      <c r="I100" s="57" t="inlineStr">
        <is>
          <t>R1</t>
        </is>
      </c>
    </row>
    <row r="101" ht="25" customHeight="1" s="55">
      <c r="A101" s="57" t="n">
        <v>100</v>
      </c>
      <c r="B101" s="59" t="n">
        <v>46231</v>
      </c>
      <c r="C101" s="57" t="inlineStr">
        <is>
          <t>AR</t>
        </is>
      </c>
      <c r="D101" s="57" t="inlineStr">
        <is>
          <t>UKYT-25-004</t>
        </is>
      </c>
      <c r="E101" s="57" t="n">
        <v>0.14</v>
      </c>
      <c r="F101" s="57">
        <f> ((((E101 + 0.02506) / 0.001769) * 0.8 * 1) / (0.2 * 1000))</f>
        <v/>
      </c>
      <c r="G101" s="57" t="inlineStr">
        <is>
          <t>25-004</t>
        </is>
      </c>
      <c r="H101" s="57" t="inlineStr">
        <is>
          <t>H2 25-004 Rep 2</t>
        </is>
      </c>
      <c r="I101" s="57" t="inlineStr">
        <is>
          <t>R2</t>
        </is>
      </c>
    </row>
    <row r="102" ht="25" customHeight="1" s="55">
      <c r="A102" s="57" t="n">
        <v>101</v>
      </c>
      <c r="B102" s="59" t="n">
        <v>46231</v>
      </c>
      <c r="C102" s="57" t="inlineStr">
        <is>
          <t>AR</t>
        </is>
      </c>
      <c r="D102" s="57" t="inlineStr">
        <is>
          <t>UKYT-25-004</t>
        </is>
      </c>
      <c r="E102" s="57" t="n">
        <v>0.152</v>
      </c>
      <c r="F102" s="57">
        <f> ((((E102 + 0.02506) / 0.001769) * 0.8 * 1) / (0.2 * 1000))</f>
        <v/>
      </c>
      <c r="G102" s="57" t="inlineStr">
        <is>
          <t>25-004</t>
        </is>
      </c>
      <c r="H102" s="57" t="inlineStr">
        <is>
          <t>H2 25-004 Rep 3</t>
        </is>
      </c>
      <c r="I102" s="57" t="inlineStr">
        <is>
          <t>R3</t>
        </is>
      </c>
    </row>
    <row r="103" ht="25" customHeight="1" s="55">
      <c r="A103" s="57" t="n">
        <v>102</v>
      </c>
      <c r="B103" s="59" t="n">
        <v>46231</v>
      </c>
      <c r="C103" s="57" t="inlineStr">
        <is>
          <t>AR</t>
        </is>
      </c>
      <c r="D103" s="57" t="inlineStr">
        <is>
          <t>UKYT-25-004</t>
        </is>
      </c>
      <c r="E103" s="57" t="n">
        <v>0.097</v>
      </c>
      <c r="F103" s="57">
        <f> ((((E103 + 0.02506) / 0.001769) * 0.8 * 1) / (0.2 * 1000))</f>
        <v/>
      </c>
      <c r="G103" s="57" t="inlineStr">
        <is>
          <t>25-004</t>
        </is>
      </c>
      <c r="H103" s="57" t="inlineStr">
        <is>
          <t>H2 25-004 Rep 4</t>
        </is>
      </c>
      <c r="I103" s="57" t="inlineStr">
        <is>
          <t>R4</t>
        </is>
      </c>
    </row>
    <row r="104" ht="25" customHeight="1" s="55">
      <c r="A104" s="57" t="n">
        <v>103</v>
      </c>
      <c r="B104" s="59" t="n">
        <v>46231</v>
      </c>
      <c r="C104" s="57" t="inlineStr">
        <is>
          <t>AR</t>
        </is>
      </c>
      <c r="D104" s="57" t="inlineStr">
        <is>
          <t>UKYT-25-007</t>
        </is>
      </c>
      <c r="E104" s="57" t="n">
        <v>0.121</v>
      </c>
      <c r="F104" s="57">
        <f> ((((E104 + 0.02506) / 0.001769) * 0.8 * 1) / (0.2 * 1000))</f>
        <v/>
      </c>
      <c r="G104" s="57" t="inlineStr">
        <is>
          <t>25-007</t>
        </is>
      </c>
      <c r="H104" s="57" t="inlineStr">
        <is>
          <t>H2 25-007 Rep 1</t>
        </is>
      </c>
      <c r="I104" s="57" t="inlineStr">
        <is>
          <t>R1</t>
        </is>
      </c>
    </row>
    <row r="105" ht="25" customHeight="1" s="55">
      <c r="A105" s="57" t="n">
        <v>104</v>
      </c>
      <c r="B105" s="59" t="n">
        <v>46231</v>
      </c>
      <c r="C105" s="57" t="inlineStr">
        <is>
          <t>AR</t>
        </is>
      </c>
      <c r="D105" s="57" t="inlineStr">
        <is>
          <t>UKYT-25-007</t>
        </is>
      </c>
      <c r="E105" s="57" t="n">
        <v>0.141</v>
      </c>
      <c r="F105" s="57">
        <f> ((((E105 + 0.02506) / 0.001769) * 0.8 * 1) / (0.2 * 1000))</f>
        <v/>
      </c>
      <c r="G105" s="57" t="inlineStr">
        <is>
          <t>25-007</t>
        </is>
      </c>
      <c r="H105" s="57" t="inlineStr">
        <is>
          <t>H2 25-007 Rep 2</t>
        </is>
      </c>
      <c r="I105" s="57" t="inlineStr">
        <is>
          <t>R2</t>
        </is>
      </c>
    </row>
    <row r="106" ht="25" customHeight="1" s="55">
      <c r="A106" s="57" t="n">
        <v>105</v>
      </c>
      <c r="B106" s="59" t="n">
        <v>46231</v>
      </c>
      <c r="C106" s="57" t="inlineStr">
        <is>
          <t>AR</t>
        </is>
      </c>
      <c r="D106" s="57" t="inlineStr">
        <is>
          <t>UKYT-25-007</t>
        </is>
      </c>
      <c r="E106" s="57" t="n">
        <v>0.183</v>
      </c>
      <c r="F106" s="57">
        <f> ((((E106 + 0.02506) / 0.001769) * 0.8 * 1) / (0.2 * 1000))</f>
        <v/>
      </c>
      <c r="G106" s="57" t="inlineStr">
        <is>
          <t>25-007</t>
        </is>
      </c>
      <c r="H106" s="57" t="inlineStr">
        <is>
          <t>H2 25-007 Rep 3</t>
        </is>
      </c>
      <c r="I106" s="57" t="inlineStr">
        <is>
          <t>R3</t>
        </is>
      </c>
    </row>
    <row r="107" ht="25" customHeight="1" s="55">
      <c r="A107" s="57" t="n">
        <v>106</v>
      </c>
      <c r="B107" s="59" t="n">
        <v>46231</v>
      </c>
      <c r="C107" s="57" t="inlineStr">
        <is>
          <t>AR</t>
        </is>
      </c>
      <c r="D107" s="57" t="inlineStr">
        <is>
          <t>UKYT-25-007</t>
        </is>
      </c>
      <c r="E107" s="57" t="n">
        <v>0.223</v>
      </c>
      <c r="F107" s="57">
        <f> ((((E107 + 0.02506) / 0.001769) * 0.8 * 1) / (0.2 * 1000))</f>
        <v/>
      </c>
      <c r="G107" s="57" t="inlineStr">
        <is>
          <t>25-007</t>
        </is>
      </c>
      <c r="H107" s="57" t="inlineStr">
        <is>
          <t>H2 25-007 Rep 4</t>
        </is>
      </c>
      <c r="I107" s="57" t="inlineStr">
        <is>
          <t>R4</t>
        </is>
      </c>
    </row>
    <row r="108" ht="25" customHeight="1" s="55">
      <c r="A108" s="57" t="n">
        <v>107</v>
      </c>
      <c r="B108" s="59" t="n">
        <v>46231</v>
      </c>
      <c r="C108" s="57" t="inlineStr">
        <is>
          <t>AR</t>
        </is>
      </c>
      <c r="D108" s="57" t="inlineStr">
        <is>
          <t>UKYT-25-010</t>
        </is>
      </c>
      <c r="E108" s="57" t="n">
        <v>0.185</v>
      </c>
      <c r="F108" s="57">
        <f> ((((E108 + 0.02506) / 0.001769) * 0.8 * 1) / (0.2 * 1000))</f>
        <v/>
      </c>
      <c r="G108" s="57" t="inlineStr">
        <is>
          <t>25-010</t>
        </is>
      </c>
      <c r="H108" s="57" t="inlineStr">
        <is>
          <t>H2 25-010 Rep 1</t>
        </is>
      </c>
      <c r="I108" s="57" t="inlineStr">
        <is>
          <t>R1</t>
        </is>
      </c>
    </row>
    <row r="109" ht="25" customHeight="1" s="55">
      <c r="A109" s="57" t="n">
        <v>108</v>
      </c>
      <c r="B109" s="59" t="n">
        <v>46231</v>
      </c>
      <c r="C109" s="57" t="inlineStr">
        <is>
          <t>AR</t>
        </is>
      </c>
      <c r="D109" s="57" t="inlineStr">
        <is>
          <t>UKYT-25-010</t>
        </is>
      </c>
      <c r="E109" s="57" t="n">
        <v>0.217</v>
      </c>
      <c r="F109" s="57">
        <f> ((((E109 + 0.02506) / 0.001769) * 0.8 * 1) / (0.2 * 1000))</f>
        <v/>
      </c>
      <c r="G109" s="57" t="inlineStr">
        <is>
          <t>25-010</t>
        </is>
      </c>
      <c r="H109" s="57" t="inlineStr">
        <is>
          <t>H2 25-010 Rep 2</t>
        </is>
      </c>
      <c r="I109" s="57" t="inlineStr">
        <is>
          <t>R2</t>
        </is>
      </c>
    </row>
    <row r="110" ht="25" customHeight="1" s="55">
      <c r="A110" s="57" t="n">
        <v>109</v>
      </c>
      <c r="B110" s="59" t="n">
        <v>46231</v>
      </c>
      <c r="C110" s="57" t="inlineStr">
        <is>
          <t>AR</t>
        </is>
      </c>
      <c r="D110" s="57" t="inlineStr">
        <is>
          <t>UKYT-25-010</t>
        </is>
      </c>
      <c r="E110" s="57" t="n">
        <v>0.228</v>
      </c>
      <c r="F110" s="57">
        <f> ((((E110 + 0.02506) / 0.001769) * 0.8 * 1) / (0.2 * 1000))</f>
        <v/>
      </c>
      <c r="G110" s="57" t="inlineStr">
        <is>
          <t>25-010</t>
        </is>
      </c>
      <c r="H110" s="57" t="inlineStr">
        <is>
          <t>H2 25-010 Rep 3</t>
        </is>
      </c>
      <c r="I110" s="57" t="inlineStr">
        <is>
          <t>R3</t>
        </is>
      </c>
    </row>
    <row r="111" ht="25" customHeight="1" s="55">
      <c r="A111" s="57" t="n">
        <v>110</v>
      </c>
      <c r="B111" s="59" t="n">
        <v>46231</v>
      </c>
      <c r="C111" s="57" t="inlineStr">
        <is>
          <t>AR</t>
        </is>
      </c>
      <c r="D111" s="57" t="inlineStr">
        <is>
          <t>UKYT-25-010</t>
        </is>
      </c>
      <c r="E111" s="57" t="n">
        <v>0.07199999999999999</v>
      </c>
      <c r="F111" s="57">
        <f> ((((E111 + 0.02506) / 0.001769) * 0.8 * 1) / (0.2 * 1000))</f>
        <v/>
      </c>
      <c r="G111" s="57" t="inlineStr">
        <is>
          <t>25-010</t>
        </is>
      </c>
      <c r="H111" s="57" t="inlineStr">
        <is>
          <t>H2 25-010 Rep 4</t>
        </is>
      </c>
      <c r="I111" s="57" t="inlineStr">
        <is>
          <t>R4</t>
        </is>
      </c>
    </row>
    <row r="112" ht="25" customHeight="1" s="55">
      <c r="A112" s="57" t="n">
        <v>111</v>
      </c>
      <c r="B112" s="59" t="n">
        <v>46231</v>
      </c>
      <c r="C112" s="57" t="inlineStr">
        <is>
          <t>AR</t>
        </is>
      </c>
      <c r="D112" s="57" t="inlineStr">
        <is>
          <t>UKYT-25-013</t>
        </is>
      </c>
      <c r="E112" s="57" t="n">
        <v>0.193</v>
      </c>
      <c r="F112" s="57">
        <f> ((((E112 + 0.02506) / 0.001769) * 0.8 * 1) / (0.2 * 1000))</f>
        <v/>
      </c>
      <c r="G112" s="57" t="inlineStr">
        <is>
          <t>Very surprised at how well everything went for the first time running this. Originally thought it would be a trial run and that the data would be discarded but all the data came out pretty much exactly the way i wanted it, no reason to discard data when everything came so perfectly. No real hiccups other than the time it took. Without a doubt worth the time if we have such a way to streamline our data collection process.; 25-013; July 28 - Standard Curve</t>
        </is>
      </c>
      <c r="H112" s="57" t="inlineStr">
        <is>
          <t>H2 25-013 Rep 1</t>
        </is>
      </c>
      <c r="I112" s="57" t="inlineStr">
        <is>
          <t>R1</t>
        </is>
      </c>
    </row>
    <row r="113" ht="25" customHeight="1" s="55">
      <c r="A113" s="57" t="n">
        <v>112</v>
      </c>
      <c r="B113" s="59" t="n">
        <v>46231</v>
      </c>
      <c r="C113" s="57" t="inlineStr">
        <is>
          <t>AR</t>
        </is>
      </c>
      <c r="D113" s="57" t="inlineStr">
        <is>
          <t>UKYT-25-013</t>
        </is>
      </c>
      <c r="E113" s="57" t="n">
        <v>0.18</v>
      </c>
      <c r="F113" s="57">
        <f> ((((E113 + 0.02506) / 0.001769) * 0.8 * 1) / (0.2 * 1000))</f>
        <v/>
      </c>
      <c r="G113" s="57" t="inlineStr">
        <is>
          <t>Only thing I was considering changing is the range of gaba. Ran concentrations of 25, 75, 200, 600. Either we need to put something between 200 and 600 or lower 600 to around 500 and change 200 to 250.; 25-013; y = 0.001769x - 0.02506</t>
        </is>
      </c>
      <c r="H113" s="57" t="inlineStr">
        <is>
          <t>H2 25-013 Rep 2</t>
        </is>
      </c>
      <c r="I113" s="57" t="inlineStr">
        <is>
          <t>R2</t>
        </is>
      </c>
    </row>
    <row r="114" ht="25" customHeight="1" s="55">
      <c r="A114" s="57" t="n">
        <v>113</v>
      </c>
      <c r="B114" s="59" t="n">
        <v>46231</v>
      </c>
      <c r="C114" s="57" t="inlineStr">
        <is>
          <t>AR</t>
        </is>
      </c>
      <c r="D114" s="57" t="inlineStr">
        <is>
          <t>UKYT-25-013</t>
        </is>
      </c>
      <c r="E114" s="57" t="n">
        <v>0.137</v>
      </c>
      <c r="F114" s="57">
        <f> ((((E114 + 0.02506) / 0.001769) * 0.8 * 1) / (0.2 * 1000))</f>
        <v/>
      </c>
      <c r="G114" s="57" t="inlineStr">
        <is>
          <t>25-013; r = 0.987782</t>
        </is>
      </c>
      <c r="H114" s="57" t="inlineStr">
        <is>
          <t>H2 25-013 Rep 3</t>
        </is>
      </c>
      <c r="I114" s="57" t="inlineStr">
        <is>
          <t>R3</t>
        </is>
      </c>
    </row>
    <row r="115" ht="25" customHeight="1" s="55">
      <c r="A115" s="57" t="n">
        <v>114</v>
      </c>
      <c r="B115" s="59" t="n">
        <v>46231</v>
      </c>
      <c r="C115" s="57" t="inlineStr">
        <is>
          <t>AR</t>
        </is>
      </c>
      <c r="D115" s="57" t="inlineStr">
        <is>
          <t>UKYT-25-013</t>
        </is>
      </c>
      <c r="E115" s="57" t="n">
        <v>0.241</v>
      </c>
      <c r="F115" s="57">
        <f> ((((E115 + 0.02506) / 0.001769) * 0.8 * 1) / (0.2 * 1000))</f>
        <v/>
      </c>
      <c r="G115" s="57" t="inlineStr">
        <is>
          <t>25-013; r^2 = 0.975714</t>
        </is>
      </c>
      <c r="H115" s="57" t="inlineStr">
        <is>
          <t>H2 25-013 Rep 4</t>
        </is>
      </c>
      <c r="I115" s="57" t="inlineStr">
        <is>
          <t>R4</t>
        </is>
      </c>
    </row>
    <row r="116" ht="25" customHeight="1" s="55">
      <c r="A116" s="57" t="n">
        <v>115</v>
      </c>
      <c r="B116" s="59" t="n">
        <v>46233</v>
      </c>
      <c r="C116" s="57" t="inlineStr">
        <is>
          <t>AR</t>
        </is>
      </c>
      <c r="D116" s="57" t="inlineStr">
        <is>
          <t>UKYT-26-019</t>
        </is>
      </c>
      <c r="E116" s="57" t="n">
        <v>0.193</v>
      </c>
      <c r="F116" s="57">
        <f> ((((E116 + 0.03492) / 0.001784) * 0.8 * 1) / (0.2 * 1000))</f>
        <v/>
      </c>
      <c r="G116" s="57" t="inlineStr">
        <is>
          <t>26-019</t>
        </is>
      </c>
      <c r="H116" s="57" t="inlineStr">
        <is>
          <t>HT3  26-019 Rep 1</t>
        </is>
      </c>
      <c r="I116" s="57" t="inlineStr">
        <is>
          <t>R1</t>
        </is>
      </c>
    </row>
    <row r="117" ht="25" customHeight="1" s="55">
      <c r="A117" s="57" t="n">
        <v>116</v>
      </c>
      <c r="B117" s="59" t="n">
        <v>46233</v>
      </c>
      <c r="C117" s="57" t="inlineStr">
        <is>
          <t>AR</t>
        </is>
      </c>
      <c r="D117" s="57" t="inlineStr">
        <is>
          <t>UKYT-26-019</t>
        </is>
      </c>
      <c r="E117" s="57" t="n">
        <v>0.204</v>
      </c>
      <c r="F117" s="57">
        <f> ((((E117 + 0.03492) / 0.001784) * 0.8 * 1) / (0.2 * 1000))</f>
        <v/>
      </c>
      <c r="G117" s="57" t="inlineStr">
        <is>
          <t>26-019</t>
        </is>
      </c>
      <c r="H117" s="57" t="inlineStr">
        <is>
          <t>HT3  26-019 Rep 2</t>
        </is>
      </c>
      <c r="I117" s="57" t="inlineStr">
        <is>
          <t>R2</t>
        </is>
      </c>
    </row>
    <row r="118" ht="25" customHeight="1" s="55">
      <c r="A118" s="57" t="n">
        <v>117</v>
      </c>
      <c r="B118" s="59" t="n">
        <v>46233</v>
      </c>
      <c r="C118" s="57" t="inlineStr">
        <is>
          <t>AR</t>
        </is>
      </c>
      <c r="D118" s="57" t="inlineStr">
        <is>
          <t>UKYT-26-019</t>
        </is>
      </c>
      <c r="E118" s="57" t="n">
        <v>0.229</v>
      </c>
      <c r="F118" s="57">
        <f> ((((E118 + 0.03492) / 0.001784) * 0.8 * 1) / (0.2 * 1000))</f>
        <v/>
      </c>
      <c r="G118" s="57" t="inlineStr">
        <is>
          <t>26-019</t>
        </is>
      </c>
      <c r="H118" s="57" t="inlineStr">
        <is>
          <t>HT3  26-019 Rep 3</t>
        </is>
      </c>
      <c r="I118" s="57" t="inlineStr">
        <is>
          <t>R3</t>
        </is>
      </c>
    </row>
    <row r="119" ht="25" customHeight="1" s="55">
      <c r="A119" s="57" t="n">
        <v>118</v>
      </c>
      <c r="B119" s="59" t="n">
        <v>46233</v>
      </c>
      <c r="C119" s="57" t="inlineStr">
        <is>
          <t>AR</t>
        </is>
      </c>
      <c r="D119" s="57" t="inlineStr">
        <is>
          <t>UKYT-26-019</t>
        </is>
      </c>
      <c r="E119" s="57" t="n">
        <v>0.259</v>
      </c>
      <c r="F119" s="57">
        <f> ((((E119 + 0.03492) / 0.001784) * 0.8 * 1) / (0.2 * 1000))</f>
        <v/>
      </c>
      <c r="G119" s="57" t="inlineStr">
        <is>
          <t>26-019</t>
        </is>
      </c>
      <c r="H119" s="57" t="inlineStr">
        <is>
          <t>HT3  26-019 Rep 4</t>
        </is>
      </c>
      <c r="I119" s="57" t="inlineStr">
        <is>
          <t>R4</t>
        </is>
      </c>
    </row>
    <row r="120" ht="25" customHeight="1" s="55">
      <c r="A120" s="57" t="n">
        <v>119</v>
      </c>
      <c r="B120" s="59" t="n">
        <v>46233</v>
      </c>
      <c r="C120" s="57" t="inlineStr">
        <is>
          <t>AR</t>
        </is>
      </c>
      <c r="D120" s="57" t="inlineStr">
        <is>
          <t>UKYT-26-019</t>
        </is>
      </c>
      <c r="E120" s="57" t="n">
        <v>0.247</v>
      </c>
      <c r="F120" s="57">
        <f> ((((E120 + 0.03492) / 0.001784) * 0.8 * 1) / (0.2 * 1000))</f>
        <v/>
      </c>
      <c r="G120" s="57" t="inlineStr">
        <is>
          <t>26-019</t>
        </is>
      </c>
      <c r="H120" s="57" t="inlineStr">
        <is>
          <t>HT3  26-019 Rep 5</t>
        </is>
      </c>
      <c r="I120" s="57" t="inlineStr">
        <is>
          <t>R5</t>
        </is>
      </c>
    </row>
    <row r="121" ht="25" customHeight="1" s="55">
      <c r="A121" s="57" t="n">
        <v>120</v>
      </c>
      <c r="B121" s="59" t="n">
        <v>46233</v>
      </c>
      <c r="C121" s="57" t="inlineStr">
        <is>
          <t>AR</t>
        </is>
      </c>
      <c r="D121" s="57" t="inlineStr">
        <is>
          <t>UKYT-26-020</t>
        </is>
      </c>
      <c r="E121" s="57" t="n">
        <v>0.101</v>
      </c>
      <c r="F121" s="57">
        <f> ((((E121 + 0.03492) / 0.001784) * 0.8 * 1) / (0.2 * 1000))</f>
        <v/>
      </c>
      <c r="G121" s="57" t="inlineStr">
        <is>
          <t>26-020</t>
        </is>
      </c>
      <c r="H121" s="57" t="inlineStr">
        <is>
          <t>HT3 26-020 Rep 1</t>
        </is>
      </c>
      <c r="I121" s="57" t="inlineStr">
        <is>
          <t>R1</t>
        </is>
      </c>
    </row>
    <row r="122" ht="25" customHeight="1" s="55">
      <c r="A122" s="57" t="n">
        <v>121</v>
      </c>
      <c r="B122" s="59" t="n">
        <v>46233</v>
      </c>
      <c r="C122" s="57" t="inlineStr">
        <is>
          <t>AR</t>
        </is>
      </c>
      <c r="D122" s="57" t="inlineStr">
        <is>
          <t>UKYT-26-020</t>
        </is>
      </c>
      <c r="E122" s="57" t="n">
        <v>0.08599999999999999</v>
      </c>
      <c r="F122" s="57">
        <f> ((((E122 + 0.03492) / 0.001784) * 0.8 * 1) / (0.2 * 1000))</f>
        <v/>
      </c>
      <c r="G122" s="57" t="inlineStr">
        <is>
          <t>26-020</t>
        </is>
      </c>
      <c r="H122" s="57" t="inlineStr">
        <is>
          <t>HT3 26-020 Rep 2</t>
        </is>
      </c>
      <c r="I122" s="57" t="inlineStr">
        <is>
          <t>R2</t>
        </is>
      </c>
    </row>
    <row r="123" ht="25" customHeight="1" s="55">
      <c r="A123" s="57" t="n">
        <v>122</v>
      </c>
      <c r="B123" s="59" t="n">
        <v>46233</v>
      </c>
      <c r="C123" s="57" t="inlineStr">
        <is>
          <t>AR</t>
        </is>
      </c>
      <c r="D123" s="57" t="inlineStr">
        <is>
          <t>UKYT-26-020</t>
        </is>
      </c>
      <c r="E123" s="57" t="n">
        <v>0.093</v>
      </c>
      <c r="F123" s="57">
        <f> ((((E123 + 0.03492) / 0.001784) * 0.8 * 1) / (0.2 * 1000))</f>
        <v/>
      </c>
      <c r="G123" s="57" t="inlineStr">
        <is>
          <t>26-020</t>
        </is>
      </c>
      <c r="H123" s="57" t="inlineStr">
        <is>
          <t>HT3 26-020 Rep 3</t>
        </is>
      </c>
      <c r="I123" s="57" t="inlineStr">
        <is>
          <t>R3</t>
        </is>
      </c>
    </row>
    <row r="124" ht="25" customHeight="1" s="55">
      <c r="A124" s="57" t="n">
        <v>123</v>
      </c>
      <c r="B124" s="59" t="n">
        <v>46233</v>
      </c>
      <c r="C124" s="57" t="inlineStr">
        <is>
          <t>AR</t>
        </is>
      </c>
      <c r="D124" s="57" t="inlineStr">
        <is>
          <t>UKYT-26-020</t>
        </is>
      </c>
      <c r="E124" s="57" t="n">
        <v>0.066</v>
      </c>
      <c r="F124" s="57">
        <f> ((((E124 + 0.03492) / 0.001784) * 0.8 * 1) / (0.2 * 1000))</f>
        <v/>
      </c>
      <c r="G124" s="57" t="inlineStr">
        <is>
          <t>26-020</t>
        </is>
      </c>
      <c r="H124" s="57" t="inlineStr">
        <is>
          <t>HT3 26-020 Rep 4</t>
        </is>
      </c>
      <c r="I124" s="57" t="inlineStr">
        <is>
          <t>R4</t>
        </is>
      </c>
    </row>
    <row r="125" ht="25" customHeight="1" s="55">
      <c r="A125" s="57" t="n">
        <v>124</v>
      </c>
      <c r="B125" s="59" t="n">
        <v>46233</v>
      </c>
      <c r="C125" s="57" t="inlineStr">
        <is>
          <t>AR</t>
        </is>
      </c>
      <c r="D125" s="57" t="inlineStr">
        <is>
          <t>UKYT-26-021</t>
        </is>
      </c>
      <c r="E125" s="57" t="n">
        <v>0.306</v>
      </c>
      <c r="F125" s="57">
        <f> ((((E125 + 0.03492) / 0.001784) * 0.8 * 1) / (0.2 * 1000))</f>
        <v/>
      </c>
      <c r="G125" s="57" t="inlineStr">
        <is>
          <t>26-021</t>
        </is>
      </c>
      <c r="H125" s="57" t="inlineStr">
        <is>
          <t>HT3 26-021 Rep 1</t>
        </is>
      </c>
      <c r="I125" s="57" t="inlineStr">
        <is>
          <t>R1</t>
        </is>
      </c>
    </row>
    <row r="126" ht="25" customHeight="1" s="55">
      <c r="A126" s="57" t="n">
        <v>125</v>
      </c>
      <c r="B126" s="59" t="n">
        <v>46233</v>
      </c>
      <c r="C126" s="57" t="inlineStr">
        <is>
          <t>AR</t>
        </is>
      </c>
      <c r="D126" s="57" t="inlineStr">
        <is>
          <t>UKYT-26-021</t>
        </is>
      </c>
      <c r="E126" s="57" t="n">
        <v>0.314</v>
      </c>
      <c r="F126" s="57">
        <f> ((((E126 + 0.03492) / 0.001784) * 0.8 * 1) / (0.2 * 1000))</f>
        <v/>
      </c>
      <c r="G126" s="57" t="inlineStr">
        <is>
          <t>26-021</t>
        </is>
      </c>
      <c r="H126" s="57" t="inlineStr">
        <is>
          <t>HT3 26-021 Rep 2</t>
        </is>
      </c>
      <c r="I126" s="57" t="inlineStr">
        <is>
          <t>R2</t>
        </is>
      </c>
    </row>
    <row r="127" ht="25" customHeight="1" s="55">
      <c r="A127" s="57" t="n">
        <v>126</v>
      </c>
      <c r="B127" s="59" t="n">
        <v>46233</v>
      </c>
      <c r="C127" s="57" t="inlineStr">
        <is>
          <t>AR</t>
        </is>
      </c>
      <c r="D127" s="57" t="inlineStr">
        <is>
          <t>UKYT-26-021</t>
        </is>
      </c>
      <c r="E127" s="57" t="n">
        <v>0.342</v>
      </c>
      <c r="F127" s="57">
        <f> ((((E127 + 0.03492) / 0.001784) * 0.8 * 1) / (0.2 * 1000))</f>
        <v/>
      </c>
      <c r="G127" s="57" t="inlineStr">
        <is>
          <t>26-021</t>
        </is>
      </c>
      <c r="H127" s="57" t="inlineStr">
        <is>
          <t>HT3 26-021 Rep 3</t>
        </is>
      </c>
      <c r="I127" s="57" t="inlineStr">
        <is>
          <t>R3</t>
        </is>
      </c>
    </row>
    <row r="128" ht="25" customHeight="1" s="55">
      <c r="A128" s="57" t="n">
        <v>127</v>
      </c>
      <c r="B128" s="59" t="n">
        <v>46233</v>
      </c>
      <c r="C128" s="57" t="inlineStr">
        <is>
          <t>AR</t>
        </is>
      </c>
      <c r="D128" s="57" t="inlineStr">
        <is>
          <t>UKYT-26-021</t>
        </is>
      </c>
      <c r="E128" s="57" t="n">
        <v>0.392</v>
      </c>
      <c r="F128" s="57">
        <f> ((((E128 + 0.03492) / 0.001784) * 0.8 * 1) / (0.2 * 1000))</f>
        <v/>
      </c>
      <c r="G128" s="57" t="inlineStr">
        <is>
          <t>26-021</t>
        </is>
      </c>
      <c r="H128" s="57" t="inlineStr">
        <is>
          <t>HT3 26-021 Rep 4</t>
        </is>
      </c>
      <c r="I128" s="57" t="inlineStr">
        <is>
          <t>R4</t>
        </is>
      </c>
    </row>
    <row r="129" ht="25" customHeight="1" s="55">
      <c r="A129" s="57" t="n">
        <v>128</v>
      </c>
      <c r="B129" s="59" t="n">
        <v>46233</v>
      </c>
      <c r="C129" s="57" t="inlineStr">
        <is>
          <t>AR</t>
        </is>
      </c>
      <c r="D129" s="57" t="inlineStr">
        <is>
          <t>UKYT-26-021</t>
        </is>
      </c>
      <c r="E129" s="57" t="n">
        <v>0.37</v>
      </c>
      <c r="F129" s="57">
        <f> ((((E129 + 0.03492) / 0.001784) * 0.8 * 1) / (0.2 * 1000))</f>
        <v/>
      </c>
      <c r="G129" s="57" t="inlineStr">
        <is>
          <t>26-021</t>
        </is>
      </c>
      <c r="H129" s="57" t="inlineStr">
        <is>
          <t>HT3 26-021 Rep 5</t>
        </is>
      </c>
      <c r="I129" s="57" t="inlineStr">
        <is>
          <t>R5</t>
        </is>
      </c>
    </row>
    <row r="130" ht="25" customHeight="1" s="55">
      <c r="A130" s="57" t="n">
        <v>129</v>
      </c>
      <c r="B130" s="59" t="n">
        <v>46233</v>
      </c>
      <c r="C130" s="57" t="inlineStr">
        <is>
          <t>AR</t>
        </is>
      </c>
      <c r="D130" s="57" t="inlineStr">
        <is>
          <t>UKYT-26-022</t>
        </is>
      </c>
      <c r="E130" s="57" t="n">
        <v>0.148</v>
      </c>
      <c r="F130" s="57">
        <f> ((((E130 + 0.03492) / 0.001784) * 0.8 * 1) / (0.2 * 1000))</f>
        <v/>
      </c>
      <c r="G130" s="57" t="inlineStr">
        <is>
          <t>26-022</t>
        </is>
      </c>
      <c r="H130" s="57" t="inlineStr">
        <is>
          <t>HT3 26-022 Rep 1</t>
        </is>
      </c>
      <c r="I130" s="57" t="inlineStr">
        <is>
          <t>R1</t>
        </is>
      </c>
    </row>
    <row r="131" ht="25" customHeight="1" s="55">
      <c r="A131" s="57" t="n">
        <v>130</v>
      </c>
      <c r="B131" s="59" t="n">
        <v>46233</v>
      </c>
      <c r="C131" s="57" t="inlineStr">
        <is>
          <t>AR</t>
        </is>
      </c>
      <c r="D131" s="57" t="inlineStr">
        <is>
          <t>UKYT-26-022</t>
        </is>
      </c>
      <c r="E131" s="57" t="n">
        <v>0.17</v>
      </c>
      <c r="F131" s="57">
        <f> ((((E131 + 0.03492) / 0.001784) * 0.8 * 1) / (0.2 * 1000))</f>
        <v/>
      </c>
      <c r="G131" s="57" t="inlineStr">
        <is>
          <t>26-022</t>
        </is>
      </c>
      <c r="H131" s="57" t="inlineStr">
        <is>
          <t>HT3 26-022 Rep 2</t>
        </is>
      </c>
      <c r="I131" s="57" t="inlineStr">
        <is>
          <t>R2</t>
        </is>
      </c>
    </row>
    <row r="132" ht="25" customHeight="1" s="55">
      <c r="A132" s="57" t="n">
        <v>131</v>
      </c>
      <c r="B132" s="59" t="n">
        <v>46233</v>
      </c>
      <c r="C132" s="57" t="inlineStr">
        <is>
          <t>AR</t>
        </is>
      </c>
      <c r="D132" s="57" t="inlineStr">
        <is>
          <t>UKYT-26-022</t>
        </is>
      </c>
      <c r="E132" s="57" t="n">
        <v>0.172</v>
      </c>
      <c r="F132" s="57">
        <f> ((((E132 + 0.03492) / 0.001784) * 0.8 * 1) / (0.2 * 1000))</f>
        <v/>
      </c>
      <c r="G132" s="57" t="inlineStr">
        <is>
          <t>26-022</t>
        </is>
      </c>
      <c r="H132" s="57" t="inlineStr">
        <is>
          <t>HT3 26-022 Rep 3</t>
        </is>
      </c>
      <c r="I132" s="57" t="inlineStr">
        <is>
          <t>R3</t>
        </is>
      </c>
    </row>
    <row r="133" ht="25" customHeight="1" s="55">
      <c r="A133" s="57" t="n">
        <v>132</v>
      </c>
      <c r="B133" s="59" t="n">
        <v>46233</v>
      </c>
      <c r="C133" s="57" t="inlineStr">
        <is>
          <t>AR</t>
        </is>
      </c>
      <c r="D133" s="57" t="inlineStr">
        <is>
          <t>UKYT-26-022</t>
        </is>
      </c>
      <c r="E133" s="57" t="n">
        <v>0.142</v>
      </c>
      <c r="F133" s="57">
        <f> ((((E133 + 0.03492) / 0.001784) * 0.8 * 1) / (0.2 * 1000))</f>
        <v/>
      </c>
      <c r="G133" s="57" t="inlineStr">
        <is>
          <t>26-022</t>
        </is>
      </c>
      <c r="H133" s="57" t="inlineStr">
        <is>
          <t>HT3 26-022 Rep 4</t>
        </is>
      </c>
      <c r="I133" s="57" t="inlineStr">
        <is>
          <t>R4</t>
        </is>
      </c>
    </row>
    <row r="134" ht="25" customHeight="1" s="55">
      <c r="A134" s="57" t="n">
        <v>133</v>
      </c>
      <c r="B134" s="59" t="n">
        <v>46233</v>
      </c>
      <c r="C134" s="57" t="inlineStr">
        <is>
          <t>AR</t>
        </is>
      </c>
      <c r="D134" s="57" t="inlineStr">
        <is>
          <t>UKYT-26-023</t>
        </is>
      </c>
      <c r="E134" s="57" t="n">
        <v>0.196</v>
      </c>
      <c r="F134" s="57">
        <f> ((((E134 + 0.03492) / 0.001784) * 0.8 * 1) / (0.2 * 1000))</f>
        <v/>
      </c>
      <c r="G134" s="57" t="inlineStr">
        <is>
          <t>26-023</t>
        </is>
      </c>
      <c r="H134" s="57" t="inlineStr">
        <is>
          <t>HT3 26-023 Rep 1</t>
        </is>
      </c>
      <c r="I134" s="57" t="inlineStr">
        <is>
          <t>R1</t>
        </is>
      </c>
    </row>
    <row r="135" ht="25" customHeight="1" s="55">
      <c r="A135" s="57" t="n">
        <v>134</v>
      </c>
      <c r="B135" s="59" t="n">
        <v>46233</v>
      </c>
      <c r="C135" s="57" t="inlineStr">
        <is>
          <t>AR</t>
        </is>
      </c>
      <c r="D135" s="57" t="inlineStr">
        <is>
          <t>UKYT-26-023</t>
        </is>
      </c>
      <c r="E135" s="57" t="n">
        <v>0.225</v>
      </c>
      <c r="F135" s="57">
        <f> ((((E135 + 0.03492) / 0.001784) * 0.8 * 1) / (0.2 * 1000))</f>
        <v/>
      </c>
      <c r="G135" s="57" t="inlineStr">
        <is>
          <t>26-023</t>
        </is>
      </c>
      <c r="H135" s="57" t="inlineStr">
        <is>
          <t>HT3 26-023 Rep 2</t>
        </is>
      </c>
      <c r="I135" s="57" t="inlineStr">
        <is>
          <t>R2</t>
        </is>
      </c>
    </row>
    <row r="136" ht="25" customHeight="1" s="55">
      <c r="A136" s="57" t="n">
        <v>135</v>
      </c>
      <c r="B136" s="59" t="n">
        <v>46233</v>
      </c>
      <c r="C136" s="57" t="inlineStr">
        <is>
          <t>AR</t>
        </is>
      </c>
      <c r="D136" s="57" t="inlineStr">
        <is>
          <t>UKYT-26-023</t>
        </is>
      </c>
      <c r="E136" s="57" t="n">
        <v>0.175</v>
      </c>
      <c r="F136" s="57">
        <f> ((((E136 + 0.03492) / 0.001784) * 0.8 * 1) / (0.2 * 1000))</f>
        <v/>
      </c>
      <c r="G136" s="57" t="inlineStr">
        <is>
          <t>26-023</t>
        </is>
      </c>
      <c r="H136" s="57" t="inlineStr">
        <is>
          <t>HT3 26-023 Rep 3</t>
        </is>
      </c>
      <c r="I136" s="57" t="inlineStr">
        <is>
          <t>R3</t>
        </is>
      </c>
    </row>
    <row r="137" ht="25" customHeight="1" s="55">
      <c r="A137" s="57" t="n">
        <v>136</v>
      </c>
      <c r="B137" s="59" t="n">
        <v>46233</v>
      </c>
      <c r="C137" s="57" t="inlineStr">
        <is>
          <t>AR</t>
        </is>
      </c>
      <c r="D137" s="57" t="inlineStr">
        <is>
          <t>UKYT-26-023</t>
        </is>
      </c>
      <c r="E137" s="57" t="n">
        <v>0.246</v>
      </c>
      <c r="F137" s="57">
        <f> ((((E137 + 0.03492) / 0.001784) * 0.8 * 1) / (0.2 * 1000))</f>
        <v/>
      </c>
      <c r="G137" s="57" t="inlineStr">
        <is>
          <t>26-023</t>
        </is>
      </c>
      <c r="H137" s="57" t="inlineStr">
        <is>
          <t>HT3 26-023 Rep 4</t>
        </is>
      </c>
      <c r="I137" s="57" t="inlineStr">
        <is>
          <t>R4</t>
        </is>
      </c>
    </row>
    <row r="138" ht="25" customHeight="1" s="55">
      <c r="A138" s="57" t="n">
        <v>137</v>
      </c>
      <c r="B138" s="59" t="n">
        <v>46233</v>
      </c>
      <c r="C138" s="57" t="inlineStr">
        <is>
          <t>AR</t>
        </is>
      </c>
      <c r="D138" s="57" t="inlineStr">
        <is>
          <t>UKYT-26-023</t>
        </is>
      </c>
      <c r="E138" s="57" t="n">
        <v>0.224</v>
      </c>
      <c r="F138" s="57">
        <f> ((((E138 + 0.03492) / 0.001784) * 0.8 * 1) / (0.2 * 1000))</f>
        <v/>
      </c>
      <c r="G138" s="57" t="inlineStr">
        <is>
          <t>26-023</t>
        </is>
      </c>
      <c r="H138" s="57" t="inlineStr">
        <is>
          <t>HT3 26-023 Rep 5</t>
        </is>
      </c>
      <c r="I138" s="57" t="inlineStr">
        <is>
          <t>R5</t>
        </is>
      </c>
    </row>
    <row r="139" ht="25" customHeight="1" s="55">
      <c r="A139" s="57" t="n">
        <v>138</v>
      </c>
      <c r="B139" s="59" t="n">
        <v>46233</v>
      </c>
      <c r="C139" s="57" t="inlineStr">
        <is>
          <t>AR</t>
        </is>
      </c>
      <c r="D139" s="57" t="inlineStr">
        <is>
          <t>UKYT-26-024</t>
        </is>
      </c>
      <c r="E139" s="57" t="n">
        <v>0.217</v>
      </c>
      <c r="F139" s="57">
        <f> ((((E139 + 0.03492) / 0.001784) * 0.8 * 1) / (0.2 * 1000))</f>
        <v/>
      </c>
      <c r="G139" s="57" t="inlineStr">
        <is>
          <t>26-024</t>
        </is>
      </c>
      <c r="H139" s="57" t="inlineStr">
        <is>
          <t>HT3 26-024 Rep 1</t>
        </is>
      </c>
      <c r="I139" s="57" t="inlineStr">
        <is>
          <t>R1</t>
        </is>
      </c>
    </row>
    <row r="140" ht="25" customHeight="1" s="55">
      <c r="A140" s="57" t="n">
        <v>139</v>
      </c>
      <c r="B140" s="59" t="n">
        <v>46233</v>
      </c>
      <c r="C140" s="57" t="inlineStr">
        <is>
          <t>AR</t>
        </is>
      </c>
      <c r="D140" s="57" t="inlineStr">
        <is>
          <t>UKYT-26-024</t>
        </is>
      </c>
      <c r="E140" s="57" t="n">
        <v>0.218</v>
      </c>
      <c r="F140" s="57">
        <f> ((((E140 + 0.03492) / 0.001784) * 0.8 * 1) / (0.2 * 1000))</f>
        <v/>
      </c>
      <c r="G140" s="57" t="inlineStr">
        <is>
          <t>26-024</t>
        </is>
      </c>
      <c r="H140" s="57" t="inlineStr">
        <is>
          <t>HT3 26-024 Rep 2</t>
        </is>
      </c>
      <c r="I140" s="57" t="inlineStr">
        <is>
          <t>R2</t>
        </is>
      </c>
    </row>
    <row r="141" ht="25" customHeight="1" s="55">
      <c r="A141" s="57" t="n">
        <v>140</v>
      </c>
      <c r="B141" s="59" t="n">
        <v>46233</v>
      </c>
      <c r="C141" s="57" t="inlineStr">
        <is>
          <t>AR</t>
        </is>
      </c>
      <c r="D141" s="57" t="inlineStr">
        <is>
          <t>UKYT-26-024</t>
        </is>
      </c>
      <c r="E141" s="57" t="n">
        <v>0.211</v>
      </c>
      <c r="F141" s="57">
        <f> ((((E141 + 0.03492) / 0.001784) * 0.8 * 1) / (0.2 * 1000))</f>
        <v/>
      </c>
      <c r="G141" s="57" t="inlineStr">
        <is>
          <t>26-024</t>
        </is>
      </c>
      <c r="H141" s="57" t="inlineStr">
        <is>
          <t>HT3 26-024 Rep 3</t>
        </is>
      </c>
      <c r="I141" s="57" t="inlineStr">
        <is>
          <t>R3</t>
        </is>
      </c>
    </row>
    <row r="142" ht="25" customHeight="1" s="55">
      <c r="A142" s="57" t="n">
        <v>141</v>
      </c>
      <c r="B142" s="59" t="n">
        <v>46233</v>
      </c>
      <c r="C142" s="57" t="inlineStr">
        <is>
          <t>AR</t>
        </is>
      </c>
      <c r="D142" s="57" t="inlineStr">
        <is>
          <t>UKYT-26-024</t>
        </is>
      </c>
      <c r="E142" s="57" t="n">
        <v>0.209</v>
      </c>
      <c r="F142" s="57">
        <f> ((((E142 + 0.03492) / 0.001784) * 0.8 * 1) / (0.2 * 1000))</f>
        <v/>
      </c>
      <c r="G142" s="57" t="inlineStr">
        <is>
          <t>26-024</t>
        </is>
      </c>
      <c r="H142" s="57" t="inlineStr">
        <is>
          <t>HT3 26-024 Rep 4</t>
        </is>
      </c>
      <c r="I142" s="57" t="inlineStr">
        <is>
          <t>R4</t>
        </is>
      </c>
    </row>
    <row r="143" ht="25" customHeight="1" s="55">
      <c r="A143" s="57" t="n">
        <v>142</v>
      </c>
      <c r="B143" s="59" t="n">
        <v>46233</v>
      </c>
      <c r="C143" s="57" t="inlineStr">
        <is>
          <t>AR</t>
        </is>
      </c>
      <c r="D143" s="57" t="inlineStr">
        <is>
          <t>UKYT-26-026</t>
        </is>
      </c>
      <c r="E143" s="57" t="n">
        <v>0.216</v>
      </c>
      <c r="F143" s="57">
        <f> ((((E143 + 0.03492) / 0.001784) * 0.8 * 1) / (0.2 * 1000))</f>
        <v/>
      </c>
      <c r="G143" s="57" t="inlineStr">
        <is>
          <t>26-026</t>
        </is>
      </c>
      <c r="H143" s="57" t="inlineStr">
        <is>
          <t>HT3 26-026 Rep 1</t>
        </is>
      </c>
      <c r="I143" s="57" t="inlineStr">
        <is>
          <t>R1</t>
        </is>
      </c>
    </row>
    <row r="144" ht="25" customHeight="1" s="55">
      <c r="A144" s="57" t="n">
        <v>143</v>
      </c>
      <c r="B144" s="59" t="n">
        <v>46233</v>
      </c>
      <c r="C144" s="57" t="inlineStr">
        <is>
          <t>AR</t>
        </is>
      </c>
      <c r="D144" s="57" t="inlineStr">
        <is>
          <t>UKYT-26-026</t>
        </is>
      </c>
      <c r="E144" s="57" t="n">
        <v>0.24</v>
      </c>
      <c r="F144" s="57">
        <f> ((((E144 + 0.03492) / 0.001784) * 0.8 * 1) / (0.2 * 1000))</f>
        <v/>
      </c>
      <c r="G144" s="57" t="inlineStr">
        <is>
          <t>26-026</t>
        </is>
      </c>
      <c r="H144" s="57" t="inlineStr">
        <is>
          <t>HT3 26-026 Rep 2</t>
        </is>
      </c>
      <c r="I144" s="57" t="inlineStr">
        <is>
          <t>R2</t>
        </is>
      </c>
    </row>
    <row r="145" ht="25" customHeight="1" s="55">
      <c r="A145" s="57" t="n">
        <v>144</v>
      </c>
      <c r="B145" s="59" t="n">
        <v>46233</v>
      </c>
      <c r="C145" s="57" t="inlineStr">
        <is>
          <t>AR</t>
        </is>
      </c>
      <c r="D145" s="57" t="inlineStr">
        <is>
          <t>UKYT-26-026</t>
        </is>
      </c>
      <c r="E145" s="57" t="n">
        <v>0.165</v>
      </c>
      <c r="F145" s="57">
        <f> ((((E145 + 0.03492) / 0.001784) * 0.8 * 1) / (0.2 * 1000))</f>
        <v/>
      </c>
      <c r="G145" s="57" t="inlineStr">
        <is>
          <t>26-026</t>
        </is>
      </c>
      <c r="H145" s="57" t="inlineStr">
        <is>
          <t>HT3 26-026 Rep 3</t>
        </is>
      </c>
      <c r="I145" s="57" t="inlineStr">
        <is>
          <t>R3</t>
        </is>
      </c>
    </row>
    <row r="146" ht="25" customHeight="1" s="55">
      <c r="A146" s="57" t="n">
        <v>145</v>
      </c>
      <c r="B146" s="59" t="n">
        <v>46233</v>
      </c>
      <c r="C146" s="57" t="inlineStr">
        <is>
          <t>AR</t>
        </is>
      </c>
      <c r="D146" s="57" t="inlineStr">
        <is>
          <t>UKYT-26-026</t>
        </is>
      </c>
      <c r="E146" s="57" t="n">
        <v>0.275</v>
      </c>
      <c r="F146" s="57">
        <f> ((((E146 + 0.03492) / 0.001784) * 0.8 * 1) / (0.2 * 1000))</f>
        <v/>
      </c>
      <c r="G146" s="57" t="inlineStr">
        <is>
          <t>26-026</t>
        </is>
      </c>
      <c r="H146" s="57" t="inlineStr">
        <is>
          <t>HT3 26-026 Rep 4</t>
        </is>
      </c>
      <c r="I146" s="57" t="inlineStr">
        <is>
          <t>R4</t>
        </is>
      </c>
    </row>
    <row r="147" ht="25" customHeight="1" s="55">
      <c r="A147" s="57" t="n">
        <v>146</v>
      </c>
      <c r="B147" s="59" t="n">
        <v>46233</v>
      </c>
      <c r="C147" s="57" t="inlineStr">
        <is>
          <t>AR</t>
        </is>
      </c>
      <c r="D147" s="57" t="inlineStr">
        <is>
          <t>UKYT-26-026</t>
        </is>
      </c>
      <c r="E147" s="57" t="n">
        <v>0.286</v>
      </c>
      <c r="F147" s="57">
        <f> ((((E147 + 0.03492) / 0.001784) * 0.8 * 1) / (0.2 * 1000))</f>
        <v/>
      </c>
      <c r="G147" s="57" t="inlineStr">
        <is>
          <t>26-026</t>
        </is>
      </c>
      <c r="H147" s="57" t="inlineStr">
        <is>
          <t>HT3 26-026 Rep 5</t>
        </is>
      </c>
      <c r="I147" s="57" t="inlineStr">
        <is>
          <t>R5</t>
        </is>
      </c>
    </row>
    <row r="148" ht="25" customHeight="1" s="55">
      <c r="A148" s="57" t="n">
        <v>147</v>
      </c>
      <c r="B148" s="59" t="n">
        <v>46233</v>
      </c>
      <c r="C148" s="57" t="inlineStr">
        <is>
          <t>AR</t>
        </is>
      </c>
      <c r="D148" s="57" t="inlineStr">
        <is>
          <t>UKYT-26-028</t>
        </is>
      </c>
      <c r="E148" s="57" t="n">
        <v>0.2</v>
      </c>
      <c r="F148" s="57">
        <f> ((((E148 + 0.03492) / 0.001784) * 0.8 * 1) / (0.2 * 1000))</f>
        <v/>
      </c>
      <c r="G148" s="57" t="inlineStr">
        <is>
          <t>26-028</t>
        </is>
      </c>
      <c r="H148" s="57" t="inlineStr">
        <is>
          <t>HT3 26-028 Rep 1</t>
        </is>
      </c>
      <c r="I148" s="57" t="inlineStr">
        <is>
          <t>R1</t>
        </is>
      </c>
    </row>
    <row r="149" ht="25" customHeight="1" s="55">
      <c r="A149" s="57" t="n">
        <v>148</v>
      </c>
      <c r="B149" s="59" t="n">
        <v>46233</v>
      </c>
      <c r="C149" s="57" t="inlineStr">
        <is>
          <t>AR</t>
        </is>
      </c>
      <c r="D149" s="57" t="inlineStr">
        <is>
          <t>UKYT-26-028</t>
        </is>
      </c>
      <c r="E149" s="57" t="n">
        <v>0.176</v>
      </c>
      <c r="F149" s="57">
        <f> ((((E149 + 0.03492) / 0.001784) * 0.8 * 1) / (0.2 * 1000))</f>
        <v/>
      </c>
      <c r="G149" s="57" t="inlineStr">
        <is>
          <t>26-028</t>
        </is>
      </c>
      <c r="H149" s="57" t="inlineStr">
        <is>
          <t>HT3 26-028 Rep 2</t>
        </is>
      </c>
      <c r="I149" s="57" t="inlineStr">
        <is>
          <t>R2</t>
        </is>
      </c>
    </row>
    <row r="150" ht="25" customHeight="1" s="55">
      <c r="A150" s="57" t="n">
        <v>149</v>
      </c>
      <c r="B150" s="59" t="n">
        <v>46233</v>
      </c>
      <c r="C150" s="57" t="inlineStr">
        <is>
          <t>AR</t>
        </is>
      </c>
      <c r="D150" s="57" t="inlineStr">
        <is>
          <t>UKYT-26-028</t>
        </is>
      </c>
      <c r="E150" s="57" t="n">
        <v>0.228</v>
      </c>
      <c r="F150" s="57">
        <f> ((((E150 + 0.03492) / 0.001784) * 0.8 * 1) / (0.2 * 1000))</f>
        <v/>
      </c>
      <c r="G150" s="57" t="inlineStr">
        <is>
          <t>26-028</t>
        </is>
      </c>
      <c r="H150" s="57" t="inlineStr">
        <is>
          <t>HT3 26-028 Rep 3</t>
        </is>
      </c>
      <c r="I150" s="57" t="inlineStr">
        <is>
          <t>R3</t>
        </is>
      </c>
    </row>
    <row r="151" ht="25" customHeight="1" s="55">
      <c r="A151" s="57" t="n">
        <v>150</v>
      </c>
      <c r="B151" s="59" t="n">
        <v>46233</v>
      </c>
      <c r="C151" s="57" t="inlineStr">
        <is>
          <t>AR</t>
        </is>
      </c>
      <c r="D151" s="57" t="inlineStr">
        <is>
          <t>UKYT-26-028</t>
        </is>
      </c>
      <c r="E151" s="57" t="n">
        <v>0.156</v>
      </c>
      <c r="F151" s="57">
        <f> ((((E151 + 0.03492) / 0.001784) * 0.8 * 1) / (0.2 * 1000))</f>
        <v/>
      </c>
      <c r="G151" s="57" t="inlineStr">
        <is>
          <t>26-028</t>
        </is>
      </c>
      <c r="H151" s="57" t="inlineStr">
        <is>
          <t>HT3 26-028 Rep 4</t>
        </is>
      </c>
      <c r="I151" s="57" t="inlineStr">
        <is>
          <t>R4</t>
        </is>
      </c>
    </row>
    <row r="152" ht="25" customHeight="1" s="55">
      <c r="A152" s="57" t="n">
        <v>151</v>
      </c>
      <c r="B152" s="59" t="n">
        <v>46233</v>
      </c>
      <c r="C152" s="57" t="inlineStr">
        <is>
          <t>AR</t>
        </is>
      </c>
      <c r="D152" s="57" t="inlineStr">
        <is>
          <t>UKYT-26-029</t>
        </is>
      </c>
      <c r="E152" s="57" t="n">
        <v>0.23</v>
      </c>
      <c r="F152" s="57">
        <f> ((((E152 + 0.03492) / 0.001784) * 0.8 * 1) / (0.2 * 1000))</f>
        <v/>
      </c>
      <c r="G152" s="57" t="inlineStr">
        <is>
          <t>26-029</t>
        </is>
      </c>
      <c r="H152" s="57" t="inlineStr">
        <is>
          <t>HT3 26-029 Rep 1</t>
        </is>
      </c>
      <c r="I152" s="57" t="inlineStr">
        <is>
          <t>R1</t>
        </is>
      </c>
    </row>
    <row r="153" ht="25" customHeight="1" s="55">
      <c r="A153" s="57" t="n">
        <v>152</v>
      </c>
      <c r="B153" s="59" t="n">
        <v>46233</v>
      </c>
      <c r="C153" s="57" t="inlineStr">
        <is>
          <t>AR</t>
        </is>
      </c>
      <c r="D153" s="57" t="inlineStr">
        <is>
          <t>UKYT-26-029</t>
        </is>
      </c>
      <c r="E153" s="57" t="n">
        <v>0.262</v>
      </c>
      <c r="F153" s="57">
        <f> ((((E153 + 0.03492) / 0.001784) * 0.8 * 1) / (0.2 * 1000))</f>
        <v/>
      </c>
      <c r="G153" s="57" t="inlineStr">
        <is>
          <t>26-029</t>
        </is>
      </c>
      <c r="H153" s="57" t="inlineStr">
        <is>
          <t>HT3 26-029 Rep 2</t>
        </is>
      </c>
      <c r="I153" s="57" t="inlineStr">
        <is>
          <t>R2</t>
        </is>
      </c>
    </row>
    <row r="154" ht="25" customHeight="1" s="55">
      <c r="A154" s="57" t="n">
        <v>153</v>
      </c>
      <c r="B154" s="59" t="n">
        <v>46233</v>
      </c>
      <c r="C154" s="57" t="inlineStr">
        <is>
          <t>AR</t>
        </is>
      </c>
      <c r="D154" s="57" t="inlineStr">
        <is>
          <t>UKYT-26-029</t>
        </is>
      </c>
      <c r="E154" s="57" t="n">
        <v>0.224</v>
      </c>
      <c r="F154" s="57">
        <f> ((((E154 + 0.03492) / 0.001784) * 0.8 * 1) / (0.2 * 1000))</f>
        <v/>
      </c>
      <c r="G154" s="57" t="inlineStr">
        <is>
          <t>26-029</t>
        </is>
      </c>
      <c r="H154" s="57" t="inlineStr">
        <is>
          <t>HT3 26-029 Rep 3</t>
        </is>
      </c>
      <c r="I154" s="57" t="inlineStr">
        <is>
          <t>R3</t>
        </is>
      </c>
    </row>
    <row r="155" ht="25" customHeight="1" s="55">
      <c r="A155" s="57" t="n">
        <v>154</v>
      </c>
      <c r="B155" s="59" t="n">
        <v>46233</v>
      </c>
      <c r="C155" s="57" t="inlineStr">
        <is>
          <t>AR</t>
        </is>
      </c>
      <c r="D155" s="57" t="inlineStr">
        <is>
          <t>UKYT-26-029</t>
        </is>
      </c>
      <c r="E155" s="57" t="n">
        <v>0.29</v>
      </c>
      <c r="F155" s="57">
        <f> ((((E155 + 0.03492) / 0.001784) * 0.8 * 1) / (0.2 * 1000))</f>
        <v/>
      </c>
      <c r="G155" s="57" t="inlineStr">
        <is>
          <t>26-029</t>
        </is>
      </c>
      <c r="H155" s="57" t="inlineStr">
        <is>
          <t>HT3 26-029 Rep 4</t>
        </is>
      </c>
      <c r="I155" s="57" t="inlineStr">
        <is>
          <t>R4</t>
        </is>
      </c>
    </row>
    <row r="156" ht="25" customHeight="1" s="55">
      <c r="A156" s="57" t="n">
        <v>155</v>
      </c>
      <c r="B156" s="59" t="n">
        <v>46233</v>
      </c>
      <c r="C156" s="57" t="inlineStr">
        <is>
          <t>AR</t>
        </is>
      </c>
      <c r="D156" s="57" t="inlineStr">
        <is>
          <t>UKYT-26-029</t>
        </is>
      </c>
      <c r="E156" s="57" t="n">
        <v>0.26</v>
      </c>
      <c r="F156" s="57">
        <f> ((((E156 + 0.03492) / 0.001784) * 0.8 * 1) / (0.2 * 1000))</f>
        <v/>
      </c>
      <c r="G156" s="57" t="inlineStr">
        <is>
          <t>26-029</t>
        </is>
      </c>
      <c r="H156" s="57" t="inlineStr">
        <is>
          <t>HT3 26-029 Rep 5</t>
        </is>
      </c>
      <c r="I156" s="57" t="inlineStr">
        <is>
          <t>R5</t>
        </is>
      </c>
    </row>
    <row r="157" ht="25" customHeight="1" s="55">
      <c r="A157" s="57" t="n">
        <v>156</v>
      </c>
      <c r="B157" s="59" t="n">
        <v>46233</v>
      </c>
      <c r="C157" s="57" t="inlineStr">
        <is>
          <t>AR</t>
        </is>
      </c>
      <c r="D157" s="57" t="inlineStr">
        <is>
          <t>UKYT-26-030</t>
        </is>
      </c>
      <c r="E157" s="57" t="n">
        <v>0.282</v>
      </c>
      <c r="F157" s="57">
        <f> ((((E157 + 0.03492) / 0.001784) * 0.8 * 1) / (0.2 * 1000))</f>
        <v/>
      </c>
      <c r="G157" s="57" t="inlineStr">
        <is>
          <t>26-030</t>
        </is>
      </c>
      <c r="H157" s="57" t="inlineStr">
        <is>
          <t>HT3 26-030 Rep 1</t>
        </is>
      </c>
      <c r="I157" s="57" t="inlineStr">
        <is>
          <t>R1</t>
        </is>
      </c>
    </row>
    <row r="158" ht="25" customHeight="1" s="55">
      <c r="A158" s="57" t="n">
        <v>157</v>
      </c>
      <c r="B158" s="59" t="n">
        <v>46233</v>
      </c>
      <c r="C158" s="57" t="inlineStr">
        <is>
          <t>AR</t>
        </is>
      </c>
      <c r="D158" s="57" t="inlineStr">
        <is>
          <t>UKYT-26-030</t>
        </is>
      </c>
      <c r="E158" s="57" t="n">
        <v>0.246</v>
      </c>
      <c r="F158" s="57">
        <f> ((((E158 + 0.03492) / 0.001784) * 0.8 * 1) / (0.2 * 1000))</f>
        <v/>
      </c>
      <c r="G158" s="57" t="inlineStr">
        <is>
          <t>26-030</t>
        </is>
      </c>
      <c r="H158" s="57" t="inlineStr">
        <is>
          <t>HT3 26-030 Rep 2</t>
        </is>
      </c>
      <c r="I158" s="57" t="inlineStr">
        <is>
          <t>R2</t>
        </is>
      </c>
    </row>
    <row r="159" ht="25" customHeight="1" s="55">
      <c r="A159" s="57" t="n">
        <v>158</v>
      </c>
      <c r="B159" s="59" t="n">
        <v>46233</v>
      </c>
      <c r="C159" s="57" t="inlineStr">
        <is>
          <t>AR</t>
        </is>
      </c>
      <c r="D159" s="57" t="inlineStr">
        <is>
          <t>UKYT-26-030</t>
        </is>
      </c>
      <c r="E159" s="57" t="n">
        <v>0.263</v>
      </c>
      <c r="F159" s="57">
        <f> ((((E159 + 0.03492) / 0.001784) * 0.8 * 1) / (0.2 * 1000))</f>
        <v/>
      </c>
      <c r="G159" s="57" t="inlineStr">
        <is>
          <t>26-030</t>
        </is>
      </c>
      <c r="H159" s="57" t="inlineStr">
        <is>
          <t>HT3 26-030 Rep 3</t>
        </is>
      </c>
      <c r="I159" s="57" t="inlineStr">
        <is>
          <t>R3</t>
        </is>
      </c>
    </row>
    <row r="160" ht="25" customHeight="1" s="55">
      <c r="A160" s="57" t="n">
        <v>159</v>
      </c>
      <c r="B160" s="59" t="n">
        <v>46233</v>
      </c>
      <c r="C160" s="57" t="inlineStr">
        <is>
          <t>AR</t>
        </is>
      </c>
      <c r="D160" s="57" t="inlineStr">
        <is>
          <t>UKYT-26-030</t>
        </is>
      </c>
      <c r="E160" s="57" t="n">
        <v>0.262</v>
      </c>
      <c r="F160" s="57">
        <f> ((((E160 + 0.03492) / 0.001784) * 0.8 * 1) / (0.2 * 1000))</f>
        <v/>
      </c>
      <c r="G160" s="57" t="inlineStr">
        <is>
          <t>26-030</t>
        </is>
      </c>
      <c r="H160" s="57" t="inlineStr">
        <is>
          <t>HT3 26-030 Rep 4</t>
        </is>
      </c>
      <c r="I160" s="57" t="inlineStr">
        <is>
          <t>R4</t>
        </is>
      </c>
    </row>
    <row r="161" ht="25" customHeight="1" s="55">
      <c r="A161" s="57" t="n">
        <v>160</v>
      </c>
      <c r="B161" s="59" t="n">
        <v>46233</v>
      </c>
      <c r="C161" s="57" t="inlineStr">
        <is>
          <t>AR</t>
        </is>
      </c>
      <c r="D161" s="57" t="inlineStr">
        <is>
          <t>UKYT-26-031</t>
        </is>
      </c>
      <c r="E161" s="57" t="n">
        <v>0.308</v>
      </c>
      <c r="F161" s="57">
        <f> ((((E161 + 0.03492) / 0.001784) * 0.8 * 1) / (0.2 * 1000))</f>
        <v/>
      </c>
      <c r="G161" s="57" t="inlineStr">
        <is>
          <t>26-031</t>
        </is>
      </c>
      <c r="H161" s="57" t="inlineStr">
        <is>
          <t>HT3 26-031 Rep 1</t>
        </is>
      </c>
      <c r="I161" s="57" t="inlineStr">
        <is>
          <t>R1</t>
        </is>
      </c>
    </row>
    <row r="162" ht="25" customHeight="1" s="55">
      <c r="A162" s="57" t="n">
        <v>161</v>
      </c>
      <c r="B162" s="59" t="n">
        <v>46233</v>
      </c>
      <c r="C162" s="57" t="inlineStr">
        <is>
          <t>AR</t>
        </is>
      </c>
      <c r="D162" s="57" t="inlineStr">
        <is>
          <t>UKYT-26-031</t>
        </is>
      </c>
      <c r="E162" s="57" t="n">
        <v>0.3</v>
      </c>
      <c r="F162" s="57">
        <f> ((((E162 + 0.03492) / 0.001784) * 0.8 * 1) / (0.2 * 1000))</f>
        <v/>
      </c>
      <c r="G162" s="57" t="inlineStr">
        <is>
          <t>26-031</t>
        </is>
      </c>
      <c r="H162" s="57" t="inlineStr">
        <is>
          <t>HT3 26-031 Rep 2</t>
        </is>
      </c>
      <c r="I162" s="57" t="inlineStr">
        <is>
          <t>R2</t>
        </is>
      </c>
    </row>
    <row r="163" ht="25" customHeight="1" s="55">
      <c r="A163" s="57" t="n">
        <v>162</v>
      </c>
      <c r="B163" s="59" t="n">
        <v>46233</v>
      </c>
      <c r="C163" s="57" t="inlineStr">
        <is>
          <t>AR</t>
        </is>
      </c>
      <c r="D163" s="57" t="inlineStr">
        <is>
          <t>UKYT-26-031</t>
        </is>
      </c>
      <c r="E163" s="57" t="n">
        <v>0.316</v>
      </c>
      <c r="F163" s="57">
        <f> ((((E163 + 0.03492) / 0.001784) * 0.8 * 1) / (0.2 * 1000))</f>
        <v/>
      </c>
      <c r="G163" s="57" t="inlineStr">
        <is>
          <t>26-031</t>
        </is>
      </c>
      <c r="H163" s="57" t="inlineStr">
        <is>
          <t>HT3 26-031 Rep 3</t>
        </is>
      </c>
      <c r="I163" s="57" t="inlineStr">
        <is>
          <t>R3</t>
        </is>
      </c>
    </row>
    <row r="164" ht="25" customHeight="1" s="55">
      <c r="A164" s="57" t="n">
        <v>163</v>
      </c>
      <c r="B164" s="59" t="n">
        <v>46233</v>
      </c>
      <c r="C164" s="57" t="inlineStr">
        <is>
          <t>AR</t>
        </is>
      </c>
      <c r="D164" s="57" t="inlineStr">
        <is>
          <t>UKYT-26-031</t>
        </is>
      </c>
      <c r="E164" s="57" t="n">
        <v>0.359</v>
      </c>
      <c r="F164" s="57">
        <f> ((((E164 + 0.03492) / 0.001784) * 0.8 * 1) / (0.2 * 1000))</f>
        <v/>
      </c>
      <c r="G164" s="57" t="inlineStr">
        <is>
          <t>26-031</t>
        </is>
      </c>
      <c r="H164" s="57" t="inlineStr">
        <is>
          <t>HT3 26-031 Rep 4</t>
        </is>
      </c>
      <c r="I164" s="57" t="inlineStr">
        <is>
          <t>R4</t>
        </is>
      </c>
    </row>
    <row r="165" ht="25" customHeight="1" s="55">
      <c r="A165" s="57" t="n">
        <v>164</v>
      </c>
      <c r="B165" s="59" t="n">
        <v>46233</v>
      </c>
      <c r="C165" s="57" t="inlineStr">
        <is>
          <t>AR</t>
        </is>
      </c>
      <c r="D165" s="57" t="inlineStr">
        <is>
          <t>UKYT-26-031</t>
        </is>
      </c>
      <c r="E165" s="57" t="n">
        <v>0.343</v>
      </c>
      <c r="F165" s="57">
        <f> ((((E165 + 0.03492) / 0.001784) * 0.8 * 1) / (0.2 * 1000))</f>
        <v/>
      </c>
      <c r="G165" s="57" t="inlineStr">
        <is>
          <t>26-031</t>
        </is>
      </c>
      <c r="H165" s="57" t="inlineStr">
        <is>
          <t>HT3 26-031 Rep 5</t>
        </is>
      </c>
      <c r="I165" s="57" t="inlineStr">
        <is>
          <t>R5</t>
        </is>
      </c>
    </row>
    <row r="166" ht="25" customHeight="1" s="55">
      <c r="A166" s="57" t="n">
        <v>165</v>
      </c>
      <c r="B166" s="59" t="n">
        <v>46233</v>
      </c>
      <c r="C166" s="57" t="inlineStr">
        <is>
          <t>AR</t>
        </is>
      </c>
      <c r="D166" s="57" t="inlineStr">
        <is>
          <t>UKYT-26-032</t>
        </is>
      </c>
      <c r="E166" s="57" t="n">
        <v>0.263</v>
      </c>
      <c r="F166" s="57">
        <f> ((((E166 + 0.03492) / 0.001784) * 0.8 * 1) / (0.2 * 1000))</f>
        <v/>
      </c>
      <c r="G166" s="57" t="inlineStr">
        <is>
          <t>26-032</t>
        </is>
      </c>
      <c r="H166" s="57" t="inlineStr">
        <is>
          <t>HT3 26-032 Rep 1</t>
        </is>
      </c>
      <c r="I166" s="57" t="inlineStr">
        <is>
          <t>R1</t>
        </is>
      </c>
    </row>
    <row r="167" ht="25" customHeight="1" s="55">
      <c r="A167" s="57" t="n">
        <v>166</v>
      </c>
      <c r="B167" s="59" t="n">
        <v>46233</v>
      </c>
      <c r="C167" s="57" t="inlineStr">
        <is>
          <t>AR</t>
        </is>
      </c>
      <c r="D167" s="57" t="inlineStr">
        <is>
          <t>UKYT-26-032</t>
        </is>
      </c>
      <c r="E167" s="57" t="n">
        <v>0.195</v>
      </c>
      <c r="F167" s="57">
        <f> ((((E167 + 0.03492) / 0.001784) * 0.8 * 1) / (0.2 * 1000))</f>
        <v/>
      </c>
      <c r="G167" s="57" t="inlineStr">
        <is>
          <t>26-032</t>
        </is>
      </c>
      <c r="H167" s="57" t="inlineStr">
        <is>
          <t>HT3 26-032 Rep 2</t>
        </is>
      </c>
      <c r="I167" s="57" t="inlineStr">
        <is>
          <t>R2</t>
        </is>
      </c>
    </row>
    <row r="168" ht="25" customHeight="1" s="55">
      <c r="A168" s="57" t="n">
        <v>167</v>
      </c>
      <c r="B168" s="59" t="n">
        <v>46233</v>
      </c>
      <c r="C168" s="57" t="inlineStr">
        <is>
          <t>AR</t>
        </is>
      </c>
      <c r="D168" s="57" t="inlineStr">
        <is>
          <t>UKYT-26-032</t>
        </is>
      </c>
      <c r="E168" s="57" t="n">
        <v>0.221</v>
      </c>
      <c r="F168" s="57">
        <f> ((((E168 + 0.03492) / 0.001784) * 0.8 * 1) / (0.2 * 1000))</f>
        <v/>
      </c>
      <c r="G168" s="57" t="inlineStr">
        <is>
          <t>26-032</t>
        </is>
      </c>
      <c r="H168" s="57" t="inlineStr">
        <is>
          <t>HT3 26-032 Rep 3</t>
        </is>
      </c>
      <c r="I168" s="57" t="inlineStr">
        <is>
          <t>R3</t>
        </is>
      </c>
    </row>
    <row r="169" ht="25" customHeight="1" s="55">
      <c r="A169" s="57" t="n">
        <v>168</v>
      </c>
      <c r="B169" s="59" t="n">
        <v>46233</v>
      </c>
      <c r="C169" s="57" t="inlineStr">
        <is>
          <t>AR</t>
        </is>
      </c>
      <c r="D169" s="57" t="inlineStr">
        <is>
          <t>UKYT-26-032</t>
        </is>
      </c>
      <c r="E169" s="57" t="n">
        <v>0.23</v>
      </c>
      <c r="F169" s="57">
        <f> ((((E169 + 0.03492) / 0.001784) * 0.8 * 1) / (0.2 * 1000))</f>
        <v/>
      </c>
      <c r="G169" s="57" t="inlineStr">
        <is>
          <t>26-032</t>
        </is>
      </c>
      <c r="H169" s="57" t="inlineStr">
        <is>
          <t>HT3 26-032 Rep 4</t>
        </is>
      </c>
      <c r="I169" s="57" t="inlineStr">
        <is>
          <t>R4</t>
        </is>
      </c>
    </row>
    <row r="170" ht="25" customHeight="1" s="55">
      <c r="A170" s="57" t="n">
        <v>169</v>
      </c>
      <c r="B170" s="59" t="n">
        <v>46233</v>
      </c>
      <c r="C170" s="57" t="inlineStr">
        <is>
          <t>AR</t>
        </is>
      </c>
      <c r="D170" s="57" t="inlineStr">
        <is>
          <t>UKYT-26-033</t>
        </is>
      </c>
      <c r="E170" s="57" t="n">
        <v>0.274</v>
      </c>
      <c r="F170" s="57">
        <f> ((((E170 + 0.03492) / 0.001784) * 0.8 * 1) / (0.2 * 1000))</f>
        <v/>
      </c>
      <c r="G170" s="57" t="inlineStr">
        <is>
          <t>26-033</t>
        </is>
      </c>
      <c r="H170" s="57" t="inlineStr">
        <is>
          <t>HT3 26-033 Rep 1</t>
        </is>
      </c>
      <c r="I170" s="57" t="inlineStr">
        <is>
          <t>R1</t>
        </is>
      </c>
    </row>
    <row r="171" ht="25" customHeight="1" s="55">
      <c r="A171" s="57" t="n">
        <v>170</v>
      </c>
      <c r="B171" s="59" t="n">
        <v>46233</v>
      </c>
      <c r="C171" s="57" t="inlineStr">
        <is>
          <t>AR</t>
        </is>
      </c>
      <c r="D171" s="57" t="inlineStr">
        <is>
          <t>UKYT-26-033</t>
        </is>
      </c>
      <c r="E171" s="57" t="n">
        <v>0.321</v>
      </c>
      <c r="F171" s="57">
        <f> ((((E171 + 0.03492) / 0.001784) * 0.8 * 1) / (0.2 * 1000))</f>
        <v/>
      </c>
      <c r="G171" s="57" t="inlineStr">
        <is>
          <t>26-033</t>
        </is>
      </c>
      <c r="H171" s="57" t="inlineStr">
        <is>
          <t>HT3 26-033 Rep 2</t>
        </is>
      </c>
      <c r="I171" s="57" t="inlineStr">
        <is>
          <t>R2</t>
        </is>
      </c>
    </row>
    <row r="172" ht="25" customHeight="1" s="55">
      <c r="A172" s="57" t="n">
        <v>171</v>
      </c>
      <c r="B172" s="59" t="n">
        <v>46233</v>
      </c>
      <c r="C172" s="57" t="inlineStr">
        <is>
          <t>AR</t>
        </is>
      </c>
      <c r="D172" s="57" t="inlineStr">
        <is>
          <t>UKYT-26-033</t>
        </is>
      </c>
      <c r="E172" s="57" t="n">
        <v>0.289</v>
      </c>
      <c r="F172" s="57">
        <f> ((((E172 + 0.03492) / 0.001784) * 0.8 * 1) / (0.2 * 1000))</f>
        <v/>
      </c>
      <c r="G172" s="57" t="inlineStr">
        <is>
          <t>26-033</t>
        </is>
      </c>
      <c r="H172" s="57" t="inlineStr">
        <is>
          <t>HT3 26-033 Rep 3</t>
        </is>
      </c>
      <c r="I172" s="57" t="inlineStr">
        <is>
          <t>R3</t>
        </is>
      </c>
    </row>
    <row r="173" ht="25" customHeight="1" s="55">
      <c r="A173" s="57" t="n">
        <v>172</v>
      </c>
      <c r="B173" s="59" t="n">
        <v>46233</v>
      </c>
      <c r="C173" s="57" t="inlineStr">
        <is>
          <t>AR</t>
        </is>
      </c>
      <c r="D173" s="57" t="inlineStr">
        <is>
          <t>UKYT-26-033</t>
        </is>
      </c>
      <c r="E173" s="57" t="n">
        <v>0.307</v>
      </c>
      <c r="F173" s="57">
        <f> ((((E173 + 0.03492) / 0.001784) * 0.8 * 1) / (0.2 * 1000))</f>
        <v/>
      </c>
      <c r="G173" s="57" t="inlineStr">
        <is>
          <t>26-033</t>
        </is>
      </c>
      <c r="H173" s="57" t="inlineStr">
        <is>
          <t>HT3 26-033 Rep 4</t>
        </is>
      </c>
      <c r="I173" s="57" t="inlineStr">
        <is>
          <t>R4</t>
        </is>
      </c>
    </row>
    <row r="174" ht="25" customHeight="1" s="55">
      <c r="A174" s="57" t="n">
        <v>173</v>
      </c>
      <c r="B174" s="59" t="n">
        <v>46233</v>
      </c>
      <c r="C174" s="57" t="inlineStr">
        <is>
          <t>AR</t>
        </is>
      </c>
      <c r="D174" s="57" t="inlineStr">
        <is>
          <t>UKYT-26-033</t>
        </is>
      </c>
      <c r="E174" s="57" t="n">
        <v>0.345</v>
      </c>
      <c r="F174" s="57">
        <f> ((((E174 + 0.03492) / 0.001784) * 0.8 * 1) / (0.2 * 1000))</f>
        <v/>
      </c>
      <c r="G174" s="57" t="inlineStr">
        <is>
          <t>26-033</t>
        </is>
      </c>
      <c r="H174" s="57" t="inlineStr">
        <is>
          <t>HT3 26-033 Rep 5</t>
        </is>
      </c>
      <c r="I174" s="57" t="inlineStr">
        <is>
          <t>R5</t>
        </is>
      </c>
    </row>
    <row r="175" ht="25" customHeight="1" s="55">
      <c r="A175" s="57" t="n">
        <v>174</v>
      </c>
      <c r="B175" s="59" t="n">
        <v>46233</v>
      </c>
      <c r="C175" s="57" t="inlineStr">
        <is>
          <t>AR</t>
        </is>
      </c>
      <c r="D175" s="57" t="inlineStr">
        <is>
          <t>UKYT-26-034</t>
        </is>
      </c>
      <c r="E175" s="57" t="n">
        <v>0.359</v>
      </c>
      <c r="F175" s="57">
        <f> ((((E175 + 0.03492) / 0.001784) * 0.8 * 1) / (0.2 * 1000))</f>
        <v/>
      </c>
      <c r="G175" s="57" t="inlineStr">
        <is>
          <t>26-034</t>
        </is>
      </c>
      <c r="H175" s="57" t="inlineStr">
        <is>
          <t>HT3 26-034 Rep 1</t>
        </is>
      </c>
      <c r="I175" s="57" t="inlineStr">
        <is>
          <t>R1</t>
        </is>
      </c>
    </row>
    <row r="176" ht="25" customHeight="1" s="55">
      <c r="A176" s="57" t="n">
        <v>175</v>
      </c>
      <c r="B176" s="59" t="n">
        <v>46233</v>
      </c>
      <c r="C176" s="57" t="inlineStr">
        <is>
          <t>AR</t>
        </is>
      </c>
      <c r="D176" s="57" t="inlineStr">
        <is>
          <t>UKYT-26-034</t>
        </is>
      </c>
      <c r="E176" s="57" t="n">
        <v>0.331</v>
      </c>
      <c r="F176" s="57">
        <f> ((((E176 + 0.03492) / 0.001784) * 0.8 * 1) / (0.2 * 1000))</f>
        <v/>
      </c>
      <c r="G176" s="57" t="inlineStr">
        <is>
          <t>26-034</t>
        </is>
      </c>
      <c r="H176" s="57" t="inlineStr">
        <is>
          <t>HT3 26-034 Rep 2</t>
        </is>
      </c>
      <c r="I176" s="57" t="inlineStr">
        <is>
          <t>R2</t>
        </is>
      </c>
    </row>
    <row r="177" ht="25" customHeight="1" s="55">
      <c r="A177" s="57" t="n">
        <v>176</v>
      </c>
      <c r="B177" s="59" t="n">
        <v>46233</v>
      </c>
      <c r="C177" s="57" t="inlineStr">
        <is>
          <t>AR</t>
        </is>
      </c>
      <c r="D177" s="57" t="inlineStr">
        <is>
          <t>UKYT-26-034</t>
        </is>
      </c>
      <c r="E177" s="57" t="n">
        <v>0.39</v>
      </c>
      <c r="F177" s="57">
        <f> ((((E177 + 0.03492) / 0.001784) * 0.8 * 1) / (0.2 * 1000))</f>
        <v/>
      </c>
      <c r="G177" s="57" t="inlineStr">
        <is>
          <t>26-034</t>
        </is>
      </c>
      <c r="H177" s="57" t="inlineStr">
        <is>
          <t>HT3 26-034 Rep 3</t>
        </is>
      </c>
      <c r="I177" s="57" t="inlineStr">
        <is>
          <t>R3</t>
        </is>
      </c>
    </row>
    <row r="178" ht="25" customHeight="1" s="55">
      <c r="A178" s="57" t="n">
        <v>177</v>
      </c>
      <c r="B178" s="59" t="n">
        <v>46233</v>
      </c>
      <c r="C178" s="57" t="inlineStr">
        <is>
          <t>AR</t>
        </is>
      </c>
      <c r="D178" s="57" t="inlineStr">
        <is>
          <t>UKYT-26-034</t>
        </is>
      </c>
      <c r="E178" s="57" t="n">
        <v>0.336</v>
      </c>
      <c r="F178" s="57">
        <f> ((((E178 + 0.03492) / 0.001784) * 0.8 * 1) / (0.2 * 1000))</f>
        <v/>
      </c>
      <c r="G178" s="57" t="inlineStr">
        <is>
          <t>26-034</t>
        </is>
      </c>
      <c r="H178" s="57" t="inlineStr">
        <is>
          <t>HT3 26-034 Rep 4</t>
        </is>
      </c>
      <c r="I178" s="57" t="inlineStr">
        <is>
          <t>R4</t>
        </is>
      </c>
    </row>
    <row r="179" ht="25" customHeight="1" s="55">
      <c r="A179" s="57" t="n">
        <v>178</v>
      </c>
      <c r="B179" s="59" t="n">
        <v>46233</v>
      </c>
      <c r="C179" s="57" t="inlineStr">
        <is>
          <t>AR</t>
        </is>
      </c>
      <c r="D179" s="57" t="inlineStr">
        <is>
          <t>UKYT-26-035</t>
        </is>
      </c>
      <c r="E179" s="57" t="n">
        <v>0.311</v>
      </c>
      <c r="F179" s="57">
        <f> ((((E179 + 0.03492) / 0.001784) * 0.8 * 1) / (0.2 * 1000))</f>
        <v/>
      </c>
      <c r="G179" s="57" t="inlineStr">
        <is>
          <t>26-035</t>
        </is>
      </c>
      <c r="H179" s="57" t="inlineStr">
        <is>
          <t>HT3 26-035 Rep 1</t>
        </is>
      </c>
      <c r="I179" s="57" t="inlineStr">
        <is>
          <t>R1</t>
        </is>
      </c>
    </row>
    <row r="180" ht="25" customHeight="1" s="55">
      <c r="A180" s="57" t="n">
        <v>179</v>
      </c>
      <c r="B180" s="59" t="n">
        <v>46233</v>
      </c>
      <c r="C180" s="57" t="inlineStr">
        <is>
          <t>AR</t>
        </is>
      </c>
      <c r="D180" s="57" t="inlineStr">
        <is>
          <t>UKYT-26-035</t>
        </is>
      </c>
      <c r="E180" s="57" t="n">
        <v>0.42</v>
      </c>
      <c r="F180" s="57">
        <f> ((((E180 + 0.03492) / 0.001784) * 0.8 * 1) / (0.2 * 1000))</f>
        <v/>
      </c>
      <c r="G180" s="57" t="inlineStr">
        <is>
          <t>26-035</t>
        </is>
      </c>
      <c r="H180" s="57" t="inlineStr">
        <is>
          <t>HT3 26-035 Rep 2</t>
        </is>
      </c>
      <c r="I180" s="57" t="inlineStr">
        <is>
          <t>R2</t>
        </is>
      </c>
    </row>
    <row r="181" ht="25" customHeight="1" s="55">
      <c r="A181" s="57" t="n">
        <v>180</v>
      </c>
      <c r="B181" s="59" t="n">
        <v>46233</v>
      </c>
      <c r="C181" s="57" t="inlineStr">
        <is>
          <t>AR</t>
        </is>
      </c>
      <c r="D181" s="57" t="inlineStr">
        <is>
          <t>UKYT-26-035</t>
        </is>
      </c>
      <c r="E181" s="57" t="n">
        <v>0.399</v>
      </c>
      <c r="F181" s="57">
        <f> ((((E181 + 0.03492) / 0.001784) * 0.8 * 1) / (0.2 * 1000))</f>
        <v/>
      </c>
      <c r="G181" s="57" t="inlineStr">
        <is>
          <t>26-035</t>
        </is>
      </c>
      <c r="H181" s="57" t="inlineStr">
        <is>
          <t>HT3 26-035 Rep 3</t>
        </is>
      </c>
      <c r="I181" s="57" t="inlineStr">
        <is>
          <t>R3</t>
        </is>
      </c>
    </row>
    <row r="182" ht="25" customHeight="1" s="55">
      <c r="A182" s="57" t="n">
        <v>181</v>
      </c>
      <c r="B182" s="59" t="n">
        <v>46233</v>
      </c>
      <c r="C182" s="57" t="inlineStr">
        <is>
          <t>AR</t>
        </is>
      </c>
      <c r="D182" s="57" t="inlineStr">
        <is>
          <t>UKYT-26-035</t>
        </is>
      </c>
      <c r="E182" s="57" t="n">
        <v>0.402</v>
      </c>
      <c r="F182" s="57">
        <f> ((((E182 + 0.03492) / 0.001784) * 0.8 * 1) / (0.2 * 1000))</f>
        <v/>
      </c>
      <c r="G182" s="57" t="inlineStr">
        <is>
          <t>26-035</t>
        </is>
      </c>
      <c r="H182" s="57" t="inlineStr">
        <is>
          <t>HT3 26-035 Rep 4</t>
        </is>
      </c>
      <c r="I182" s="57" t="inlineStr">
        <is>
          <t>R4</t>
        </is>
      </c>
    </row>
    <row r="183" ht="25" customHeight="1" s="55">
      <c r="A183" s="57" t="n">
        <v>182</v>
      </c>
      <c r="B183" s="59" t="n">
        <v>46233</v>
      </c>
      <c r="C183" s="57" t="inlineStr">
        <is>
          <t>AR</t>
        </is>
      </c>
      <c r="D183" s="57" t="inlineStr">
        <is>
          <t>UKYT-26-035</t>
        </is>
      </c>
      <c r="E183" s="57" t="n">
        <v>0.458</v>
      </c>
      <c r="F183" s="57">
        <f> ((((E183 + 0.03492) / 0.001784) * 0.8 * 1) / (0.2 * 1000))</f>
        <v/>
      </c>
      <c r="G183" s="57" t="inlineStr">
        <is>
          <t>26-035</t>
        </is>
      </c>
      <c r="H183" s="57" t="inlineStr">
        <is>
          <t>HT3 26-035 Rep 5</t>
        </is>
      </c>
      <c r="I183" s="57" t="inlineStr">
        <is>
          <t>R5</t>
        </is>
      </c>
    </row>
    <row r="184" ht="25" customHeight="1" s="55">
      <c r="A184" s="57" t="n">
        <v>183</v>
      </c>
      <c r="B184" s="59" t="n">
        <v>46233</v>
      </c>
      <c r="C184" s="57" t="inlineStr">
        <is>
          <t>AR</t>
        </is>
      </c>
      <c r="D184" s="57" t="inlineStr">
        <is>
          <t>UKYT-26-036</t>
        </is>
      </c>
      <c r="E184" s="57" t="n">
        <v>0.207</v>
      </c>
      <c r="F184" s="57">
        <f> ((((E184 + 0.03492) / 0.001784) * 0.8 * 1) / (0.2 * 1000))</f>
        <v/>
      </c>
      <c r="G184" s="57" t="inlineStr">
        <is>
          <t>26-036; 30-July - Everything went good, accidentally pipetted a double dosage of bleach into row 7 and 8, they have been voided from the data collection.; July 30 Standard Curve</t>
        </is>
      </c>
      <c r="H184" s="57" t="inlineStr">
        <is>
          <t>HT3 26-036 Rep 1</t>
        </is>
      </c>
      <c r="I184" s="57" t="inlineStr">
        <is>
          <t>R1</t>
        </is>
      </c>
    </row>
    <row r="185" ht="25" customHeight="1" s="55">
      <c r="A185" s="57" t="n">
        <v>184</v>
      </c>
      <c r="B185" s="59" t="n">
        <v>46233</v>
      </c>
      <c r="C185" s="57" t="inlineStr">
        <is>
          <t>AR</t>
        </is>
      </c>
      <c r="D185" s="57" t="inlineStr">
        <is>
          <t>UKYT-26-036</t>
        </is>
      </c>
      <c r="E185" s="57" t="n">
        <v>0.188</v>
      </c>
      <c r="F185" s="57">
        <f> ((((E185 + 0.03492) / 0.001784) * 0.8 * 1) / (0.2 * 1000))</f>
        <v/>
      </c>
      <c r="G185" s="57" t="inlineStr">
        <is>
          <t>26-036; 7 = .001784x - .03492</t>
        </is>
      </c>
      <c r="H185" s="57" t="inlineStr">
        <is>
          <t>HT3 26-036 Rep 2</t>
        </is>
      </c>
      <c r="I185" s="57" t="inlineStr">
        <is>
          <t>R2</t>
        </is>
      </c>
    </row>
    <row r="186" ht="25" customHeight="1" s="55">
      <c r="A186" s="57" t="n">
        <v>185</v>
      </c>
      <c r="B186" s="59" t="n">
        <v>46233</v>
      </c>
      <c r="C186" s="57" t="inlineStr">
        <is>
          <t>AR</t>
        </is>
      </c>
      <c r="D186" s="57" t="inlineStr">
        <is>
          <t>UKYT-26-036</t>
        </is>
      </c>
      <c r="E186" s="57" t="n">
        <v>0.227</v>
      </c>
      <c r="F186" s="57">
        <f> ((((E186 + 0.03492) / 0.001784) * 0.8 * 1) / (0.2 * 1000))</f>
        <v/>
      </c>
      <c r="G186" s="57" t="inlineStr">
        <is>
          <t>26-036; r = .997478</t>
        </is>
      </c>
      <c r="H186" s="57" t="inlineStr">
        <is>
          <t>HT3 26-036 Rep 3</t>
        </is>
      </c>
      <c r="I186" s="57" t="inlineStr">
        <is>
          <t>R3</t>
        </is>
      </c>
    </row>
    <row r="187" ht="25" customHeight="1" s="55">
      <c r="A187" s="57" t="n">
        <v>186</v>
      </c>
      <c r="B187" s="59" t="n">
        <v>46233</v>
      </c>
      <c r="C187" s="57" t="inlineStr">
        <is>
          <t>AR</t>
        </is>
      </c>
      <c r="D187" s="57" t="inlineStr">
        <is>
          <t>UKYT-26-036</t>
        </is>
      </c>
      <c r="E187" s="57" t="n">
        <v>0.174</v>
      </c>
      <c r="F187" s="57">
        <f> ((((E187 + 0.03492) / 0.001784) * 0.8 * 1) / (0.2 * 1000))</f>
        <v/>
      </c>
      <c r="G187" s="57" t="inlineStr">
        <is>
          <t>26-036; r^2 = 0.994962</t>
        </is>
      </c>
      <c r="H187" s="57" t="inlineStr">
        <is>
          <t>HT3 26-036 Rep 4</t>
        </is>
      </c>
      <c r="I187" s="57" t="inlineStr">
        <is>
          <t>R4</t>
        </is>
      </c>
    </row>
  </sheetData>
  <autoFilter ref="A1:I187"/>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I1"/>
  <sheetViews>
    <sheetView showGridLines="1" topLeftCell="A1" zoomScaleNormal="150" zoomScaleSheetLayoutView="100" workbookViewId="0">
      <pane ySplit="1" topLeftCell="A2" activePane="bottomLeft" state="frozen"/>
      <selection pane="bottomLeft" activeCell="A1" sqref="A1"/>
    </sheetView>
  </sheetViews>
  <sheetFormatPr baseColWidth="8" defaultColWidth="10.875" defaultRowHeight="16.5" customHeight="0"/>
  <cols>
    <col width="8" customWidth="1" style="55" min="1" max="1"/>
    <col width="8" customWidth="1" style="55" min="2" max="2"/>
    <col width="8" customWidth="1" style="55" min="3" max="3"/>
    <col width="8" customWidth="1" style="55" min="4" max="4"/>
    <col width="8" customWidth="1" style="55" min="5" max="5"/>
    <col width="29" customWidth="1" style="55" min="6" max="6"/>
    <col width="8" customWidth="1" style="55" min="7" max="7"/>
    <col width="12" customWidth="1" style="55" min="8" max="8"/>
    <col width="11" customWidth="1" style="55" min="9" max="9"/>
  </cols>
  <sheetData>
    <row r="1" ht="18" customHeight="1" s="55">
      <c r="A1" s="56" t="inlineStr">
        <is>
          <t>SN</t>
        </is>
      </c>
      <c r="B1" s="56" t="inlineStr">
        <is>
          <t>Date</t>
        </is>
      </c>
      <c r="C1" s="56" t="inlineStr">
        <is>
          <t>User</t>
        </is>
      </c>
      <c r="D1" s="56" t="inlineStr">
        <is>
          <t>Sample</t>
        </is>
      </c>
      <c r="E1" s="56" t="inlineStr">
        <is>
          <t>A765</t>
        </is>
      </c>
      <c r="F1" s="56" t="inlineStr">
        <is>
          <t>Polyphenolic Content (mg/g)</t>
        </is>
      </c>
      <c r="G1" s="56" t="inlineStr">
        <is>
          <t>Notes</t>
        </is>
      </c>
      <c r="H1" s="56" t="inlineStr">
        <is>
          <t>Sample_raw</t>
        </is>
      </c>
      <c r="I1" s="56" t="inlineStr">
        <is>
          <t>Replicate</t>
        </is>
      </c>
    </row>
  </sheetData>
  <autoFilter ref="A1:I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Namrata Maharjan</dc:creator>
  <dcterms:created xmlns:dcterms="http://purl.org/dc/terms/" xmlns:xsi="http://www.w3.org/2001/XMLSchema-instance" xsi:type="dcterms:W3CDTF">2026-07-14T13:31:53Z</dcterms:created>
  <dcterms:modified xmlns:dcterms="http://purl.org/dc/terms/" xmlns:xsi="http://www.w3.org/2001/XMLSchema-instance" xsi:type="dcterms:W3CDTF">2026-09-21T21:11:27Z</dcterms:modified>
</cp:coreProperties>
</file>