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l\Desktop\"/>
    </mc:Choice>
  </mc:AlternateContent>
  <xr:revisionPtr revIDLastSave="0" documentId="13_ncr:1_{91786910-DC2B-4A04-9320-29306DFDA0A9}" xr6:coauthVersionLast="47" xr6:coauthVersionMax="47" xr10:uidLastSave="{00000000-0000-0000-0000-000000000000}"/>
  <bookViews>
    <workbookView xWindow="28680" yWindow="-45" windowWidth="29040" windowHeight="15720" activeTab="7" xr2:uid="{F5BB72E0-E3E9-D84E-B968-6D79CE1FBB74}"/>
  </bookViews>
  <sheets>
    <sheet name="Tomato Lines" sheetId="1" r:id="rId1"/>
    <sheet name="Layout" sheetId="2" r:id="rId2"/>
    <sheet name="Record Sheets" sheetId="4" r:id="rId3"/>
    <sheet name="Mgmnt. Notes" sheetId="3" r:id="rId4"/>
    <sheet name="Cull &amp; Tasting Notes" sheetId="6" r:id="rId5"/>
    <sheet name="Filled Record Sheet" sheetId="5" r:id="rId6"/>
    <sheet name="Marketable Yield" sheetId="7" r:id="rId7"/>
    <sheet name="Cull Yield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4" i="7" l="1"/>
  <c r="AC5" i="7"/>
  <c r="AC6" i="7"/>
  <c r="AC7" i="7"/>
  <c r="AC8" i="7"/>
  <c r="AC9" i="7"/>
  <c r="AC10" i="7"/>
  <c r="AC11" i="7"/>
  <c r="AC12" i="7"/>
  <c r="AC13" i="7"/>
  <c r="AC14" i="7"/>
  <c r="AC15" i="7"/>
  <c r="AC16" i="7"/>
  <c r="AC17" i="7"/>
  <c r="AC18" i="7"/>
  <c r="AC19" i="7"/>
  <c r="AC21" i="7"/>
  <c r="AC22" i="7"/>
  <c r="AC23" i="7"/>
  <c r="AC24" i="7"/>
  <c r="AC25" i="7"/>
  <c r="AC26" i="7"/>
  <c r="AC27" i="7"/>
  <c r="AC28" i="7"/>
  <c r="AC29" i="7"/>
  <c r="AC30" i="7"/>
  <c r="AC31" i="7"/>
  <c r="AC32" i="7"/>
  <c r="AC33" i="7"/>
  <c r="AC34" i="7"/>
  <c r="AC35" i="7"/>
  <c r="AC36" i="7"/>
  <c r="AC38" i="7"/>
  <c r="AC39" i="7"/>
  <c r="AC40" i="7"/>
  <c r="AC41" i="7"/>
  <c r="AC42" i="7"/>
  <c r="AC43" i="7"/>
  <c r="AC44" i="7"/>
  <c r="AC45" i="7"/>
  <c r="AC46" i="7"/>
  <c r="AC47" i="7"/>
  <c r="AC48" i="7"/>
  <c r="AC49" i="7"/>
  <c r="AC50" i="7"/>
  <c r="AC51" i="7"/>
  <c r="AC52" i="7"/>
  <c r="AC53" i="7"/>
  <c r="AC54" i="7"/>
  <c r="AC56" i="7"/>
  <c r="AC57" i="7"/>
  <c r="AC58" i="7"/>
  <c r="AC59" i="7"/>
  <c r="AC60" i="7"/>
  <c r="AC61" i="7"/>
  <c r="AC62" i="7"/>
  <c r="AC63" i="7"/>
  <c r="AC64" i="7"/>
  <c r="AC65" i="7"/>
  <c r="AC66" i="7"/>
  <c r="AC67" i="7"/>
  <c r="AC68" i="7"/>
  <c r="AC69" i="7"/>
  <c r="AC70" i="7"/>
  <c r="AC71" i="7"/>
  <c r="AC73" i="7"/>
  <c r="AC74" i="7"/>
  <c r="AC75" i="7"/>
  <c r="AC76" i="7"/>
  <c r="AC77" i="7"/>
  <c r="AC78" i="7"/>
  <c r="AC79" i="7"/>
  <c r="AC80" i="7"/>
  <c r="AC81" i="7"/>
  <c r="AC82" i="7"/>
  <c r="AC83" i="7"/>
  <c r="AC84" i="7"/>
  <c r="AC85" i="7"/>
  <c r="AC86" i="7"/>
  <c r="AC87" i="7"/>
  <c r="AC88" i="7"/>
  <c r="AC89" i="7"/>
  <c r="AC3" i="7"/>
  <c r="R98" i="7"/>
  <c r="S98" i="7"/>
  <c r="T98" i="7"/>
  <c r="U98" i="7"/>
  <c r="V98" i="7"/>
  <c r="W98" i="7"/>
  <c r="X98" i="7"/>
  <c r="Y98" i="7"/>
  <c r="Z98" i="7"/>
  <c r="Q98" i="7"/>
  <c r="R95" i="7"/>
  <c r="S95" i="7"/>
  <c r="T95" i="7"/>
  <c r="U95" i="7"/>
  <c r="V95" i="7"/>
  <c r="W95" i="7"/>
  <c r="X95" i="7"/>
  <c r="Y95" i="7"/>
  <c r="Z95" i="7"/>
  <c r="Q95" i="7"/>
  <c r="R92" i="7"/>
  <c r="S92" i="7"/>
  <c r="T92" i="7"/>
  <c r="U92" i="7"/>
  <c r="V92" i="7"/>
  <c r="W92" i="7"/>
  <c r="X92" i="7"/>
  <c r="Y92" i="7"/>
  <c r="Z92" i="7"/>
  <c r="Q92" i="7"/>
  <c r="R98" i="8"/>
  <c r="S98" i="8"/>
  <c r="T98" i="8"/>
  <c r="U98" i="8"/>
  <c r="V98" i="8"/>
  <c r="W98" i="8"/>
  <c r="X98" i="8"/>
  <c r="Y98" i="8"/>
  <c r="Z98" i="8"/>
  <c r="Q98" i="8"/>
  <c r="R95" i="8"/>
  <c r="S95" i="8"/>
  <c r="T95" i="8"/>
  <c r="U95" i="8"/>
  <c r="V95" i="8"/>
  <c r="W95" i="8"/>
  <c r="X95" i="8"/>
  <c r="Y95" i="8"/>
  <c r="Z95" i="8"/>
  <c r="Q95" i="8"/>
  <c r="R92" i="8"/>
  <c r="S92" i="8"/>
  <c r="T92" i="8"/>
  <c r="U92" i="8"/>
  <c r="V92" i="8"/>
  <c r="W92" i="8"/>
  <c r="X92" i="8"/>
  <c r="Y92" i="8"/>
  <c r="Z92" i="8"/>
  <c r="Q92" i="8"/>
  <c r="R97" i="8"/>
  <c r="S97" i="8"/>
  <c r="T97" i="8"/>
  <c r="U97" i="8"/>
  <c r="V97" i="8"/>
  <c r="W97" i="8"/>
  <c r="X97" i="8"/>
  <c r="Y97" i="8"/>
  <c r="Z97" i="8"/>
  <c r="Q97" i="8"/>
  <c r="R96" i="8"/>
  <c r="S96" i="8"/>
  <c r="T96" i="8"/>
  <c r="U96" i="8"/>
  <c r="V96" i="8"/>
  <c r="W96" i="8"/>
  <c r="X96" i="8"/>
  <c r="Y96" i="8"/>
  <c r="Z96" i="8"/>
  <c r="Q96" i="8"/>
  <c r="R94" i="8"/>
  <c r="S94" i="8"/>
  <c r="T94" i="8"/>
  <c r="U94" i="8"/>
  <c r="V94" i="8"/>
  <c r="W94" i="8"/>
  <c r="X94" i="8"/>
  <c r="Y94" i="8"/>
  <c r="Z94" i="8"/>
  <c r="Q94" i="8"/>
  <c r="R93" i="8"/>
  <c r="S93" i="8"/>
  <c r="T93" i="8"/>
  <c r="U93" i="8"/>
  <c r="V93" i="8"/>
  <c r="W93" i="8"/>
  <c r="X93" i="8"/>
  <c r="Y93" i="8"/>
  <c r="Z93" i="8"/>
  <c r="Q93" i="8"/>
  <c r="R91" i="8"/>
  <c r="S91" i="8"/>
  <c r="T91" i="8"/>
  <c r="U91" i="8"/>
  <c r="V91" i="8"/>
  <c r="W91" i="8"/>
  <c r="X91" i="8"/>
  <c r="Y91" i="8"/>
  <c r="Z91" i="8"/>
  <c r="Q91" i="8"/>
  <c r="R90" i="8"/>
  <c r="S90" i="8"/>
  <c r="T90" i="8"/>
  <c r="U90" i="8"/>
  <c r="V90" i="8"/>
  <c r="W90" i="8"/>
  <c r="X90" i="8"/>
  <c r="Y90" i="8"/>
  <c r="Z90" i="8"/>
  <c r="Q90" i="8"/>
  <c r="C92" i="7"/>
  <c r="D92" i="7"/>
  <c r="B92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6" i="7"/>
  <c r="N57" i="7"/>
  <c r="N58" i="7"/>
  <c r="N59" i="7"/>
  <c r="N60" i="7"/>
  <c r="N61" i="7"/>
  <c r="N62" i="7"/>
  <c r="N63" i="7"/>
  <c r="N64" i="7"/>
  <c r="N65" i="7"/>
  <c r="N66" i="7"/>
  <c r="N67" i="7"/>
  <c r="N68" i="7"/>
  <c r="N69" i="7"/>
  <c r="N70" i="7"/>
  <c r="N71" i="7"/>
  <c r="N73" i="7"/>
  <c r="N74" i="7"/>
  <c r="N75" i="7"/>
  <c r="N76" i="7"/>
  <c r="N77" i="7"/>
  <c r="N78" i="7"/>
  <c r="N79" i="7"/>
  <c r="N80" i="7"/>
  <c r="N81" i="7"/>
  <c r="N82" i="7"/>
  <c r="N83" i="7"/>
  <c r="N84" i="7"/>
  <c r="N85" i="7"/>
  <c r="N88" i="7"/>
  <c r="N89" i="7"/>
  <c r="N3" i="7"/>
  <c r="C92" i="8"/>
  <c r="D92" i="8"/>
  <c r="B92" i="8"/>
  <c r="AG91" i="8"/>
  <c r="AH91" i="8"/>
  <c r="AI91" i="8"/>
  <c r="AJ91" i="8"/>
  <c r="AK91" i="8"/>
  <c r="AL91" i="8"/>
  <c r="AM91" i="8"/>
  <c r="AN91" i="8"/>
  <c r="AO91" i="8"/>
  <c r="AF91" i="8"/>
  <c r="AG90" i="8"/>
  <c r="AH90" i="8"/>
  <c r="AF90" i="8"/>
  <c r="AP4" i="8"/>
  <c r="AP5" i="8"/>
  <c r="AP6" i="8"/>
  <c r="AP7" i="8"/>
  <c r="AP8" i="8"/>
  <c r="AP9" i="8"/>
  <c r="AP10" i="8"/>
  <c r="AP11" i="8"/>
  <c r="AP12" i="8"/>
  <c r="AP13" i="8"/>
  <c r="AP14" i="8"/>
  <c r="AP15" i="8"/>
  <c r="AP16" i="8"/>
  <c r="AP17" i="8"/>
  <c r="AP18" i="8"/>
  <c r="AP19" i="8"/>
  <c r="AP21" i="8"/>
  <c r="AP22" i="8"/>
  <c r="AP23" i="8"/>
  <c r="AP24" i="8"/>
  <c r="AP25" i="8"/>
  <c r="AP26" i="8"/>
  <c r="AP27" i="8"/>
  <c r="AP28" i="8"/>
  <c r="AP29" i="8"/>
  <c r="AP30" i="8"/>
  <c r="AP31" i="8"/>
  <c r="AP32" i="8"/>
  <c r="AP33" i="8"/>
  <c r="AP34" i="8"/>
  <c r="AP35" i="8"/>
  <c r="AP36" i="8"/>
  <c r="AP38" i="8"/>
  <c r="AP39" i="8"/>
  <c r="AP40" i="8"/>
  <c r="AP41" i="8"/>
  <c r="AP42" i="8"/>
  <c r="AP43" i="8"/>
  <c r="AP44" i="8"/>
  <c r="AP45" i="8"/>
  <c r="AP46" i="8"/>
  <c r="AP47" i="8"/>
  <c r="AP48" i="8"/>
  <c r="AP49" i="8"/>
  <c r="AP50" i="8"/>
  <c r="AP51" i="8"/>
  <c r="AP52" i="8"/>
  <c r="AP53" i="8"/>
  <c r="AP54" i="8"/>
  <c r="AP56" i="8"/>
  <c r="AP57" i="8"/>
  <c r="AP58" i="8"/>
  <c r="AP59" i="8"/>
  <c r="AP60" i="8"/>
  <c r="AP61" i="8"/>
  <c r="AP62" i="8"/>
  <c r="AP63" i="8"/>
  <c r="AP64" i="8"/>
  <c r="AP65" i="8"/>
  <c r="AP66" i="8"/>
  <c r="AP67" i="8"/>
  <c r="AP68" i="8"/>
  <c r="AP69" i="8"/>
  <c r="AP70" i="8"/>
  <c r="AP71" i="8"/>
  <c r="AP73" i="8"/>
  <c r="AP74" i="8"/>
  <c r="AP75" i="8"/>
  <c r="AP76" i="8"/>
  <c r="AP77" i="8"/>
  <c r="AP78" i="8"/>
  <c r="AP79" i="8"/>
  <c r="AP80" i="8"/>
  <c r="AP81" i="8"/>
  <c r="AP82" i="8"/>
  <c r="AP83" i="8"/>
  <c r="AP84" i="8"/>
  <c r="AP85" i="8"/>
  <c r="AP86" i="8"/>
  <c r="AP88" i="8"/>
  <c r="AP89" i="8"/>
  <c r="AP3" i="8"/>
  <c r="AF4" i="8"/>
  <c r="AG4" i="8"/>
  <c r="AH4" i="8"/>
  <c r="AF5" i="8"/>
  <c r="AG5" i="8"/>
  <c r="AH5" i="8"/>
  <c r="AF6" i="8"/>
  <c r="AG6" i="8"/>
  <c r="AH6" i="8"/>
  <c r="AF7" i="8"/>
  <c r="AG7" i="8"/>
  <c r="AH7" i="8"/>
  <c r="AG8" i="8"/>
  <c r="AH8" i="8"/>
  <c r="AG9" i="8"/>
  <c r="AH9" i="8"/>
  <c r="AF10" i="8"/>
  <c r="AG10" i="8"/>
  <c r="AH10" i="8"/>
  <c r="AF11" i="8"/>
  <c r="AG11" i="8"/>
  <c r="AH11" i="8"/>
  <c r="AF12" i="8"/>
  <c r="AG12" i="8"/>
  <c r="AH12" i="8"/>
  <c r="AF13" i="8"/>
  <c r="AG13" i="8"/>
  <c r="AH13" i="8"/>
  <c r="AG14" i="8"/>
  <c r="AH14" i="8"/>
  <c r="AF15" i="8"/>
  <c r="AG15" i="8"/>
  <c r="AH15" i="8"/>
  <c r="AF16" i="8"/>
  <c r="AG16" i="8"/>
  <c r="AH16" i="8"/>
  <c r="AG17" i="8"/>
  <c r="AH17" i="8"/>
  <c r="AI17" i="8"/>
  <c r="AJ17" i="8"/>
  <c r="AK17" i="8"/>
  <c r="AM17" i="8"/>
  <c r="AN17" i="8"/>
  <c r="AO17" i="8"/>
  <c r="AF18" i="8"/>
  <c r="AG18" i="8"/>
  <c r="AH18" i="8"/>
  <c r="AF19" i="8"/>
  <c r="AG19" i="8"/>
  <c r="AF21" i="8"/>
  <c r="AG21" i="8"/>
  <c r="AH21" i="8"/>
  <c r="AF22" i="8"/>
  <c r="AG22" i="8"/>
  <c r="AH22" i="8"/>
  <c r="AI22" i="8"/>
  <c r="AJ22" i="8"/>
  <c r="AL22" i="8"/>
  <c r="AM22" i="8"/>
  <c r="AN22" i="8"/>
  <c r="AO22" i="8"/>
  <c r="AF23" i="8"/>
  <c r="AG23" i="8"/>
  <c r="AH23" i="8"/>
  <c r="AI23" i="8"/>
  <c r="AJ23" i="8"/>
  <c r="AK23" i="8"/>
  <c r="AM23" i="8"/>
  <c r="AO23" i="8"/>
  <c r="AG24" i="8"/>
  <c r="AH24" i="8"/>
  <c r="AI24" i="8"/>
  <c r="AJ24" i="8"/>
  <c r="AL24" i="8"/>
  <c r="AM24" i="8"/>
  <c r="AN24" i="8"/>
  <c r="AO24" i="8"/>
  <c r="AG25" i="8"/>
  <c r="AH25" i="8"/>
  <c r="AI25" i="8"/>
  <c r="AJ25" i="8"/>
  <c r="AL25" i="8"/>
  <c r="AN25" i="8"/>
  <c r="AO25" i="8"/>
  <c r="AF26" i="8"/>
  <c r="AG26" i="8"/>
  <c r="AH26" i="8"/>
  <c r="AI26" i="8"/>
  <c r="AJ26" i="8"/>
  <c r="AK26" i="8"/>
  <c r="AM26" i="8"/>
  <c r="AN26" i="8"/>
  <c r="AO26" i="8"/>
  <c r="AG27" i="8"/>
  <c r="AH27" i="8"/>
  <c r="AI27" i="8"/>
  <c r="AJ27" i="8"/>
  <c r="AK27" i="8"/>
  <c r="AL27" i="8"/>
  <c r="AM27" i="8"/>
  <c r="AN27" i="8"/>
  <c r="AO27" i="8"/>
  <c r="AF28" i="8"/>
  <c r="AG28" i="8"/>
  <c r="AH28" i="8"/>
  <c r="AI28" i="8"/>
  <c r="AJ28" i="8"/>
  <c r="AM28" i="8"/>
  <c r="AN28" i="8"/>
  <c r="AO28" i="8"/>
  <c r="AG29" i="8"/>
  <c r="AH29" i="8"/>
  <c r="AI29" i="8"/>
  <c r="AK29" i="8"/>
  <c r="AL29" i="8"/>
  <c r="AM29" i="8"/>
  <c r="AN29" i="8"/>
  <c r="AO29" i="8"/>
  <c r="AG30" i="8"/>
  <c r="AH30" i="8"/>
  <c r="AI30" i="8"/>
  <c r="AJ30" i="8"/>
  <c r="AK30" i="8"/>
  <c r="AL30" i="8"/>
  <c r="AM30" i="8"/>
  <c r="AN30" i="8"/>
  <c r="AO30" i="8"/>
  <c r="AF31" i="8"/>
  <c r="AG31" i="8"/>
  <c r="AH31" i="8"/>
  <c r="AI31" i="8"/>
  <c r="AJ31" i="8"/>
  <c r="AK31" i="8"/>
  <c r="AL31" i="8"/>
  <c r="AM31" i="8"/>
  <c r="AN31" i="8"/>
  <c r="AO31" i="8"/>
  <c r="AG32" i="8"/>
  <c r="AH32" i="8"/>
  <c r="AI32" i="8"/>
  <c r="AJ32" i="8"/>
  <c r="AN32" i="8"/>
  <c r="AO32" i="8"/>
  <c r="AF33" i="8"/>
  <c r="AG33" i="8"/>
  <c r="AH33" i="8"/>
  <c r="AI33" i="8"/>
  <c r="AJ33" i="8"/>
  <c r="AL33" i="8"/>
  <c r="AM33" i="8"/>
  <c r="AN33" i="8"/>
  <c r="AO33" i="8"/>
  <c r="AF34" i="8"/>
  <c r="AG34" i="8"/>
  <c r="AH34" i="8"/>
  <c r="AI34" i="8"/>
  <c r="AJ34" i="8"/>
  <c r="AL34" i="8"/>
  <c r="AM34" i="8"/>
  <c r="AN34" i="8"/>
  <c r="AO34" i="8"/>
  <c r="AF35" i="8"/>
  <c r="AG35" i="8"/>
  <c r="AH35" i="8"/>
  <c r="AI35" i="8"/>
  <c r="AJ35" i="8"/>
  <c r="AK35" i="8"/>
  <c r="AL35" i="8"/>
  <c r="AM35" i="8"/>
  <c r="AN35" i="8"/>
  <c r="AO35" i="8"/>
  <c r="AF36" i="8"/>
  <c r="AG36" i="8"/>
  <c r="AH36" i="8"/>
  <c r="AI36" i="8"/>
  <c r="AJ36" i="8"/>
  <c r="AK36" i="8"/>
  <c r="AL36" i="8"/>
  <c r="AM36" i="8"/>
  <c r="AN36" i="8"/>
  <c r="AO36" i="8"/>
  <c r="AF38" i="8"/>
  <c r="AG38" i="8"/>
  <c r="AH38" i="8"/>
  <c r="AI38" i="8"/>
  <c r="AJ38" i="8"/>
  <c r="AL38" i="8"/>
  <c r="AM38" i="8"/>
  <c r="AN38" i="8"/>
  <c r="AO38" i="8"/>
  <c r="AG39" i="8"/>
  <c r="AH39" i="8"/>
  <c r="AI39" i="8"/>
  <c r="AJ39" i="8"/>
  <c r="AL39" i="8"/>
  <c r="AM39" i="8"/>
  <c r="AN39" i="8"/>
  <c r="AO39" i="8"/>
  <c r="AF40" i="8"/>
  <c r="AG40" i="8"/>
  <c r="AH40" i="8"/>
  <c r="AI40" i="8"/>
  <c r="AJ40" i="8"/>
  <c r="AK40" i="8"/>
  <c r="AL40" i="8"/>
  <c r="AM40" i="8"/>
  <c r="AN40" i="8"/>
  <c r="AO40" i="8"/>
  <c r="AF41" i="8"/>
  <c r="AG41" i="8"/>
  <c r="AH41" i="8"/>
  <c r="AI41" i="8"/>
  <c r="AJ41" i="8"/>
  <c r="AK41" i="8"/>
  <c r="AL41" i="8"/>
  <c r="AM41" i="8"/>
  <c r="AN41" i="8"/>
  <c r="AO41" i="8"/>
  <c r="AF42" i="8"/>
  <c r="AG42" i="8"/>
  <c r="AH42" i="8"/>
  <c r="AI42" i="8"/>
  <c r="AJ42" i="8"/>
  <c r="AL42" i="8"/>
  <c r="AM42" i="8"/>
  <c r="AN42" i="8"/>
  <c r="AO42" i="8"/>
  <c r="AG43" i="8"/>
  <c r="AH43" i="8"/>
  <c r="AI43" i="8"/>
  <c r="AJ43" i="8"/>
  <c r="AK43" i="8"/>
  <c r="AL43" i="8"/>
  <c r="AM43" i="8"/>
  <c r="AO43" i="8"/>
  <c r="AF44" i="8"/>
  <c r="AG44" i="8"/>
  <c r="AH44" i="8"/>
  <c r="AI44" i="8"/>
  <c r="AJ44" i="8"/>
  <c r="AK44" i="8"/>
  <c r="AL44" i="8"/>
  <c r="AM44" i="8"/>
  <c r="AN44" i="8"/>
  <c r="AO44" i="8"/>
  <c r="AG45" i="8"/>
  <c r="AH45" i="8"/>
  <c r="AI45" i="8"/>
  <c r="AJ45" i="8"/>
  <c r="AK45" i="8"/>
  <c r="AL45" i="8"/>
  <c r="AM45" i="8"/>
  <c r="AN45" i="8"/>
  <c r="AO45" i="8"/>
  <c r="AG46" i="8"/>
  <c r="AH46" i="8"/>
  <c r="AI46" i="8"/>
  <c r="AJ46" i="8"/>
  <c r="AM46" i="8"/>
  <c r="AN46" i="8"/>
  <c r="AO46" i="8"/>
  <c r="AG47" i="8"/>
  <c r="AH47" i="8"/>
  <c r="AI47" i="8"/>
  <c r="AJ47" i="8"/>
  <c r="AK47" i="8"/>
  <c r="AN47" i="8"/>
  <c r="AO47" i="8"/>
  <c r="AF48" i="8"/>
  <c r="AG48" i="8"/>
  <c r="AH48" i="8"/>
  <c r="AG49" i="8"/>
  <c r="AH49" i="8"/>
  <c r="AI49" i="8"/>
  <c r="AJ49" i="8"/>
  <c r="AK49" i="8"/>
  <c r="AL49" i="8"/>
  <c r="AM49" i="8"/>
  <c r="AN49" i="8"/>
  <c r="AO49" i="8"/>
  <c r="AH50" i="8"/>
  <c r="AI50" i="8"/>
  <c r="AJ50" i="8"/>
  <c r="AK50" i="8"/>
  <c r="AN50" i="8"/>
  <c r="AO50" i="8"/>
  <c r="AG51" i="8"/>
  <c r="AI51" i="8"/>
  <c r="AJ51" i="8"/>
  <c r="AK51" i="8"/>
  <c r="AL51" i="8"/>
  <c r="AM51" i="8"/>
  <c r="AN51" i="8"/>
  <c r="AO51" i="8"/>
  <c r="AG52" i="8"/>
  <c r="AH52" i="8"/>
  <c r="AI52" i="8"/>
  <c r="AJ52" i="8"/>
  <c r="AK52" i="8"/>
  <c r="AN52" i="8"/>
  <c r="AO52" i="8"/>
  <c r="AF53" i="8"/>
  <c r="AG53" i="8"/>
  <c r="AH53" i="8"/>
  <c r="AI53" i="8"/>
  <c r="AJ53" i="8"/>
  <c r="AK53" i="8"/>
  <c r="AL53" i="8"/>
  <c r="AM53" i="8"/>
  <c r="AN53" i="8"/>
  <c r="AO53" i="8"/>
  <c r="AF54" i="8"/>
  <c r="AG54" i="8"/>
  <c r="AH54" i="8"/>
  <c r="AI54" i="8"/>
  <c r="AJ54" i="8"/>
  <c r="AL54" i="8"/>
  <c r="AM54" i="8"/>
  <c r="AN54" i="8"/>
  <c r="AO54" i="8"/>
  <c r="AF56" i="8"/>
  <c r="AG56" i="8"/>
  <c r="AH56" i="8"/>
  <c r="AI56" i="8"/>
  <c r="AJ56" i="8"/>
  <c r="AK56" i="8"/>
  <c r="AL56" i="8"/>
  <c r="AM56" i="8"/>
  <c r="AN56" i="8"/>
  <c r="AO56" i="8"/>
  <c r="AG57" i="8"/>
  <c r="AH57" i="8"/>
  <c r="AI57" i="8"/>
  <c r="AJ57" i="8"/>
  <c r="AK57" i="8"/>
  <c r="AM57" i="8"/>
  <c r="AN57" i="8"/>
  <c r="AO57" i="8"/>
  <c r="AG58" i="8"/>
  <c r="AH58" i="8"/>
  <c r="AI58" i="8"/>
  <c r="AJ58" i="8"/>
  <c r="AK58" i="8"/>
  <c r="AL58" i="8"/>
  <c r="AM58" i="8"/>
  <c r="AN58" i="8"/>
  <c r="AO58" i="8"/>
  <c r="AG59" i="8"/>
  <c r="AH59" i="8"/>
  <c r="AI59" i="8"/>
  <c r="AJ59" i="8"/>
  <c r="AL59" i="8"/>
  <c r="AM59" i="8"/>
  <c r="AN59" i="8"/>
  <c r="AO59" i="8"/>
  <c r="AF60" i="8"/>
  <c r="AG60" i="8"/>
  <c r="AH60" i="8"/>
  <c r="AI60" i="8"/>
  <c r="AJ60" i="8"/>
  <c r="AM60" i="8"/>
  <c r="AN60" i="8"/>
  <c r="AO60" i="8"/>
  <c r="AF61" i="8"/>
  <c r="AG61" i="8"/>
  <c r="AH61" i="8"/>
  <c r="AI61" i="8"/>
  <c r="AJ61" i="8"/>
  <c r="AK61" i="8"/>
  <c r="AL61" i="8"/>
  <c r="AM61" i="8"/>
  <c r="AN61" i="8"/>
  <c r="AO61" i="8"/>
  <c r="AF62" i="8"/>
  <c r="AG62" i="8"/>
  <c r="AH62" i="8"/>
  <c r="AI62" i="8"/>
  <c r="AJ62" i="8"/>
  <c r="AM62" i="8"/>
  <c r="AN62" i="8"/>
  <c r="AO62" i="8"/>
  <c r="AF63" i="8"/>
  <c r="AG63" i="8"/>
  <c r="AH63" i="8"/>
  <c r="AI63" i="8"/>
  <c r="AJ63" i="8"/>
  <c r="AM63" i="8"/>
  <c r="AN63" i="8"/>
  <c r="AO63" i="8"/>
  <c r="AF64" i="8"/>
  <c r="AG64" i="8"/>
  <c r="AH64" i="8"/>
  <c r="AI64" i="8"/>
  <c r="AJ64" i="8"/>
  <c r="AM64" i="8"/>
  <c r="AN64" i="8"/>
  <c r="AO64" i="8"/>
  <c r="AF65" i="8"/>
  <c r="AG65" i="8"/>
  <c r="AH65" i="8"/>
  <c r="AI65" i="8"/>
  <c r="AJ65" i="8"/>
  <c r="AM65" i="8"/>
  <c r="AN65" i="8"/>
  <c r="AO65" i="8"/>
  <c r="AF66" i="8"/>
  <c r="AG66" i="8"/>
  <c r="AH66" i="8"/>
  <c r="AI66" i="8"/>
  <c r="AJ66" i="8"/>
  <c r="AM66" i="8"/>
  <c r="AN66" i="8"/>
  <c r="AO66" i="8"/>
  <c r="AF67" i="8"/>
  <c r="AG67" i="8"/>
  <c r="AH67" i="8"/>
  <c r="AI67" i="8"/>
  <c r="AJ67" i="8"/>
  <c r="AK67" i="8"/>
  <c r="AL67" i="8"/>
  <c r="AM67" i="8"/>
  <c r="AN67" i="8"/>
  <c r="AO67" i="8"/>
  <c r="AF68" i="8"/>
  <c r="AG68" i="8"/>
  <c r="AH68" i="8"/>
  <c r="AI68" i="8"/>
  <c r="AJ68" i="8"/>
  <c r="AK68" i="8"/>
  <c r="AL68" i="8"/>
  <c r="AM68" i="8"/>
  <c r="AN68" i="8"/>
  <c r="AO68" i="8"/>
  <c r="AF69" i="8"/>
  <c r="AG69" i="8"/>
  <c r="AH69" i="8"/>
  <c r="AI69" i="8"/>
  <c r="AJ69" i="8"/>
  <c r="AL69" i="8"/>
  <c r="AM69" i="8"/>
  <c r="AN69" i="8"/>
  <c r="AO69" i="8"/>
  <c r="AF70" i="8"/>
  <c r="AG70" i="8"/>
  <c r="AH70" i="8"/>
  <c r="AI70" i="8"/>
  <c r="AJ70" i="8"/>
  <c r="AK70" i="8"/>
  <c r="AL70" i="8"/>
  <c r="AM70" i="8"/>
  <c r="AN70" i="8"/>
  <c r="AO70" i="8"/>
  <c r="AF71" i="8"/>
  <c r="AG71" i="8"/>
  <c r="AH71" i="8"/>
  <c r="AI71" i="8"/>
  <c r="AJ71" i="8"/>
  <c r="AK71" i="8"/>
  <c r="AL71" i="8"/>
  <c r="AM71" i="8"/>
  <c r="AN71" i="8"/>
  <c r="AO71" i="8"/>
  <c r="AF73" i="8"/>
  <c r="AG73" i="8"/>
  <c r="AH73" i="8"/>
  <c r="AI73" i="8"/>
  <c r="AJ73" i="8"/>
  <c r="AL73" i="8"/>
  <c r="AM73" i="8"/>
  <c r="AN73" i="8"/>
  <c r="AO73" i="8"/>
  <c r="AF74" i="8"/>
  <c r="AG74" i="8"/>
  <c r="AH74" i="8"/>
  <c r="AI74" i="8"/>
  <c r="AJ74" i="8"/>
  <c r="AL74" i="8"/>
  <c r="AM74" i="8"/>
  <c r="AN74" i="8"/>
  <c r="AO74" i="8"/>
  <c r="AG75" i="8"/>
  <c r="AI75" i="8"/>
  <c r="AJ75" i="8"/>
  <c r="AK75" i="8"/>
  <c r="AL75" i="8"/>
  <c r="AM75" i="8"/>
  <c r="AN75" i="8"/>
  <c r="AO75" i="8"/>
  <c r="AG76" i="8"/>
  <c r="AH76" i="8"/>
  <c r="AI76" i="8"/>
  <c r="AL76" i="8"/>
  <c r="AM76" i="8"/>
  <c r="AN76" i="8"/>
  <c r="AO76" i="8"/>
  <c r="AF77" i="8"/>
  <c r="AG77" i="8"/>
  <c r="AH77" i="8"/>
  <c r="AI77" i="8"/>
  <c r="AJ77" i="8"/>
  <c r="AK77" i="8"/>
  <c r="AL77" i="8"/>
  <c r="AM77" i="8"/>
  <c r="AN77" i="8"/>
  <c r="AO77" i="8"/>
  <c r="AG78" i="8"/>
  <c r="AH78" i="8"/>
  <c r="AI78" i="8"/>
  <c r="AJ78" i="8"/>
  <c r="AK78" i="8"/>
  <c r="AL78" i="8"/>
  <c r="AM78" i="8"/>
  <c r="AN78" i="8"/>
  <c r="AO78" i="8"/>
  <c r="AG79" i="8"/>
  <c r="AH79" i="8"/>
  <c r="AI79" i="8"/>
  <c r="AL79" i="8"/>
  <c r="AN79" i="8"/>
  <c r="AO79" i="8"/>
  <c r="AF80" i="8"/>
  <c r="AG80" i="8"/>
  <c r="AH80" i="8"/>
  <c r="AI80" i="8"/>
  <c r="AJ80" i="8"/>
  <c r="AM80" i="8"/>
  <c r="AN80" i="8"/>
  <c r="AO80" i="8"/>
  <c r="AG81" i="8"/>
  <c r="AH81" i="8"/>
  <c r="AI81" i="8"/>
  <c r="AJ81" i="8"/>
  <c r="AL81" i="8"/>
  <c r="AM81" i="8"/>
  <c r="AN81" i="8"/>
  <c r="AO81" i="8"/>
  <c r="AF82" i="8"/>
  <c r="AG82" i="8"/>
  <c r="AH82" i="8"/>
  <c r="AF83" i="8"/>
  <c r="AG83" i="8"/>
  <c r="AH83" i="8"/>
  <c r="AI83" i="8"/>
  <c r="AJ83" i="8"/>
  <c r="AK83" i="8"/>
  <c r="AL83" i="8"/>
  <c r="AM83" i="8"/>
  <c r="AN83" i="8"/>
  <c r="AO83" i="8"/>
  <c r="AF84" i="8"/>
  <c r="AG84" i="8"/>
  <c r="AH84" i="8"/>
  <c r="AI84" i="8"/>
  <c r="AJ84" i="8"/>
  <c r="AK84" i="8"/>
  <c r="AN84" i="8"/>
  <c r="AO84" i="8"/>
  <c r="AG85" i="8"/>
  <c r="AH85" i="8"/>
  <c r="AI85" i="8"/>
  <c r="AJ85" i="8"/>
  <c r="AL85" i="8"/>
  <c r="AM85" i="8"/>
  <c r="AN85" i="8"/>
  <c r="AO85" i="8"/>
  <c r="AG86" i="8"/>
  <c r="AH86" i="8"/>
  <c r="AI86" i="8"/>
  <c r="AJ86" i="8"/>
  <c r="AM86" i="8"/>
  <c r="AN86" i="8"/>
  <c r="AO86" i="8"/>
  <c r="AG87" i="8"/>
  <c r="AH87" i="8"/>
  <c r="AP87" i="8" s="1"/>
  <c r="AI87" i="8"/>
  <c r="AJ87" i="8"/>
  <c r="AL87" i="8"/>
  <c r="AN87" i="8"/>
  <c r="AO87" i="8"/>
  <c r="AG88" i="8"/>
  <c r="AH88" i="8"/>
  <c r="AI88" i="8"/>
  <c r="AJ88" i="8"/>
  <c r="AL88" i="8"/>
  <c r="AM88" i="8"/>
  <c r="AN88" i="8"/>
  <c r="AO88" i="8"/>
  <c r="AF89" i="8"/>
  <c r="AH89" i="8"/>
  <c r="AI89" i="8"/>
  <c r="AJ89" i="8"/>
  <c r="AK89" i="8"/>
  <c r="AL89" i="8"/>
  <c r="AM89" i="8"/>
  <c r="AN89" i="8"/>
  <c r="AO89" i="8"/>
  <c r="AG3" i="8"/>
  <c r="AH3" i="8"/>
  <c r="AF3" i="8"/>
  <c r="AC4" i="8"/>
  <c r="AC5" i="8"/>
  <c r="AC6" i="8"/>
  <c r="AC7" i="8"/>
  <c r="AC8" i="8"/>
  <c r="AC9" i="8"/>
  <c r="AC10" i="8"/>
  <c r="AC11" i="8"/>
  <c r="AC12" i="8"/>
  <c r="AC13" i="8"/>
  <c r="AC14" i="8"/>
  <c r="AC15" i="8"/>
  <c r="AC16" i="8"/>
  <c r="AC17" i="8"/>
  <c r="AC18" i="8"/>
  <c r="AC19" i="8"/>
  <c r="AC21" i="8"/>
  <c r="AC22" i="8"/>
  <c r="AC23" i="8"/>
  <c r="AC24" i="8"/>
  <c r="AC25" i="8"/>
  <c r="AC26" i="8"/>
  <c r="AC27" i="8"/>
  <c r="AC28" i="8"/>
  <c r="AC29" i="8"/>
  <c r="AC30" i="8"/>
  <c r="AC31" i="8"/>
  <c r="AC32" i="8"/>
  <c r="AC33" i="8"/>
  <c r="AC34" i="8"/>
  <c r="AC35" i="8"/>
  <c r="AC36" i="8"/>
  <c r="AC38" i="8"/>
  <c r="AC39" i="8"/>
  <c r="AC40" i="8"/>
  <c r="AC41" i="8"/>
  <c r="AC42" i="8"/>
  <c r="AC43" i="8"/>
  <c r="AC44" i="8"/>
  <c r="AC45" i="8"/>
  <c r="AC46" i="8"/>
  <c r="AC47" i="8"/>
  <c r="AC48" i="8"/>
  <c r="AC49" i="8"/>
  <c r="AC50" i="8"/>
  <c r="AC51" i="8"/>
  <c r="AC52" i="8"/>
  <c r="AC53" i="8"/>
  <c r="AC54" i="8"/>
  <c r="AC56" i="8"/>
  <c r="AC57" i="8"/>
  <c r="AC58" i="8"/>
  <c r="AC59" i="8"/>
  <c r="AC60" i="8"/>
  <c r="AC61" i="8"/>
  <c r="AC62" i="8"/>
  <c r="AC63" i="8"/>
  <c r="AC64" i="8"/>
  <c r="AC65" i="8"/>
  <c r="AC66" i="8"/>
  <c r="AC67" i="8"/>
  <c r="AC68" i="8"/>
  <c r="AC69" i="8"/>
  <c r="AC70" i="8"/>
  <c r="AC71" i="8"/>
  <c r="AC73" i="8"/>
  <c r="AC74" i="8"/>
  <c r="AC75" i="8"/>
  <c r="AC76" i="8"/>
  <c r="AC77" i="8"/>
  <c r="AC78" i="8"/>
  <c r="AC79" i="8"/>
  <c r="AC80" i="8"/>
  <c r="AC81" i="8"/>
  <c r="AC82" i="8"/>
  <c r="AC83" i="8"/>
  <c r="AC84" i="8"/>
  <c r="AC85" i="8"/>
  <c r="AC86" i="8"/>
  <c r="AC87" i="8"/>
  <c r="AC88" i="8"/>
  <c r="AC89" i="8"/>
  <c r="AC3" i="8"/>
  <c r="AB4" i="8"/>
  <c r="AB5" i="8"/>
  <c r="AB6" i="8"/>
  <c r="AB7" i="8"/>
  <c r="AB8" i="8"/>
  <c r="AB9" i="8"/>
  <c r="AB10" i="8"/>
  <c r="AB11" i="8"/>
  <c r="AB12" i="8"/>
  <c r="AB13" i="8"/>
  <c r="AB14" i="8"/>
  <c r="AB15" i="8"/>
  <c r="AB16" i="8"/>
  <c r="AB17" i="8"/>
  <c r="AB18" i="8"/>
  <c r="AB19" i="8"/>
  <c r="AB21" i="8"/>
  <c r="AB22" i="8"/>
  <c r="AB23" i="8"/>
  <c r="AB24" i="8"/>
  <c r="AB25" i="8"/>
  <c r="AB26" i="8"/>
  <c r="AB27" i="8"/>
  <c r="AB28" i="8"/>
  <c r="AB29" i="8"/>
  <c r="AB30" i="8"/>
  <c r="AB31" i="8"/>
  <c r="AB32" i="8"/>
  <c r="AB33" i="8"/>
  <c r="AB34" i="8"/>
  <c r="AB35" i="8"/>
  <c r="AB36" i="8"/>
  <c r="AB38" i="8"/>
  <c r="AB39" i="8"/>
  <c r="AB40" i="8"/>
  <c r="AB41" i="8"/>
  <c r="AB42" i="8"/>
  <c r="AB43" i="8"/>
  <c r="AB44" i="8"/>
  <c r="AB45" i="8"/>
  <c r="AB46" i="8"/>
  <c r="AB47" i="8"/>
  <c r="AB48" i="8"/>
  <c r="AB49" i="8"/>
  <c r="AB50" i="8"/>
  <c r="AB51" i="8"/>
  <c r="AB52" i="8"/>
  <c r="AB53" i="8"/>
  <c r="AB54" i="8"/>
  <c r="AB56" i="8"/>
  <c r="AB57" i="8"/>
  <c r="AB58" i="8"/>
  <c r="AB59" i="8"/>
  <c r="AB60" i="8"/>
  <c r="AB61" i="8"/>
  <c r="AB62" i="8"/>
  <c r="AB63" i="8"/>
  <c r="AB64" i="8"/>
  <c r="AB65" i="8"/>
  <c r="AB66" i="8"/>
  <c r="AB67" i="8"/>
  <c r="AB68" i="8"/>
  <c r="AB69" i="8"/>
  <c r="AB70" i="8"/>
  <c r="AB71" i="8"/>
  <c r="AB73" i="8"/>
  <c r="AB74" i="8"/>
  <c r="AB75" i="8"/>
  <c r="AB76" i="8"/>
  <c r="AB77" i="8"/>
  <c r="AB78" i="8"/>
  <c r="AB79" i="8"/>
  <c r="AB80" i="8"/>
  <c r="AB81" i="8"/>
  <c r="AB82" i="8"/>
  <c r="AB83" i="8"/>
  <c r="AB84" i="8"/>
  <c r="AB85" i="8"/>
  <c r="AB86" i="8"/>
  <c r="AB87" i="8"/>
  <c r="AB88" i="8"/>
  <c r="AB89" i="8"/>
  <c r="AB3" i="8"/>
  <c r="AA4" i="8"/>
  <c r="AA5" i="8"/>
  <c r="AA6" i="8"/>
  <c r="AA7" i="8"/>
  <c r="AA8" i="8"/>
  <c r="AA9" i="8"/>
  <c r="AA10" i="8"/>
  <c r="AA11" i="8"/>
  <c r="AA12" i="8"/>
  <c r="AA13" i="8"/>
  <c r="AA14" i="8"/>
  <c r="AA15" i="8"/>
  <c r="AA16" i="8"/>
  <c r="AA17" i="8"/>
  <c r="AA18" i="8"/>
  <c r="AA19" i="8"/>
  <c r="AA21" i="8"/>
  <c r="AA22" i="8"/>
  <c r="AA23" i="8"/>
  <c r="AA24" i="8"/>
  <c r="AA25" i="8"/>
  <c r="AA26" i="8"/>
  <c r="AA27" i="8"/>
  <c r="AA28" i="8"/>
  <c r="AA29" i="8"/>
  <c r="AA30" i="8"/>
  <c r="AA31" i="8"/>
  <c r="AA32" i="8"/>
  <c r="AA33" i="8"/>
  <c r="AA34" i="8"/>
  <c r="AA35" i="8"/>
  <c r="AA36" i="8"/>
  <c r="AA38" i="8"/>
  <c r="AA39" i="8"/>
  <c r="AA40" i="8"/>
  <c r="AA41" i="8"/>
  <c r="AA42" i="8"/>
  <c r="AA43" i="8"/>
  <c r="AA44" i="8"/>
  <c r="AA45" i="8"/>
  <c r="AA46" i="8"/>
  <c r="AA47" i="8"/>
  <c r="AA48" i="8"/>
  <c r="AA49" i="8"/>
  <c r="AA50" i="8"/>
  <c r="AA51" i="8"/>
  <c r="AA52" i="8"/>
  <c r="AA53" i="8"/>
  <c r="AA54" i="8"/>
  <c r="AA56" i="8"/>
  <c r="AA57" i="8"/>
  <c r="AA58" i="8"/>
  <c r="AA59" i="8"/>
  <c r="AA60" i="8"/>
  <c r="AA61" i="8"/>
  <c r="AA62" i="8"/>
  <c r="AA63" i="8"/>
  <c r="AA64" i="8"/>
  <c r="AA65" i="8"/>
  <c r="AA66" i="8"/>
  <c r="AA67" i="8"/>
  <c r="AA68" i="8"/>
  <c r="AA69" i="8"/>
  <c r="AA70" i="8"/>
  <c r="AA71" i="8"/>
  <c r="AA73" i="8"/>
  <c r="AA74" i="8"/>
  <c r="AA75" i="8"/>
  <c r="AA76" i="8"/>
  <c r="AA77" i="8"/>
  <c r="AA78" i="8"/>
  <c r="AA79" i="8"/>
  <c r="AA80" i="8"/>
  <c r="AA81" i="8"/>
  <c r="AA82" i="8"/>
  <c r="AA83" i="8"/>
  <c r="AA84" i="8"/>
  <c r="AA85" i="8"/>
  <c r="AA86" i="8"/>
  <c r="AA87" i="8"/>
  <c r="AA88" i="8"/>
  <c r="AA89" i="8"/>
  <c r="AA3" i="8"/>
  <c r="C94" i="8"/>
  <c r="D94" i="8"/>
  <c r="E94" i="8"/>
  <c r="F94" i="8"/>
  <c r="G94" i="8"/>
  <c r="H94" i="8"/>
  <c r="I94" i="8"/>
  <c r="J94" i="8"/>
  <c r="K94" i="8"/>
  <c r="B94" i="8"/>
  <c r="C93" i="8"/>
  <c r="D93" i="8"/>
  <c r="E93" i="8"/>
  <c r="F93" i="8"/>
  <c r="G93" i="8"/>
  <c r="H93" i="8"/>
  <c r="I93" i="8"/>
  <c r="J93" i="8"/>
  <c r="K93" i="8"/>
  <c r="B93" i="8"/>
  <c r="C91" i="8"/>
  <c r="D91" i="8"/>
  <c r="B91" i="8"/>
  <c r="C90" i="8"/>
  <c r="D90" i="8"/>
  <c r="B90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35" i="8"/>
  <c r="M36" i="8"/>
  <c r="M38" i="8"/>
  <c r="M39" i="8"/>
  <c r="M40" i="8"/>
  <c r="M41" i="8"/>
  <c r="M42" i="8"/>
  <c r="M43" i="8"/>
  <c r="M44" i="8"/>
  <c r="M45" i="8"/>
  <c r="M46" i="8"/>
  <c r="M47" i="8"/>
  <c r="M48" i="8"/>
  <c r="M49" i="8"/>
  <c r="M50" i="8"/>
  <c r="M51" i="8"/>
  <c r="M52" i="8"/>
  <c r="M53" i="8"/>
  <c r="M54" i="8"/>
  <c r="M56" i="8"/>
  <c r="M57" i="8"/>
  <c r="M58" i="8"/>
  <c r="M59" i="8"/>
  <c r="M60" i="8"/>
  <c r="M61" i="8"/>
  <c r="M62" i="8"/>
  <c r="M63" i="8"/>
  <c r="M64" i="8"/>
  <c r="M65" i="8"/>
  <c r="M66" i="8"/>
  <c r="M67" i="8"/>
  <c r="M68" i="8"/>
  <c r="M69" i="8"/>
  <c r="M70" i="8"/>
  <c r="M71" i="8"/>
  <c r="M73" i="8"/>
  <c r="M74" i="8"/>
  <c r="M75" i="8"/>
  <c r="M76" i="8"/>
  <c r="M77" i="8"/>
  <c r="M78" i="8"/>
  <c r="M79" i="8"/>
  <c r="M80" i="8"/>
  <c r="M81" i="8"/>
  <c r="M82" i="8"/>
  <c r="M83" i="8"/>
  <c r="M84" i="8"/>
  <c r="M85" i="8"/>
  <c r="M86" i="8"/>
  <c r="M87" i="8"/>
  <c r="M88" i="8"/>
  <c r="M89" i="8"/>
  <c r="M3" i="8"/>
  <c r="L4" i="8"/>
  <c r="N4" i="8" s="1"/>
  <c r="L5" i="8"/>
  <c r="N5" i="8" s="1"/>
  <c r="L6" i="8"/>
  <c r="N6" i="8" s="1"/>
  <c r="L7" i="8"/>
  <c r="N7" i="8" s="1"/>
  <c r="L8" i="8"/>
  <c r="N8" i="8" s="1"/>
  <c r="L9" i="8"/>
  <c r="N9" i="8" s="1"/>
  <c r="L10" i="8"/>
  <c r="N10" i="8" s="1"/>
  <c r="L11" i="8"/>
  <c r="N11" i="8" s="1"/>
  <c r="L12" i="8"/>
  <c r="N12" i="8" s="1"/>
  <c r="L13" i="8"/>
  <c r="N13" i="8" s="1"/>
  <c r="L14" i="8"/>
  <c r="N14" i="8" s="1"/>
  <c r="L15" i="8"/>
  <c r="N15" i="8" s="1"/>
  <c r="L16" i="8"/>
  <c r="N16" i="8" s="1"/>
  <c r="L17" i="8"/>
  <c r="N17" i="8" s="1"/>
  <c r="L18" i="8"/>
  <c r="N18" i="8" s="1"/>
  <c r="L19" i="8"/>
  <c r="N19" i="8" s="1"/>
  <c r="L21" i="8"/>
  <c r="N21" i="8" s="1"/>
  <c r="L22" i="8"/>
  <c r="N22" i="8" s="1"/>
  <c r="L23" i="8"/>
  <c r="N23" i="8" s="1"/>
  <c r="L24" i="8"/>
  <c r="N24" i="8" s="1"/>
  <c r="L25" i="8"/>
  <c r="N25" i="8" s="1"/>
  <c r="L26" i="8"/>
  <c r="N26" i="8" s="1"/>
  <c r="L27" i="8"/>
  <c r="N27" i="8" s="1"/>
  <c r="L28" i="8"/>
  <c r="N28" i="8" s="1"/>
  <c r="L29" i="8"/>
  <c r="N29" i="8" s="1"/>
  <c r="L30" i="8"/>
  <c r="N30" i="8" s="1"/>
  <c r="L31" i="8"/>
  <c r="N31" i="8" s="1"/>
  <c r="L32" i="8"/>
  <c r="N32" i="8" s="1"/>
  <c r="L33" i="8"/>
  <c r="N33" i="8" s="1"/>
  <c r="L34" i="8"/>
  <c r="N34" i="8" s="1"/>
  <c r="L35" i="8"/>
  <c r="N35" i="8" s="1"/>
  <c r="L36" i="8"/>
  <c r="N36" i="8" s="1"/>
  <c r="L38" i="8"/>
  <c r="N38" i="8" s="1"/>
  <c r="L39" i="8"/>
  <c r="N39" i="8" s="1"/>
  <c r="L40" i="8"/>
  <c r="N40" i="8" s="1"/>
  <c r="L41" i="8"/>
  <c r="N41" i="8" s="1"/>
  <c r="L42" i="8"/>
  <c r="N42" i="8" s="1"/>
  <c r="L43" i="8"/>
  <c r="N43" i="8" s="1"/>
  <c r="L44" i="8"/>
  <c r="N44" i="8" s="1"/>
  <c r="L45" i="8"/>
  <c r="N45" i="8" s="1"/>
  <c r="L46" i="8"/>
  <c r="N46" i="8" s="1"/>
  <c r="L47" i="8"/>
  <c r="N47" i="8" s="1"/>
  <c r="L48" i="8"/>
  <c r="N48" i="8" s="1"/>
  <c r="L49" i="8"/>
  <c r="N49" i="8" s="1"/>
  <c r="L50" i="8"/>
  <c r="N50" i="8" s="1"/>
  <c r="L51" i="8"/>
  <c r="N51" i="8" s="1"/>
  <c r="L52" i="8"/>
  <c r="N52" i="8" s="1"/>
  <c r="L53" i="8"/>
  <c r="N53" i="8" s="1"/>
  <c r="L54" i="8"/>
  <c r="N54" i="8" s="1"/>
  <c r="L56" i="8"/>
  <c r="N56" i="8" s="1"/>
  <c r="L57" i="8"/>
  <c r="N57" i="8" s="1"/>
  <c r="L58" i="8"/>
  <c r="N58" i="8" s="1"/>
  <c r="L59" i="8"/>
  <c r="N59" i="8" s="1"/>
  <c r="L60" i="8"/>
  <c r="N60" i="8" s="1"/>
  <c r="L61" i="8"/>
  <c r="N61" i="8" s="1"/>
  <c r="L62" i="8"/>
  <c r="N62" i="8" s="1"/>
  <c r="L63" i="8"/>
  <c r="N63" i="8" s="1"/>
  <c r="L64" i="8"/>
  <c r="N64" i="8" s="1"/>
  <c r="L65" i="8"/>
  <c r="N65" i="8" s="1"/>
  <c r="L66" i="8"/>
  <c r="N66" i="8" s="1"/>
  <c r="L67" i="8"/>
  <c r="N67" i="8" s="1"/>
  <c r="L68" i="8"/>
  <c r="N68" i="8" s="1"/>
  <c r="L69" i="8"/>
  <c r="N69" i="8" s="1"/>
  <c r="L70" i="8"/>
  <c r="N70" i="8" s="1"/>
  <c r="L71" i="8"/>
  <c r="N71" i="8" s="1"/>
  <c r="L73" i="8"/>
  <c r="N73" i="8" s="1"/>
  <c r="L74" i="8"/>
  <c r="N74" i="8" s="1"/>
  <c r="L75" i="8"/>
  <c r="N75" i="8" s="1"/>
  <c r="L76" i="8"/>
  <c r="N76" i="8" s="1"/>
  <c r="L77" i="8"/>
  <c r="N77" i="8" s="1"/>
  <c r="L78" i="8"/>
  <c r="N78" i="8" s="1"/>
  <c r="L79" i="8"/>
  <c r="N79" i="8" s="1"/>
  <c r="L80" i="8"/>
  <c r="N80" i="8" s="1"/>
  <c r="L81" i="8"/>
  <c r="N81" i="8" s="1"/>
  <c r="L82" i="8"/>
  <c r="N82" i="8" s="1"/>
  <c r="L83" i="8"/>
  <c r="N83" i="8" s="1"/>
  <c r="L84" i="8"/>
  <c r="N84" i="8" s="1"/>
  <c r="L85" i="8"/>
  <c r="N85" i="8" s="1"/>
  <c r="L86" i="8"/>
  <c r="L87" i="8"/>
  <c r="L88" i="8"/>
  <c r="N88" i="8" s="1"/>
  <c r="L89" i="8"/>
  <c r="N89" i="8" s="1"/>
  <c r="L3" i="8"/>
  <c r="N3" i="8" s="1"/>
  <c r="C94" i="7"/>
  <c r="D94" i="7"/>
  <c r="E94" i="7"/>
  <c r="F94" i="7"/>
  <c r="G94" i="7"/>
  <c r="H94" i="7"/>
  <c r="I94" i="7"/>
  <c r="J94" i="7"/>
  <c r="K94" i="7"/>
  <c r="B94" i="7"/>
  <c r="C93" i="7"/>
  <c r="D93" i="7"/>
  <c r="E93" i="7"/>
  <c r="F93" i="7"/>
  <c r="G93" i="7"/>
  <c r="H93" i="7"/>
  <c r="I93" i="7"/>
  <c r="J93" i="7"/>
  <c r="K93" i="7"/>
  <c r="B93" i="7"/>
  <c r="C91" i="7"/>
  <c r="D91" i="7"/>
  <c r="B91" i="7"/>
  <c r="R97" i="7"/>
  <c r="S97" i="7"/>
  <c r="T97" i="7"/>
  <c r="U97" i="7"/>
  <c r="V97" i="7"/>
  <c r="W97" i="7"/>
  <c r="X97" i="7"/>
  <c r="Y97" i="7"/>
  <c r="Z97" i="7"/>
  <c r="Q97" i="7"/>
  <c r="R94" i="7"/>
  <c r="S94" i="7"/>
  <c r="T94" i="7"/>
  <c r="U94" i="7"/>
  <c r="V94" i="7"/>
  <c r="W94" i="7"/>
  <c r="X94" i="7"/>
  <c r="Y94" i="7"/>
  <c r="Z94" i="7"/>
  <c r="Q94" i="7"/>
  <c r="R91" i="7"/>
  <c r="S91" i="7"/>
  <c r="T91" i="7"/>
  <c r="U91" i="7"/>
  <c r="V91" i="7"/>
  <c r="W91" i="7"/>
  <c r="X91" i="7"/>
  <c r="Y91" i="7"/>
  <c r="Z91" i="7"/>
  <c r="Q91" i="7"/>
  <c r="C90" i="7"/>
  <c r="D90" i="7"/>
  <c r="B90" i="7"/>
  <c r="M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6" i="7"/>
  <c r="M57" i="7"/>
  <c r="M58" i="7"/>
  <c r="M59" i="7"/>
  <c r="M60" i="7"/>
  <c r="M61" i="7"/>
  <c r="M62" i="7"/>
  <c r="M63" i="7"/>
  <c r="M64" i="7"/>
  <c r="M65" i="7"/>
  <c r="M66" i="7"/>
  <c r="M67" i="7"/>
  <c r="M68" i="7"/>
  <c r="M69" i="7"/>
  <c r="M70" i="7"/>
  <c r="M71" i="7"/>
  <c r="M73" i="7"/>
  <c r="M74" i="7"/>
  <c r="M75" i="7"/>
  <c r="M76" i="7"/>
  <c r="M77" i="7"/>
  <c r="M78" i="7"/>
  <c r="M79" i="7"/>
  <c r="M80" i="7"/>
  <c r="M81" i="7"/>
  <c r="M82" i="7"/>
  <c r="M83" i="7"/>
  <c r="M84" i="7"/>
  <c r="M85" i="7"/>
  <c r="M86" i="7"/>
  <c r="M87" i="7"/>
  <c r="M88" i="7"/>
  <c r="M89" i="7"/>
  <c r="M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56" i="7"/>
  <c r="L57" i="7"/>
  <c r="L58" i="7"/>
  <c r="L59" i="7"/>
  <c r="L60" i="7"/>
  <c r="L61" i="7"/>
  <c r="L62" i="7"/>
  <c r="L63" i="7"/>
  <c r="L64" i="7"/>
  <c r="L65" i="7"/>
  <c r="L66" i="7"/>
  <c r="L67" i="7"/>
  <c r="L68" i="7"/>
  <c r="L69" i="7"/>
  <c r="L70" i="7"/>
  <c r="L71" i="7"/>
  <c r="L73" i="7"/>
  <c r="L74" i="7"/>
  <c r="L75" i="7"/>
  <c r="L76" i="7"/>
  <c r="L77" i="7"/>
  <c r="L78" i="7"/>
  <c r="L79" i="7"/>
  <c r="L80" i="7"/>
  <c r="L81" i="7"/>
  <c r="L82" i="7"/>
  <c r="L83" i="7"/>
  <c r="L84" i="7"/>
  <c r="L85" i="7"/>
  <c r="L86" i="7"/>
  <c r="L87" i="7"/>
  <c r="L88" i="7"/>
  <c r="L89" i="7"/>
  <c r="L3" i="7"/>
  <c r="R96" i="7"/>
  <c r="S96" i="7"/>
  <c r="T96" i="7"/>
  <c r="U96" i="7"/>
  <c r="V96" i="7"/>
  <c r="W96" i="7"/>
  <c r="X96" i="7"/>
  <c r="Y96" i="7"/>
  <c r="Z96" i="7"/>
  <c r="Q96" i="7"/>
  <c r="R93" i="7"/>
  <c r="S93" i="7"/>
  <c r="T93" i="7"/>
  <c r="U93" i="7"/>
  <c r="V93" i="7"/>
  <c r="W93" i="7"/>
  <c r="X93" i="7"/>
  <c r="Y93" i="7"/>
  <c r="Z93" i="7"/>
  <c r="Q93" i="7"/>
  <c r="R90" i="7"/>
  <c r="S90" i="7"/>
  <c r="T90" i="7"/>
  <c r="U90" i="7"/>
  <c r="V90" i="7"/>
  <c r="W90" i="7"/>
  <c r="X90" i="7"/>
  <c r="Y90" i="7"/>
  <c r="Z90" i="7"/>
  <c r="Q90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AB35" i="7"/>
  <c r="AB36" i="7"/>
  <c r="AB38" i="7"/>
  <c r="AB39" i="7"/>
  <c r="AB40" i="7"/>
  <c r="AB41" i="7"/>
  <c r="AB42" i="7"/>
  <c r="AB43" i="7"/>
  <c r="AB44" i="7"/>
  <c r="AB45" i="7"/>
  <c r="AB46" i="7"/>
  <c r="AB47" i="7"/>
  <c r="AB48" i="7"/>
  <c r="AB49" i="7"/>
  <c r="AB50" i="7"/>
  <c r="AB51" i="7"/>
  <c r="AB52" i="7"/>
  <c r="AB53" i="7"/>
  <c r="AB54" i="7"/>
  <c r="AB56" i="7"/>
  <c r="AB57" i="7"/>
  <c r="AB58" i="7"/>
  <c r="AB59" i="7"/>
  <c r="AB60" i="7"/>
  <c r="AB61" i="7"/>
  <c r="AB62" i="7"/>
  <c r="AB63" i="7"/>
  <c r="AB64" i="7"/>
  <c r="AB65" i="7"/>
  <c r="AB66" i="7"/>
  <c r="AB67" i="7"/>
  <c r="AB68" i="7"/>
  <c r="AB69" i="7"/>
  <c r="AB70" i="7"/>
  <c r="AB71" i="7"/>
  <c r="AB73" i="7"/>
  <c r="AB74" i="7"/>
  <c r="AB75" i="7"/>
  <c r="AB76" i="7"/>
  <c r="AB77" i="7"/>
  <c r="AB78" i="7"/>
  <c r="AB79" i="7"/>
  <c r="AB80" i="7"/>
  <c r="AB81" i="7"/>
  <c r="AB82" i="7"/>
  <c r="AB83" i="7"/>
  <c r="AB84" i="7"/>
  <c r="AB85" i="7"/>
  <c r="AB86" i="7"/>
  <c r="AB87" i="7"/>
  <c r="AB88" i="7"/>
  <c r="AB89" i="7"/>
  <c r="AB3" i="7"/>
  <c r="AA4" i="7"/>
  <c r="AA5" i="7"/>
  <c r="AA6" i="7"/>
  <c r="AA7" i="7"/>
  <c r="AA8" i="7"/>
  <c r="AA9" i="7"/>
  <c r="AA10" i="7"/>
  <c r="AA11" i="7"/>
  <c r="AA12" i="7"/>
  <c r="AA13" i="7"/>
  <c r="AA14" i="7"/>
  <c r="AA15" i="7"/>
  <c r="AA16" i="7"/>
  <c r="AA17" i="7"/>
  <c r="AA18" i="7"/>
  <c r="AA19" i="7"/>
  <c r="AA21" i="7"/>
  <c r="AA22" i="7"/>
  <c r="AA23" i="7"/>
  <c r="AA24" i="7"/>
  <c r="AA25" i="7"/>
  <c r="AA26" i="7"/>
  <c r="AA27" i="7"/>
  <c r="AA28" i="7"/>
  <c r="AA29" i="7"/>
  <c r="AA30" i="7"/>
  <c r="AA31" i="7"/>
  <c r="AA32" i="7"/>
  <c r="AA33" i="7"/>
  <c r="AA34" i="7"/>
  <c r="AA35" i="7"/>
  <c r="AA36" i="7"/>
  <c r="AA38" i="7"/>
  <c r="AA39" i="7"/>
  <c r="AA40" i="7"/>
  <c r="AA41" i="7"/>
  <c r="AA42" i="7"/>
  <c r="AA43" i="7"/>
  <c r="AA44" i="7"/>
  <c r="AA45" i="7"/>
  <c r="AA46" i="7"/>
  <c r="AA47" i="7"/>
  <c r="AA48" i="7"/>
  <c r="AA49" i="7"/>
  <c r="AA50" i="7"/>
  <c r="AA51" i="7"/>
  <c r="AA52" i="7"/>
  <c r="AA53" i="7"/>
  <c r="AA54" i="7"/>
  <c r="AA56" i="7"/>
  <c r="AA57" i="7"/>
  <c r="AA58" i="7"/>
  <c r="AA59" i="7"/>
  <c r="AA60" i="7"/>
  <c r="AA61" i="7"/>
  <c r="AA62" i="7"/>
  <c r="AA63" i="7"/>
  <c r="AA64" i="7"/>
  <c r="AA65" i="7"/>
  <c r="AA66" i="7"/>
  <c r="AA67" i="7"/>
  <c r="AA68" i="7"/>
  <c r="AA69" i="7"/>
  <c r="AA70" i="7"/>
  <c r="AA71" i="7"/>
  <c r="AA73" i="7"/>
  <c r="AA74" i="7"/>
  <c r="AA75" i="7"/>
  <c r="AA76" i="7"/>
  <c r="AA77" i="7"/>
  <c r="AA78" i="7"/>
  <c r="AA79" i="7"/>
  <c r="AA80" i="7"/>
  <c r="AA81" i="7"/>
  <c r="AA82" i="7"/>
  <c r="AA83" i="7"/>
  <c r="AA84" i="7"/>
  <c r="AA85" i="7"/>
  <c r="AA86" i="7"/>
  <c r="AA87" i="7"/>
  <c r="AA88" i="7"/>
  <c r="AA89" i="7"/>
  <c r="AA3" i="7"/>
  <c r="AF4" i="7"/>
  <c r="AG4" i="7"/>
  <c r="AH4" i="7"/>
  <c r="AF5" i="7"/>
  <c r="AG5" i="7"/>
  <c r="AH5" i="7"/>
  <c r="AF6" i="7"/>
  <c r="AG6" i="7"/>
  <c r="AH6" i="7"/>
  <c r="AF7" i="7"/>
  <c r="AG7" i="7"/>
  <c r="AH7" i="7"/>
  <c r="AF8" i="7"/>
  <c r="AG8" i="7"/>
  <c r="AH8" i="7"/>
  <c r="AF9" i="7"/>
  <c r="AG9" i="7"/>
  <c r="AH9" i="7"/>
  <c r="AF10" i="7"/>
  <c r="AG10" i="7"/>
  <c r="AH10" i="7"/>
  <c r="AF11" i="7"/>
  <c r="AG11" i="7"/>
  <c r="AH11" i="7"/>
  <c r="AF12" i="7"/>
  <c r="AG12" i="7"/>
  <c r="AH12" i="7"/>
  <c r="AF13" i="7"/>
  <c r="AG13" i="7"/>
  <c r="AH13" i="7"/>
  <c r="AF14" i="7"/>
  <c r="AG14" i="7"/>
  <c r="AH14" i="7"/>
  <c r="AF15" i="7"/>
  <c r="AG15" i="7"/>
  <c r="AH15" i="7"/>
  <c r="AF16" i="7"/>
  <c r="AG16" i="7"/>
  <c r="AH16" i="7"/>
  <c r="AG17" i="7"/>
  <c r="AH17" i="7"/>
  <c r="AI17" i="7"/>
  <c r="AM17" i="7"/>
  <c r="AN17" i="7"/>
  <c r="AF18" i="7"/>
  <c r="AG18" i="7"/>
  <c r="AH18" i="7"/>
  <c r="AF19" i="7"/>
  <c r="AG19" i="7"/>
  <c r="AH19" i="7"/>
  <c r="AF21" i="7"/>
  <c r="AG21" i="7"/>
  <c r="AH21" i="7"/>
  <c r="AG22" i="7"/>
  <c r="AH22" i="7"/>
  <c r="AI22" i="7"/>
  <c r="AJ22" i="7"/>
  <c r="AK22" i="7"/>
  <c r="AM22" i="7"/>
  <c r="AO22" i="7"/>
  <c r="AF23" i="7"/>
  <c r="AH23" i="7"/>
  <c r="AI23" i="7"/>
  <c r="AJ23" i="7"/>
  <c r="AK23" i="7"/>
  <c r="AM23" i="7"/>
  <c r="AN23" i="7"/>
  <c r="AO23" i="7"/>
  <c r="AF24" i="7"/>
  <c r="AG24" i="7"/>
  <c r="AH24" i="7"/>
  <c r="AI24" i="7"/>
  <c r="AJ24" i="7"/>
  <c r="AL24" i="7"/>
  <c r="AM24" i="7"/>
  <c r="AN24" i="7"/>
  <c r="AO24" i="7"/>
  <c r="AG25" i="7"/>
  <c r="AH25" i="7"/>
  <c r="AI25" i="7"/>
  <c r="AN25" i="7"/>
  <c r="AG26" i="7"/>
  <c r="AH26" i="7"/>
  <c r="AI26" i="7"/>
  <c r="AJ26" i="7"/>
  <c r="AN26" i="7"/>
  <c r="AH27" i="7"/>
  <c r="AI27" i="7"/>
  <c r="AJ27" i="7"/>
  <c r="AM27" i="7"/>
  <c r="AN27" i="7"/>
  <c r="AF28" i="7"/>
  <c r="AG28" i="7"/>
  <c r="AH28" i="7"/>
  <c r="AI28" i="7"/>
  <c r="AJ28" i="7"/>
  <c r="AL28" i="7"/>
  <c r="AM28" i="7"/>
  <c r="AN28" i="7"/>
  <c r="AO28" i="7"/>
  <c r="AG29" i="7"/>
  <c r="AH29" i="7"/>
  <c r="AJ29" i="7"/>
  <c r="AH30" i="7"/>
  <c r="AI30" i="7"/>
  <c r="AJ30" i="7"/>
  <c r="AL30" i="7"/>
  <c r="AM30" i="7"/>
  <c r="AN30" i="7"/>
  <c r="AH31" i="7"/>
  <c r="AI31" i="7"/>
  <c r="AM31" i="7"/>
  <c r="AH32" i="7"/>
  <c r="AI32" i="7"/>
  <c r="AJ32" i="7"/>
  <c r="AK32" i="7"/>
  <c r="AL32" i="7"/>
  <c r="AM32" i="7"/>
  <c r="AN32" i="7"/>
  <c r="AO32" i="7"/>
  <c r="AF33" i="7"/>
  <c r="AG33" i="7"/>
  <c r="AH33" i="7"/>
  <c r="AI33" i="7"/>
  <c r="AJ33" i="7"/>
  <c r="AK33" i="7"/>
  <c r="AM33" i="7"/>
  <c r="AN33" i="7"/>
  <c r="AO33" i="7"/>
  <c r="AF34" i="7"/>
  <c r="AG34" i="7"/>
  <c r="AH34" i="7"/>
  <c r="AI34" i="7"/>
  <c r="AJ34" i="7"/>
  <c r="AK34" i="7"/>
  <c r="AL34" i="7"/>
  <c r="AM34" i="7"/>
  <c r="AN34" i="7"/>
  <c r="AO34" i="7"/>
  <c r="AF35" i="7"/>
  <c r="AG35" i="7"/>
  <c r="AH35" i="7"/>
  <c r="AI35" i="7"/>
  <c r="AJ35" i="7"/>
  <c r="AK35" i="7"/>
  <c r="AL35" i="7"/>
  <c r="AN35" i="7"/>
  <c r="AF36" i="7"/>
  <c r="AG36" i="7"/>
  <c r="AH36" i="7"/>
  <c r="AI36" i="7"/>
  <c r="AJ36" i="7"/>
  <c r="AK36" i="7"/>
  <c r="AL36" i="7"/>
  <c r="AM36" i="7"/>
  <c r="AN36" i="7"/>
  <c r="AO36" i="7"/>
  <c r="AF38" i="7"/>
  <c r="AG38" i="7"/>
  <c r="AH38" i="7"/>
  <c r="AI38" i="7"/>
  <c r="AF39" i="7"/>
  <c r="AG39" i="7"/>
  <c r="AH39" i="7"/>
  <c r="AI39" i="7"/>
  <c r="AJ39" i="7"/>
  <c r="AK39" i="7"/>
  <c r="AL39" i="7"/>
  <c r="AM39" i="7"/>
  <c r="AN39" i="7"/>
  <c r="AO39" i="7"/>
  <c r="AF40" i="7"/>
  <c r="AG40" i="7"/>
  <c r="AH40" i="7"/>
  <c r="AI40" i="7"/>
  <c r="AJ40" i="7"/>
  <c r="AL40" i="7"/>
  <c r="AO40" i="7"/>
  <c r="AG41" i="7"/>
  <c r="AH41" i="7"/>
  <c r="AI41" i="7"/>
  <c r="AJ41" i="7"/>
  <c r="AK41" i="7"/>
  <c r="AM41" i="7"/>
  <c r="AO41" i="7"/>
  <c r="AF42" i="7"/>
  <c r="AG42" i="7"/>
  <c r="AH42" i="7"/>
  <c r="AI42" i="7"/>
  <c r="AJ42" i="7"/>
  <c r="AK42" i="7"/>
  <c r="AL42" i="7"/>
  <c r="AM42" i="7"/>
  <c r="AN42" i="7"/>
  <c r="AO42" i="7"/>
  <c r="AG43" i="7"/>
  <c r="AH43" i="7"/>
  <c r="AI43" i="7"/>
  <c r="AJ43" i="7"/>
  <c r="AL43" i="7"/>
  <c r="AM43" i="7"/>
  <c r="AN43" i="7"/>
  <c r="AO43" i="7"/>
  <c r="AG44" i="7"/>
  <c r="AH44" i="7"/>
  <c r="AI44" i="7"/>
  <c r="AJ44" i="7"/>
  <c r="AK44" i="7"/>
  <c r="AL44" i="7"/>
  <c r="AO44" i="7"/>
  <c r="AH45" i="7"/>
  <c r="AI45" i="7"/>
  <c r="AK45" i="7"/>
  <c r="AO45" i="7"/>
  <c r="AH46" i="7"/>
  <c r="AI46" i="7"/>
  <c r="AL46" i="7"/>
  <c r="AM46" i="7"/>
  <c r="AN46" i="7"/>
  <c r="AO46" i="7"/>
  <c r="AF47" i="7"/>
  <c r="AG47" i="7"/>
  <c r="AH47" i="7"/>
  <c r="AI47" i="7"/>
  <c r="AJ47" i="7"/>
  <c r="AF48" i="7"/>
  <c r="AG48" i="7"/>
  <c r="AH48" i="7"/>
  <c r="AH49" i="7"/>
  <c r="AI49" i="7"/>
  <c r="AL49" i="7"/>
  <c r="AN49" i="7"/>
  <c r="AO49" i="7"/>
  <c r="AJ50" i="7"/>
  <c r="AP50" i="7" s="1"/>
  <c r="AH51" i="7"/>
  <c r="AI51" i="7"/>
  <c r="AJ51" i="7"/>
  <c r="AK51" i="7"/>
  <c r="AN51" i="7"/>
  <c r="AO51" i="7"/>
  <c r="AH52" i="7"/>
  <c r="AP52" i="7" s="1"/>
  <c r="AJ52" i="7"/>
  <c r="AL52" i="7"/>
  <c r="AO52" i="7"/>
  <c r="AG53" i="7"/>
  <c r="AH53" i="7"/>
  <c r="AK53" i="7"/>
  <c r="AL53" i="7"/>
  <c r="AM53" i="7"/>
  <c r="AN53" i="7"/>
  <c r="AO53" i="7"/>
  <c r="AF54" i="7"/>
  <c r="AG54" i="7"/>
  <c r="AH54" i="7"/>
  <c r="AI54" i="7"/>
  <c r="AJ54" i="7"/>
  <c r="AK54" i="7"/>
  <c r="AL54" i="7"/>
  <c r="AM54" i="7"/>
  <c r="AN54" i="7"/>
  <c r="AO54" i="7"/>
  <c r="AH56" i="7"/>
  <c r="AI56" i="7"/>
  <c r="AJ56" i="7"/>
  <c r="AK56" i="7"/>
  <c r="AL56" i="7"/>
  <c r="AM56" i="7"/>
  <c r="AN56" i="7"/>
  <c r="AO56" i="7"/>
  <c r="AH57" i="7"/>
  <c r="AI57" i="7"/>
  <c r="AJ57" i="7"/>
  <c r="AN57" i="7"/>
  <c r="AO57" i="7"/>
  <c r="AF58" i="7"/>
  <c r="AG58" i="7"/>
  <c r="AH58" i="7"/>
  <c r="AI58" i="7"/>
  <c r="AJ58" i="7"/>
  <c r="AK58" i="7"/>
  <c r="AM58" i="7"/>
  <c r="AN58" i="7"/>
  <c r="AO58" i="7"/>
  <c r="AF59" i="7"/>
  <c r="AG59" i="7"/>
  <c r="AH59" i="7"/>
  <c r="AI59" i="7"/>
  <c r="AJ59" i="7"/>
  <c r="AL59" i="7"/>
  <c r="AM59" i="7"/>
  <c r="AO59" i="7"/>
  <c r="AG60" i="7"/>
  <c r="AH60" i="7"/>
  <c r="AI60" i="7"/>
  <c r="AJ60" i="7"/>
  <c r="AK60" i="7"/>
  <c r="AL60" i="7"/>
  <c r="AM60" i="7"/>
  <c r="AN60" i="7"/>
  <c r="AO60" i="7"/>
  <c r="AF61" i="7"/>
  <c r="AG61" i="7"/>
  <c r="AH61" i="7"/>
  <c r="AI61" i="7"/>
  <c r="AJ61" i="7"/>
  <c r="AL61" i="7"/>
  <c r="AM61" i="7"/>
  <c r="AO61" i="7"/>
  <c r="AG62" i="7"/>
  <c r="AH62" i="7"/>
  <c r="AI62" i="7"/>
  <c r="AJ62" i="7"/>
  <c r="AK62" i="7"/>
  <c r="AL62" i="7"/>
  <c r="AM62" i="7"/>
  <c r="AN62" i="7"/>
  <c r="AO62" i="7"/>
  <c r="AF63" i="7"/>
  <c r="AG63" i="7"/>
  <c r="AH63" i="7"/>
  <c r="AI63" i="7"/>
  <c r="AJ63" i="7"/>
  <c r="AM63" i="7"/>
  <c r="AN63" i="7"/>
  <c r="AO63" i="7"/>
  <c r="AF64" i="7"/>
  <c r="AG64" i="7"/>
  <c r="AH64" i="7"/>
  <c r="AI64" i="7"/>
  <c r="AJ64" i="7"/>
  <c r="AK64" i="7"/>
  <c r="AL64" i="7"/>
  <c r="AM64" i="7"/>
  <c r="AN64" i="7"/>
  <c r="AO64" i="7"/>
  <c r="AF65" i="7"/>
  <c r="AG65" i="7"/>
  <c r="AH65" i="7"/>
  <c r="AI65" i="7"/>
  <c r="AJ65" i="7"/>
  <c r="AK65" i="7"/>
  <c r="AL65" i="7"/>
  <c r="AO65" i="7"/>
  <c r="AF66" i="7"/>
  <c r="AG66" i="7"/>
  <c r="AH66" i="7"/>
  <c r="AI66" i="7"/>
  <c r="AJ66" i="7"/>
  <c r="AK66" i="7"/>
  <c r="AL66" i="7"/>
  <c r="AM66" i="7"/>
  <c r="AN66" i="7"/>
  <c r="AO66" i="7"/>
  <c r="AF67" i="7"/>
  <c r="AG67" i="7"/>
  <c r="AH67" i="7"/>
  <c r="AI67" i="7"/>
  <c r="AJ67" i="7"/>
  <c r="AK67" i="7"/>
  <c r="AL67" i="7"/>
  <c r="AM67" i="7"/>
  <c r="AN67" i="7"/>
  <c r="AF68" i="7"/>
  <c r="AG68" i="7"/>
  <c r="AH68" i="7"/>
  <c r="AI68" i="7"/>
  <c r="AJ68" i="7"/>
  <c r="AK68" i="7"/>
  <c r="AL68" i="7"/>
  <c r="AM68" i="7"/>
  <c r="AN68" i="7"/>
  <c r="AO68" i="7"/>
  <c r="AF69" i="7"/>
  <c r="AG69" i="7"/>
  <c r="AH69" i="7"/>
  <c r="AI69" i="7"/>
  <c r="AJ69" i="7"/>
  <c r="AL69" i="7"/>
  <c r="AM69" i="7"/>
  <c r="AN69" i="7"/>
  <c r="AF70" i="7"/>
  <c r="AH70" i="7"/>
  <c r="AI70" i="7"/>
  <c r="AJ70" i="7"/>
  <c r="AM70" i="7"/>
  <c r="AN70" i="7"/>
  <c r="AO70" i="7"/>
  <c r="AF71" i="7"/>
  <c r="AG71" i="7"/>
  <c r="AH71" i="7"/>
  <c r="AJ71" i="7"/>
  <c r="AK71" i="7"/>
  <c r="AL71" i="7"/>
  <c r="AM71" i="7"/>
  <c r="AN71" i="7"/>
  <c r="AO71" i="7"/>
  <c r="AF73" i="7"/>
  <c r="AG73" i="7"/>
  <c r="AH73" i="7"/>
  <c r="AI73" i="7"/>
  <c r="AJ73" i="7"/>
  <c r="AK73" i="7"/>
  <c r="AL73" i="7"/>
  <c r="AM73" i="7"/>
  <c r="AN73" i="7"/>
  <c r="AO73" i="7"/>
  <c r="AF74" i="7"/>
  <c r="AG74" i="7"/>
  <c r="AH74" i="7"/>
  <c r="AI74" i="7"/>
  <c r="AJ74" i="7"/>
  <c r="AK74" i="7"/>
  <c r="AL74" i="7"/>
  <c r="AM74" i="7"/>
  <c r="AN74" i="7"/>
  <c r="AO74" i="7"/>
  <c r="AG75" i="7"/>
  <c r="AH75" i="7"/>
  <c r="AI75" i="7"/>
  <c r="AJ75" i="7"/>
  <c r="AK75" i="7"/>
  <c r="AL75" i="7"/>
  <c r="AM75" i="7"/>
  <c r="AN75" i="7"/>
  <c r="AO75" i="7"/>
  <c r="AF76" i="7"/>
  <c r="AG76" i="7"/>
  <c r="AH76" i="7"/>
  <c r="AI76" i="7"/>
  <c r="AJ76" i="7"/>
  <c r="AL76" i="7"/>
  <c r="AM76" i="7"/>
  <c r="AN76" i="7"/>
  <c r="AO76" i="7"/>
  <c r="AF77" i="7"/>
  <c r="AP77" i="7" s="1"/>
  <c r="AG77" i="7"/>
  <c r="AH77" i="7"/>
  <c r="AJ77" i="7"/>
  <c r="AK77" i="7"/>
  <c r="AL77" i="7"/>
  <c r="AM77" i="7"/>
  <c r="AO77" i="7"/>
  <c r="AG78" i="7"/>
  <c r="AH78" i="7"/>
  <c r="AI78" i="7"/>
  <c r="AJ78" i="7"/>
  <c r="AK78" i="7"/>
  <c r="AL78" i="7"/>
  <c r="AM78" i="7"/>
  <c r="AN78" i="7"/>
  <c r="AO78" i="7"/>
  <c r="AP78" i="7" s="1"/>
  <c r="AG79" i="7"/>
  <c r="AP79" i="7" s="1"/>
  <c r="AH79" i="7"/>
  <c r="AI79" i="7"/>
  <c r="AJ79" i="7"/>
  <c r="AN79" i="7"/>
  <c r="AO79" i="7"/>
  <c r="AF80" i="7"/>
  <c r="AP80" i="7" s="1"/>
  <c r="AG80" i="7"/>
  <c r="AH80" i="7"/>
  <c r="AI80" i="7"/>
  <c r="AJ80" i="7"/>
  <c r="AL80" i="7"/>
  <c r="AM80" i="7"/>
  <c r="AN80" i="7"/>
  <c r="AO80" i="7"/>
  <c r="AF81" i="7"/>
  <c r="AP81" i="7" s="1"/>
  <c r="AG81" i="7"/>
  <c r="AH81" i="7"/>
  <c r="AI81" i="7"/>
  <c r="AJ81" i="7"/>
  <c r="AL81" i="7"/>
  <c r="AM81" i="7"/>
  <c r="AN81" i="7"/>
  <c r="AO81" i="7"/>
  <c r="AF82" i="7"/>
  <c r="AP82" i="7" s="1"/>
  <c r="AG82" i="7"/>
  <c r="AH82" i="7"/>
  <c r="AG83" i="7"/>
  <c r="AP83" i="7" s="1"/>
  <c r="AH83" i="7"/>
  <c r="AI83" i="7"/>
  <c r="AJ83" i="7"/>
  <c r="AK83" i="7"/>
  <c r="AL83" i="7"/>
  <c r="AM83" i="7"/>
  <c r="AN83" i="7"/>
  <c r="AO83" i="7"/>
  <c r="AF84" i="7"/>
  <c r="AP84" i="7" s="1"/>
  <c r="AG84" i="7"/>
  <c r="AH84" i="7"/>
  <c r="AI84" i="7"/>
  <c r="AJ84" i="7"/>
  <c r="AM84" i="7"/>
  <c r="AN84" i="7"/>
  <c r="AO84" i="7"/>
  <c r="AF85" i="7"/>
  <c r="AP85" i="7" s="1"/>
  <c r="AG85" i="7"/>
  <c r="AH85" i="7"/>
  <c r="AI85" i="7"/>
  <c r="AK85" i="7"/>
  <c r="AL85" i="7"/>
  <c r="AN85" i="7"/>
  <c r="AO85" i="7"/>
  <c r="AF86" i="7"/>
  <c r="AP86" i="7" s="1"/>
  <c r="AG86" i="7"/>
  <c r="AH86" i="7"/>
  <c r="AI86" i="7"/>
  <c r="AJ86" i="7"/>
  <c r="AO86" i="7"/>
  <c r="AH87" i="7"/>
  <c r="AP87" i="7" s="1"/>
  <c r="AI87" i="7"/>
  <c r="AJ87" i="7"/>
  <c r="AO87" i="7"/>
  <c r="AH88" i="7"/>
  <c r="AI88" i="7"/>
  <c r="AJ88" i="7"/>
  <c r="AO88" i="7"/>
  <c r="AF89" i="7"/>
  <c r="AG89" i="7"/>
  <c r="AH89" i="7"/>
  <c r="AI89" i="7"/>
  <c r="AM89" i="7"/>
  <c r="AN89" i="7"/>
  <c r="AG3" i="7"/>
  <c r="AH3" i="7"/>
  <c r="AF3" i="7"/>
  <c r="AP88" i="7"/>
  <c r="AP89" i="7"/>
  <c r="N87" i="8" l="1"/>
  <c r="N87" i="7"/>
  <c r="N86" i="8"/>
  <c r="N86" i="7"/>
  <c r="C95" i="7"/>
  <c r="C95" i="8"/>
  <c r="D95" i="7"/>
  <c r="D95" i="8"/>
  <c r="E95" i="7"/>
  <c r="E95" i="8"/>
  <c r="F95" i="7"/>
  <c r="F95" i="8"/>
  <c r="G95" i="7"/>
  <c r="G95" i="8"/>
  <c r="H95" i="7"/>
  <c r="H95" i="8"/>
  <c r="I95" i="7"/>
  <c r="I95" i="8"/>
  <c r="J95" i="7"/>
  <c r="J95" i="8"/>
  <c r="K95" i="7"/>
  <c r="K95" i="8"/>
  <c r="B95" i="8"/>
  <c r="B95" i="7"/>
  <c r="AP5" i="7"/>
  <c r="AP6" i="7"/>
  <c r="AP4" i="7"/>
  <c r="AP27" i="7"/>
  <c r="AP29" i="7"/>
  <c r="AP30" i="7"/>
  <c r="AP31" i="7"/>
  <c r="AP38" i="7"/>
  <c r="AP44" i="7"/>
  <c r="AP46" i="7"/>
  <c r="AP48" i="7"/>
  <c r="AP49" i="7"/>
  <c r="AP57" i="7"/>
  <c r="AP58" i="7"/>
  <c r="AP59" i="7"/>
  <c r="AP60" i="7"/>
  <c r="AP61" i="7"/>
  <c r="AP62" i="7"/>
  <c r="AP63" i="7"/>
  <c r="AP64" i="7"/>
  <c r="AP65" i="7"/>
  <c r="AP66" i="7"/>
  <c r="AP67" i="7"/>
  <c r="AP68" i="7"/>
  <c r="AP69" i="7"/>
  <c r="AP70" i="7"/>
  <c r="AP71" i="7"/>
  <c r="AP73" i="7"/>
  <c r="AP74" i="7"/>
  <c r="AP75" i="7"/>
  <c r="AP9" i="7"/>
  <c r="AP24" i="7"/>
  <c r="AP26" i="7"/>
  <c r="AP34" i="7"/>
  <c r="AP35" i="7"/>
  <c r="AP39" i="7"/>
  <c r="AP41" i="7"/>
  <c r="AP43" i="7"/>
  <c r="AP45" i="7"/>
  <c r="AP47" i="7"/>
  <c r="AP54" i="7"/>
  <c r="AP8" i="7"/>
  <c r="AP25" i="7"/>
  <c r="AP53" i="7"/>
  <c r="AP56" i="7"/>
  <c r="AP7" i="7"/>
  <c r="AP28" i="7"/>
  <c r="AP32" i="7"/>
  <c r="AP33" i="7"/>
  <c r="AP36" i="7"/>
  <c r="AP40" i="7"/>
  <c r="AP42" i="7"/>
  <c r="AP51" i="7"/>
  <c r="AH91" i="7"/>
  <c r="AP10" i="7"/>
  <c r="AP14" i="7"/>
  <c r="AG91" i="7"/>
  <c r="AF91" i="7"/>
  <c r="AP11" i="7"/>
  <c r="AP76" i="7"/>
  <c r="AP12" i="7"/>
  <c r="AP13" i="7"/>
  <c r="AP15" i="7"/>
  <c r="AP16" i="7"/>
  <c r="AP17" i="7"/>
  <c r="AP18" i="7"/>
  <c r="AP19" i="7"/>
  <c r="AP21" i="7"/>
  <c r="AP22" i="7"/>
  <c r="AP23" i="7"/>
  <c r="AI91" i="7"/>
  <c r="AM91" i="7"/>
  <c r="AN91" i="7"/>
  <c r="AJ91" i="7"/>
  <c r="AK91" i="7"/>
  <c r="AO91" i="7"/>
  <c r="AL91" i="7"/>
  <c r="AG90" i="7"/>
  <c r="AH90" i="7"/>
  <c r="AP3" i="7"/>
  <c r="AF90" i="7"/>
</calcChain>
</file>

<file path=xl/sharedStrings.xml><?xml version="1.0" encoding="utf-8"?>
<sst xmlns="http://schemas.openxmlformats.org/spreadsheetml/2006/main" count="3172" uniqueCount="399">
  <si>
    <t>UKYT-25-001</t>
  </si>
  <si>
    <t>UKYT-25-002</t>
  </si>
  <si>
    <t>UKYT-25-003</t>
  </si>
  <si>
    <t>UKYT-25-004</t>
  </si>
  <si>
    <t>UKYT-25-005</t>
  </si>
  <si>
    <t>UKYT-25-006</t>
  </si>
  <si>
    <t>UKYT-25-007</t>
  </si>
  <si>
    <t>UKYT-25-008</t>
  </si>
  <si>
    <t>UKYT-25-009</t>
  </si>
  <si>
    <t>UKYT-25-010</t>
  </si>
  <si>
    <t>UKYT-25-011</t>
  </si>
  <si>
    <t>UKYT-25-012</t>
  </si>
  <si>
    <t>UKYT-25-013</t>
  </si>
  <si>
    <t>UKYT-25-014</t>
  </si>
  <si>
    <t>UKYT-25-015</t>
  </si>
  <si>
    <t>UKYT-25-016</t>
  </si>
  <si>
    <t>UKYT-25-017</t>
  </si>
  <si>
    <t>UKYT-26-001</t>
  </si>
  <si>
    <t>UKYT-26-006</t>
  </si>
  <si>
    <t>UKYT-26-011</t>
  </si>
  <si>
    <t>UKYT-26-012</t>
  </si>
  <si>
    <t>UKYT-26-013</t>
  </si>
  <si>
    <t>UKYT-26-014</t>
  </si>
  <si>
    <t>UKYT-26-015</t>
  </si>
  <si>
    <t>UKYT-26-016</t>
  </si>
  <si>
    <t>UKYT-26-017</t>
  </si>
  <si>
    <t>UKYT-26-018</t>
  </si>
  <si>
    <t>UKYT-26-019</t>
  </si>
  <si>
    <t>UKYT-26-020</t>
  </si>
  <si>
    <t>UKYT-26-021</t>
  </si>
  <si>
    <t>UKYT-26-022</t>
  </si>
  <si>
    <t>UKYT-26-023</t>
  </si>
  <si>
    <t>UKYT-26-024</t>
  </si>
  <si>
    <t>UKYT-26-025</t>
  </si>
  <si>
    <t>UKYT-26-026</t>
  </si>
  <si>
    <t>UKYT-26-027</t>
  </si>
  <si>
    <t>UKYT-26-028</t>
  </si>
  <si>
    <t>UKYT-26-029</t>
  </si>
  <si>
    <t>UKYT-26-030</t>
  </si>
  <si>
    <t>UKYT-26-031</t>
  </si>
  <si>
    <t>UKYT-26-032</t>
  </si>
  <si>
    <t>UKYT-26-033</t>
  </si>
  <si>
    <t>UKYT-26-034</t>
  </si>
  <si>
    <t>UKYT-26-035</t>
  </si>
  <si>
    <t>UKYT-26-036</t>
  </si>
  <si>
    <t>UKYT-26-037</t>
  </si>
  <si>
    <t>UKYT-26-038</t>
  </si>
  <si>
    <t>UKYT-26-039</t>
  </si>
  <si>
    <t>Mountain fresh plus</t>
  </si>
  <si>
    <t>EN</t>
  </si>
  <si>
    <t>Cherokee Purple</t>
  </si>
  <si>
    <t>Note</t>
  </si>
  <si>
    <t>Breeding Trial</t>
  </si>
  <si>
    <t>NC 25202G</t>
  </si>
  <si>
    <t>NC 25203G</t>
  </si>
  <si>
    <t>NC 25205G</t>
  </si>
  <si>
    <t>NC 25207G</t>
  </si>
  <si>
    <t>NC 25208G</t>
  </si>
  <si>
    <t>NC 25209G</t>
  </si>
  <si>
    <t>NC 25210G</t>
  </si>
  <si>
    <t>NC 25212G</t>
  </si>
  <si>
    <t>NC 25217G</t>
  </si>
  <si>
    <t>NC 25230G</t>
  </si>
  <si>
    <t>NC 25231G</t>
  </si>
  <si>
    <t>NC 25240G</t>
  </si>
  <si>
    <t>NC 25241G</t>
  </si>
  <si>
    <t>NC 24271G</t>
  </si>
  <si>
    <t>NC 252G</t>
  </si>
  <si>
    <t>NC 255G</t>
  </si>
  <si>
    <t>NC 23706G</t>
  </si>
  <si>
    <t>NC 23926G</t>
  </si>
  <si>
    <t>NC 261G</t>
  </si>
  <si>
    <t>NC 262G</t>
  </si>
  <si>
    <t>NC 263G</t>
  </si>
  <si>
    <t>NC 264G</t>
  </si>
  <si>
    <t>NC 25218G</t>
  </si>
  <si>
    <t>NC 25304G</t>
  </si>
  <si>
    <t>NC 25306G</t>
  </si>
  <si>
    <t>NC 25311G</t>
  </si>
  <si>
    <t>NC 25313G</t>
  </si>
  <si>
    <t>NC 25315G</t>
  </si>
  <si>
    <t>NC 25317G</t>
  </si>
  <si>
    <t>Hybrid evaluation</t>
  </si>
  <si>
    <t>Mountain Magic</t>
  </si>
  <si>
    <t>Mountain Girl</t>
  </si>
  <si>
    <t>Mountain Heritage</t>
  </si>
  <si>
    <t>Mountain Gem</t>
  </si>
  <si>
    <t>Plant number in field</t>
  </si>
  <si>
    <t>Indeterminate</t>
  </si>
  <si>
    <t>Determinate</t>
  </si>
  <si>
    <t>Growth habit</t>
  </si>
  <si>
    <t>Type</t>
  </si>
  <si>
    <t>grape tomato</t>
  </si>
  <si>
    <t>Color</t>
  </si>
  <si>
    <t>red</t>
  </si>
  <si>
    <t>medium fruit size with blocky shape</t>
  </si>
  <si>
    <t>resistance to bacterial wilt, fusarium wilt and root knot nematode</t>
  </si>
  <si>
    <t>resistance to late blight, TMV and fusarium</t>
  </si>
  <si>
    <t>large tomatoes</t>
  </si>
  <si>
    <t>purple</t>
  </si>
  <si>
    <t>pink</t>
  </si>
  <si>
    <t>red with yellow stripes</t>
  </si>
  <si>
    <t>tangerine</t>
  </si>
  <si>
    <t>supposedly resistance to late blight, some have root knot nematode resistance, fusarium wilt,  verticillium wilt and tomato mosaic virus resistance (need to be tested for other disease markers)</t>
  </si>
  <si>
    <t>Entries/Lines</t>
  </si>
  <si>
    <t>Need to be tested for disease markers</t>
  </si>
  <si>
    <t>Other notes</t>
  </si>
  <si>
    <t>Tomato breeding line evaluation trial Princeton Center 2026 summer</t>
  </si>
  <si>
    <t>L/I</t>
  </si>
  <si>
    <t>Fruit/Habit</t>
  </si>
  <si>
    <t>GR/I</t>
  </si>
  <si>
    <t>L/D</t>
  </si>
  <si>
    <t>Mountain Fresh Plus</t>
  </si>
  <si>
    <t>MB/SD</t>
  </si>
  <si>
    <t>GL/I</t>
  </si>
  <si>
    <t>Row 1</t>
  </si>
  <si>
    <t>Row 2</t>
  </si>
  <si>
    <t>Row 3</t>
  </si>
  <si>
    <t>Row 4</t>
  </si>
  <si>
    <t>Row 5</t>
  </si>
  <si>
    <t>68 plants</t>
  </si>
  <si>
    <t>64 plants</t>
  </si>
  <si>
    <t>102 feet long</t>
  </si>
  <si>
    <t>96 feet long</t>
  </si>
  <si>
    <t>Hybrid Evaluation</t>
  </si>
  <si>
    <t>GR</t>
  </si>
  <si>
    <t>Grape fruit type</t>
  </si>
  <si>
    <t>7-ft center-to-center rows</t>
  </si>
  <si>
    <t>332 plants total</t>
  </si>
  <si>
    <t>↑</t>
  </si>
  <si>
    <t>GL</t>
  </si>
  <si>
    <t>Globe fruit shape</t>
  </si>
  <si>
    <t>18-in plant spacing</t>
  </si>
  <si>
    <t>10 metal end posts</t>
  </si>
  <si>
    <t>North</t>
  </si>
  <si>
    <t>MB</t>
  </si>
  <si>
    <t>Medium size, blocky fruit shape</t>
  </si>
  <si>
    <t>I</t>
  </si>
  <si>
    <t>2856 sq. ft. total area</t>
  </si>
  <si>
    <t>SD</t>
  </si>
  <si>
    <t>Semi-determinate</t>
  </si>
  <si>
    <t>D</t>
  </si>
  <si>
    <t>83 lines</t>
  </si>
  <si>
    <t>161 treated 6-ft stakes</t>
  </si>
  <si>
    <t>Planted and 1 cup of 12-48-8 starter fertilizer per plant (1.25 lb in 25 gallon = 5 lb/100)</t>
  </si>
  <si>
    <t>resistance to late blight and possibly other diseases (need to be tested for markers)</t>
  </si>
  <si>
    <t>UKYT-26-001, NC25207G, &amp; NC25240G have only 3 plants due to poor germination</t>
  </si>
  <si>
    <t>36-ft total plot width</t>
  </si>
  <si>
    <t>0.084 acres</t>
  </si>
  <si>
    <t>0.091 acres with 110-ft plastic</t>
  </si>
  <si>
    <t>0.091 acre plot area = 5 rows 110-ft long = 660-ft / 43,560 or (36-ft x 110-ft = 3960 sq. ft.)</t>
  </si>
  <si>
    <t>Last weeks fertilizer dose missed due to soil saturation</t>
  </si>
  <si>
    <t>First stringing and pruning/suckering at base of plants</t>
  </si>
  <si>
    <t>Fertilized with double rate, 8.8 lb (4 kg) of calcium nitrate (15.5-0-0)</t>
  </si>
  <si>
    <t>Fertilized with weekly rate, 4.4 lb (2 kg) of calcium nitrate (15.5-0-0)</t>
  </si>
  <si>
    <t>Summer Trial</t>
  </si>
  <si>
    <t>UKYT-26-017, UKYT-26-028, &amp; UKYT-25-016 had 1 plant break off at base during first stringing</t>
  </si>
  <si>
    <t>1 undersize plant each: UKYT-25-016, UKYT-26-025, UKYT-26-033, UKYT-26-001, NC2541G, NC25230G, NC25217G, NC23926G</t>
  </si>
  <si>
    <t>Same plants in UKYT-26-025, NC25241G, NC25217G, NC23926G have foliar disease/distortion?</t>
  </si>
  <si>
    <t>UKYT-26-001 has 1 undersized plant &amp; 1 with foliar disease/distortion?</t>
  </si>
  <si>
    <t>Pruning/suckering at base of plants on three rows</t>
  </si>
  <si>
    <t>Pruning/suckering at base of plants on two rows and second stringing all rows</t>
  </si>
  <si>
    <t>Third stringing of canopy along all rows</t>
  </si>
  <si>
    <t>Fourth stringing of canopy along all rows</t>
  </si>
  <si>
    <t>Row</t>
  </si>
  <si>
    <t>Harvest Date:</t>
  </si>
  <si>
    <t>Marketable</t>
  </si>
  <si>
    <t>Cull</t>
  </si>
  <si>
    <t>Entry/Line</t>
  </si>
  <si>
    <t>Fruit #</t>
  </si>
  <si>
    <t>Weight</t>
  </si>
  <si>
    <t>Entry/Line Notes:</t>
  </si>
  <si>
    <t>UKREC Tomato Advanced Breeding Line Trial - May 14, 2026 Planting</t>
  </si>
  <si>
    <t>yellow, red bicolor</t>
  </si>
  <si>
    <r>
      <t>Double rate not used during harvest, due to risk of calcium goint to excess growth (</t>
    </r>
    <r>
      <rPr>
        <sz val="12"/>
        <color theme="1"/>
        <rFont val="Aptos Narrow"/>
        <family val="2"/>
      </rPr>
      <t>↑ blossom end rot)</t>
    </r>
  </si>
  <si>
    <r>
      <rPr>
        <b/>
        <sz val="12"/>
        <color theme="1"/>
        <rFont val="Aptos Narrow"/>
        <family val="2"/>
        <scheme val="minor"/>
      </rPr>
      <t>1st harvest</t>
    </r>
    <r>
      <rPr>
        <sz val="12"/>
        <color theme="1"/>
        <rFont val="Aptos Narrow"/>
        <family val="2"/>
        <scheme val="minor"/>
      </rPr>
      <t xml:space="preserve"> from across block, some varieties not yet harvested</t>
    </r>
  </si>
  <si>
    <r>
      <rPr>
        <b/>
        <sz val="12"/>
        <color theme="1"/>
        <rFont val="Aptos Narrow"/>
        <family val="2"/>
        <scheme val="minor"/>
      </rPr>
      <t>2nd harvest</t>
    </r>
    <r>
      <rPr>
        <sz val="12"/>
        <color theme="1"/>
        <rFont val="Aptos Narrow"/>
        <family val="2"/>
        <scheme val="minor"/>
      </rPr>
      <t xml:space="preserve"> from across block, some varieties not yet harvested</t>
    </r>
  </si>
  <si>
    <t>Fall Trial - no disease management</t>
  </si>
  <si>
    <t>Planted and irrigated immediately to saturate soil and reduce wilting</t>
  </si>
  <si>
    <t>Expected first harvest on 9/21 and second harvest on 9/29</t>
  </si>
  <si>
    <t>purple with green stripes</t>
  </si>
  <si>
    <t>orange</t>
  </si>
  <si>
    <t>yellow with green stripes</t>
  </si>
  <si>
    <t>yellow</t>
  </si>
  <si>
    <t>red with green stripes</t>
  </si>
  <si>
    <t>orange with green stripes</t>
  </si>
  <si>
    <t>medium size fruit</t>
  </si>
  <si>
    <t>cocktail</t>
  </si>
  <si>
    <t>green</t>
  </si>
  <si>
    <t>Fifth stringing of canopy along all rows</t>
  </si>
  <si>
    <r>
      <rPr>
        <b/>
        <sz val="12"/>
        <color theme="1"/>
        <rFont val="Aptos Narrow"/>
        <family val="2"/>
        <scheme val="minor"/>
      </rPr>
      <t>3rd harvest</t>
    </r>
    <r>
      <rPr>
        <sz val="12"/>
        <color theme="1"/>
        <rFont val="Aptos Narrow"/>
        <family val="2"/>
        <scheme val="minor"/>
      </rPr>
      <t xml:space="preserve"> from across block, all varieties harvested</t>
    </r>
  </si>
  <si>
    <t>Sixth stringing of canopy along all rows</t>
  </si>
  <si>
    <t>Applied 1 cup of 12-48-8 starter fertilizer per plant (1.25 lb in 25 gallon = 5 lb/100)</t>
  </si>
  <si>
    <r>
      <rPr>
        <sz val="12"/>
        <color rgb="FFFF0000"/>
        <rFont val="Aptos Narrow"/>
        <family val="2"/>
        <scheme val="minor"/>
      </rPr>
      <t>Sprayed</t>
    </r>
    <r>
      <rPr>
        <sz val="12"/>
        <color theme="1"/>
        <rFont val="Aptos Narrow"/>
        <family val="2"/>
        <scheme val="minor"/>
      </rPr>
      <t xml:space="preserve"> 4 oz (2.75 lb/A) Manzate Pro Stick, 2 fl oz (22 fl oz/A) Fontelis, and 5 fl oz (1.72 qt/A) Sevin XLR Plus</t>
    </r>
  </si>
  <si>
    <r>
      <rPr>
        <sz val="12"/>
        <color rgb="FFFF0000"/>
        <rFont val="Aptos Narrow"/>
        <family val="2"/>
        <scheme val="minor"/>
      </rPr>
      <t>Sprayed</t>
    </r>
    <r>
      <rPr>
        <sz val="12"/>
        <color theme="1"/>
        <rFont val="Aptos Narrow"/>
        <family val="2"/>
        <scheme val="minor"/>
      </rPr>
      <t xml:space="preserve"> 4 oz (2.75 lb/A) Manzate Pro Stick, 0.5 fl oz (5.5 fl oz/A) Quadris Flowable, &amp; 1 fl oz Danitol (10.67 fl oz/A)</t>
    </r>
  </si>
  <si>
    <r>
      <rPr>
        <sz val="12"/>
        <color rgb="FFFF0000"/>
        <rFont val="Aptos Narrow"/>
        <family val="2"/>
        <scheme val="minor"/>
      </rPr>
      <t>Sprayed</t>
    </r>
    <r>
      <rPr>
        <sz val="12"/>
        <color theme="1"/>
        <rFont val="Aptos Narrow"/>
        <family val="2"/>
        <scheme val="minor"/>
      </rPr>
      <t xml:space="preserve"> 4 oz (2.75 lb/A) Manzate Pro Stick and 0.5 fl oz (5.5 fl oz/A) Quadris Flowable</t>
    </r>
  </si>
  <si>
    <r>
      <rPr>
        <sz val="12"/>
        <color rgb="FFFF0000"/>
        <rFont val="Aptos Narrow"/>
        <family val="2"/>
        <scheme val="minor"/>
      </rPr>
      <t>Sprayed</t>
    </r>
    <r>
      <rPr>
        <sz val="12"/>
        <color theme="1"/>
        <rFont val="Aptos Narrow"/>
        <family val="2"/>
        <scheme val="minor"/>
      </rPr>
      <t xml:space="preserve"> with of 4 oz Manzate Pro Stick and Cuprofix Ultra Disperse (=2.75 lb/A each)</t>
    </r>
  </si>
  <si>
    <r>
      <rPr>
        <sz val="12"/>
        <color rgb="FFFF0000"/>
        <rFont val="Aptos Narrow"/>
        <family val="2"/>
        <scheme val="minor"/>
      </rPr>
      <t>Sprayed</t>
    </r>
    <r>
      <rPr>
        <sz val="12"/>
        <color theme="1"/>
        <rFont val="Aptos Narrow"/>
        <family val="2"/>
        <scheme val="minor"/>
      </rPr>
      <t xml:space="preserve"> 4 oz Cuprofix Ultra Disperse (2.75 lb/A), 2.5 oz (1.7 lb/A) Dipel DF, &amp; 3 fl oz (2 pt/A) Initiate 720</t>
    </r>
  </si>
  <si>
    <r>
      <rPr>
        <sz val="12"/>
        <color rgb="FFFF0000"/>
        <rFont val="Aptos Narrow"/>
        <family val="2"/>
        <scheme val="minor"/>
      </rPr>
      <t>Sprayed</t>
    </r>
    <r>
      <rPr>
        <sz val="12"/>
        <color theme="1"/>
        <rFont val="Aptos Narrow"/>
        <family val="2"/>
        <scheme val="minor"/>
      </rPr>
      <t xml:space="preserve"> 4 oz Cuprofix (2.75 lb/A), 2 fl oz (22 fl oz/A) Fontelis, &amp; 5 fl oz Sevin XLR Plus</t>
    </r>
  </si>
  <si>
    <r>
      <rPr>
        <sz val="12"/>
        <color rgb="FFFF0000"/>
        <rFont val="Aptos Narrow"/>
        <family val="2"/>
        <scheme val="minor"/>
      </rPr>
      <t>Sprayed</t>
    </r>
    <r>
      <rPr>
        <sz val="12"/>
        <color theme="1"/>
        <rFont val="Aptos Narrow"/>
        <family val="2"/>
        <scheme val="minor"/>
      </rPr>
      <t xml:space="preserve"> 4 oz Cuprofix (2.75 lb/A), 3 fl oz (2 pt/A) Initiate 720, &amp; 1 fl oz (11 fl oz/A) Danitol</t>
    </r>
  </si>
  <si>
    <r>
      <rPr>
        <b/>
        <sz val="12"/>
        <color theme="1"/>
        <rFont val="Aptos Narrow"/>
        <family val="2"/>
        <scheme val="minor"/>
      </rPr>
      <t>4th harvest</t>
    </r>
    <r>
      <rPr>
        <sz val="12"/>
        <color theme="1"/>
        <rFont val="Aptos Narrow"/>
        <family val="2"/>
        <scheme val="minor"/>
      </rPr>
      <t xml:space="preserve"> from across block, all varieties harvested</t>
    </r>
  </si>
  <si>
    <r>
      <rPr>
        <b/>
        <sz val="12"/>
        <color theme="1"/>
        <rFont val="Aptos Narrow"/>
        <family val="2"/>
        <scheme val="minor"/>
      </rPr>
      <t>5th harvest</t>
    </r>
    <r>
      <rPr>
        <sz val="12"/>
        <color theme="1"/>
        <rFont val="Aptos Narrow"/>
        <family val="2"/>
        <scheme val="minor"/>
      </rPr>
      <t xml:space="preserve"> from rows 1 through 3</t>
    </r>
  </si>
  <si>
    <r>
      <rPr>
        <b/>
        <sz val="12"/>
        <color theme="1"/>
        <rFont val="Aptos Narrow"/>
        <family val="2"/>
        <scheme val="minor"/>
      </rPr>
      <t>5th harvest</t>
    </r>
    <r>
      <rPr>
        <sz val="12"/>
        <color theme="1"/>
        <rFont val="Aptos Narrow"/>
        <family val="2"/>
        <scheme val="minor"/>
      </rPr>
      <t xml:space="preserve"> from rows 4 and 5</t>
    </r>
  </si>
  <si>
    <t>Second stringing and pruning/suckering at base of plants</t>
  </si>
  <si>
    <r>
      <rPr>
        <sz val="12"/>
        <color rgb="FFFF0000"/>
        <rFont val="Aptos Narrow"/>
        <family val="2"/>
        <scheme val="minor"/>
      </rPr>
      <t xml:space="preserve">Sprayed </t>
    </r>
    <r>
      <rPr>
        <sz val="12"/>
        <color theme="1"/>
        <rFont val="Aptos Narrow"/>
        <family val="2"/>
        <scheme val="minor"/>
      </rPr>
      <t>2.5 oz (1.7 lb/A) Dipel DF for tomato fruitworm</t>
    </r>
  </si>
  <si>
    <r>
      <rPr>
        <sz val="12"/>
        <color rgb="FFFF0000"/>
        <rFont val="Aptos Narrow"/>
        <family val="2"/>
        <scheme val="minor"/>
      </rPr>
      <t>Sprayed</t>
    </r>
    <r>
      <rPr>
        <sz val="12"/>
        <color theme="1"/>
        <rFont val="Aptos Narrow"/>
        <family val="2"/>
        <scheme val="minor"/>
      </rPr>
      <t xml:space="preserve"> 4 oz Cuprofix (2.75 lb/A), 2 fl oz (22 fl oz/A) Fontelis, 5 fl oz Sevin , &amp; 8 ml Macho (whiteflies)</t>
    </r>
  </si>
  <si>
    <r>
      <rPr>
        <sz val="12"/>
        <color rgb="FFFF0000"/>
        <rFont val="Aptos Narrow"/>
        <family val="2"/>
        <scheme val="minor"/>
      </rPr>
      <t>Sprayed</t>
    </r>
    <r>
      <rPr>
        <sz val="12"/>
        <color theme="1"/>
        <rFont val="Aptos Narrow"/>
        <family val="2"/>
        <scheme val="minor"/>
      </rPr>
      <t xml:space="preserve"> 4 oz Cuprofix (2.75 lb/A), 2.5 oz (1.7 lb/A) Dipel; 3 fl oz (2 pt/A) Initiate, &amp; 2 fl oz (1.5 pt/A) Malathion (whiteflies)</t>
    </r>
  </si>
  <si>
    <t>5-day heat 7/17-21 (90.2-93.7°F H,73.0-76.2°F L) caused flower abortion</t>
  </si>
  <si>
    <r>
      <t>5-day heat 7/1-5 (90.2-95.8</t>
    </r>
    <r>
      <rPr>
        <sz val="12"/>
        <color theme="1"/>
        <rFont val="Aptos Narrow"/>
        <family val="2"/>
      </rPr>
      <t>°F</t>
    </r>
    <r>
      <rPr>
        <sz val="12"/>
        <color theme="1"/>
        <rFont val="Aptos Narrow"/>
        <family val="2"/>
        <scheme val="minor"/>
      </rPr>
      <t xml:space="preserve"> H, 68.9-74.4</t>
    </r>
    <r>
      <rPr>
        <sz val="12"/>
        <color theme="1"/>
        <rFont val="Aptos Narrow"/>
        <family val="2"/>
      </rPr>
      <t>°F L) caused flower abortion</t>
    </r>
  </si>
  <si>
    <t>Fertilized with weekly rate, 4.4 lb (2 kg) of potassium nitrate (13-0-44)</t>
  </si>
  <si>
    <t>Third stringing and pruning/suckering at base of plants</t>
  </si>
  <si>
    <r>
      <rPr>
        <sz val="12"/>
        <color rgb="FFFF0000"/>
        <rFont val="Aptos Narrow"/>
        <family val="2"/>
        <scheme val="minor"/>
      </rPr>
      <t>Sprayed</t>
    </r>
    <r>
      <rPr>
        <sz val="12"/>
        <color theme="1"/>
        <rFont val="Aptos Narrow"/>
        <family val="2"/>
        <scheme val="minor"/>
      </rPr>
      <t xml:space="preserve"> 4 oz Cuprofix (2.75 lb/A), 2 fl oz (22 fl oz/A) Fontelis, &amp; 5 fl oz Sevin</t>
    </r>
  </si>
  <si>
    <r>
      <rPr>
        <sz val="12"/>
        <color rgb="FFFF0000"/>
        <rFont val="Aptos Narrow"/>
        <family val="2"/>
        <scheme val="minor"/>
      </rPr>
      <t xml:space="preserve">Sprayed </t>
    </r>
    <r>
      <rPr>
        <sz val="12"/>
        <color theme="1"/>
        <rFont val="Aptos Narrow"/>
        <family val="2"/>
        <scheme val="minor"/>
      </rPr>
      <t>5 fl. oz. (3.4 pt/A) Sevin for tomato fruitworm</t>
    </r>
  </si>
  <si>
    <r>
      <rPr>
        <sz val="12"/>
        <color rgb="FFFF0000"/>
        <rFont val="Aptos Narrow"/>
        <family val="2"/>
        <scheme val="minor"/>
      </rPr>
      <t>Sprayed</t>
    </r>
    <r>
      <rPr>
        <sz val="12"/>
        <color theme="1"/>
        <rFont val="Aptos Narrow"/>
        <family val="2"/>
        <scheme val="minor"/>
      </rPr>
      <t xml:space="preserve"> 4 oz Cuprofix (2.75 lb/A), 2.5 oz (1.7 lb/A) Dipel; 3 fl oz (2 pt/A) Initiate, &amp; 13.5 ml (5 fl oz/A) Macho (spider mites)</t>
    </r>
  </si>
  <si>
    <r>
      <rPr>
        <sz val="12"/>
        <color rgb="FFFF0000"/>
        <rFont val="Aptos Narrow"/>
        <family val="2"/>
        <scheme val="minor"/>
      </rPr>
      <t>Sprayed</t>
    </r>
    <r>
      <rPr>
        <sz val="12"/>
        <color theme="1"/>
        <rFont val="Aptos Narrow"/>
        <family val="2"/>
        <scheme val="minor"/>
      </rPr>
      <t xml:space="preserve"> 2.5 oz (1.7 lb/A) Dipel &amp; 13.5 ml (5 fl oz/A) Macho (spider mites)</t>
    </r>
  </si>
  <si>
    <r>
      <rPr>
        <b/>
        <sz val="12"/>
        <color theme="1"/>
        <rFont val="Aptos Narrow"/>
        <family val="2"/>
        <scheme val="minor"/>
      </rPr>
      <t>6th harvest</t>
    </r>
    <r>
      <rPr>
        <sz val="12"/>
        <color theme="1"/>
        <rFont val="Aptos Narrow"/>
        <family val="2"/>
        <scheme val="minor"/>
      </rPr>
      <t xml:space="preserve"> from across block, all varieties harvested</t>
    </r>
  </si>
  <si>
    <r>
      <rPr>
        <b/>
        <sz val="12"/>
        <color theme="1"/>
        <rFont val="Aptos Narrow"/>
        <family val="2"/>
        <scheme val="minor"/>
      </rPr>
      <t>7th harvest</t>
    </r>
    <r>
      <rPr>
        <sz val="12"/>
        <color theme="1"/>
        <rFont val="Aptos Narrow"/>
        <family val="2"/>
        <scheme val="minor"/>
      </rPr>
      <t xml:space="preserve"> from across block, all varieties harvested</t>
    </r>
  </si>
  <si>
    <r>
      <rPr>
        <b/>
        <sz val="12"/>
        <color theme="1"/>
        <rFont val="Aptos Narrow"/>
        <family val="2"/>
        <scheme val="minor"/>
      </rPr>
      <t>8th harvest</t>
    </r>
    <r>
      <rPr>
        <sz val="12"/>
        <color theme="1"/>
        <rFont val="Aptos Narrow"/>
        <family val="2"/>
        <scheme val="minor"/>
      </rPr>
      <t xml:space="preserve"> from across block, all varieties harvested</t>
    </r>
  </si>
  <si>
    <t>7-day heat 8/10-16 (90.0-95.8°F H, 73.6-78.4°F L) caused flower abortion</t>
  </si>
  <si>
    <t>7-day heat 8/31-9/6 (93.7-100.6°F H, 69.4-72.8°F L) caused flower and fruit abortion</t>
  </si>
  <si>
    <t>Summer Notes</t>
  </si>
  <si>
    <t>Fall Notes</t>
  </si>
  <si>
    <t>Harvest 1 (7/14, 61 days from planting)</t>
  </si>
  <si>
    <t>Harvest 2 (7/22, 69 days from planting)</t>
  </si>
  <si>
    <t>Harvest 3 (7/29, 76 days from planting)</t>
  </si>
  <si>
    <t>Harvest 4 (8/7, 85 days from planting)</t>
  </si>
  <si>
    <t>Harvest 5 (8/17, 95 days from planting)</t>
  </si>
  <si>
    <t>Harvest 6 (8/24, 102 days from planting)</t>
  </si>
  <si>
    <t>Harvest 7 (9/1, 110 days from planting)</t>
  </si>
  <si>
    <t>Harvest 8 (9/8, 117 days from planting)</t>
  </si>
  <si>
    <t>.</t>
  </si>
  <si>
    <t>Reasons for Culls</t>
  </si>
  <si>
    <t>rain cracking, sunburn</t>
  </si>
  <si>
    <t>rough skin/rain cracking</t>
  </si>
  <si>
    <t>sun burn</t>
  </si>
  <si>
    <t>rain cracking, sunburn, blossom end rot</t>
  </si>
  <si>
    <t>rain cracking</t>
  </si>
  <si>
    <t>rough skin/rain cracking, blossom end rot</t>
  </si>
  <si>
    <t>rough skin, rain cracking</t>
  </si>
  <si>
    <t>blossom end rot, sun burn, rain cracking</t>
  </si>
  <si>
    <t>rain cracking, mishapen fruit</t>
  </si>
  <si>
    <t>rain cracking, sun burn</t>
  </si>
  <si>
    <t>shoulder cracking</t>
  </si>
  <si>
    <t>shoulder cracking/rain cracking</t>
  </si>
  <si>
    <t>misshapen fruit, rain cracking, blossom end rot</t>
  </si>
  <si>
    <t>shoulder cracking, blossom end rot</t>
  </si>
  <si>
    <t>blossom end rot, misshapen fruit, shoulder cracking</t>
  </si>
  <si>
    <t>cat facing/misshapen fruit, sun burn</t>
  </si>
  <si>
    <t>bacterial spot, speck?</t>
  </si>
  <si>
    <t>misshapen fruit</t>
  </si>
  <si>
    <t>shoulder cracking, misshapen fruit</t>
  </si>
  <si>
    <t>blossom end rot, bacterial spot, speck?</t>
  </si>
  <si>
    <t>rain cracking, bacterial spot, speck?</t>
  </si>
  <si>
    <t>rain cracking, blossom end rot</t>
  </si>
  <si>
    <t>misshapen fruit, blossom end rot, shoulder cracking</t>
  </si>
  <si>
    <t>blossom end rot</t>
  </si>
  <si>
    <t>blossom end rot, misshapen fruit</t>
  </si>
  <si>
    <t>blossom end rot, rain cracking</t>
  </si>
  <si>
    <t>sun burn, bacterial spot, speck?</t>
  </si>
  <si>
    <t>blossom end rot, shoulder cracking, insect damage</t>
  </si>
  <si>
    <t>shouldder cracking, insect damage</t>
  </si>
  <si>
    <t>rain cracking, misshapen fruit, rot</t>
  </si>
  <si>
    <t>Fruit type</t>
  </si>
  <si>
    <t>oval grape</t>
  </si>
  <si>
    <t>egg shaped grape</t>
  </si>
  <si>
    <t>pear</t>
  </si>
  <si>
    <t>slicer</t>
  </si>
  <si>
    <t>puple</t>
  </si>
  <si>
    <t>yellow w/green stripes</t>
  </si>
  <si>
    <t>yelow</t>
  </si>
  <si>
    <t>red w/green stripes</t>
  </si>
  <si>
    <t>orange w/green stripes</t>
  </si>
  <si>
    <t>medium slicer</t>
  </si>
  <si>
    <t>purple w/green stripes</t>
  </si>
  <si>
    <t>red w/yellow stripes</t>
  </si>
  <si>
    <t>paste</t>
  </si>
  <si>
    <t>small slicer</t>
  </si>
  <si>
    <t>yellow streaked red</t>
  </si>
  <si>
    <t>yellow-orange</t>
  </si>
  <si>
    <t>yellow-red bicolor</t>
  </si>
  <si>
    <t>Taste Rating</t>
  </si>
  <si>
    <t>bland but firm, crunchy texture</t>
  </si>
  <si>
    <t>bland, very firm, very tough skin</t>
  </si>
  <si>
    <t>good but could be better</t>
  </si>
  <si>
    <t>balanced acidity but tough skin</t>
  </si>
  <si>
    <t>bland but crunchy, firm texture</t>
  </si>
  <si>
    <t>good, firm, crunchy, but skin is tough</t>
  </si>
  <si>
    <t>more like traditional cherry flavor, tough skin</t>
  </si>
  <si>
    <t>bland, crunch, firm, tough skin</t>
  </si>
  <si>
    <t>only fair flavor, somewhat bland, tough skin</t>
  </si>
  <si>
    <t>first tomato had white core when cut, too tart</t>
  </si>
  <si>
    <t>more like traditional cherry flavor</t>
  </si>
  <si>
    <t>traditional cherry color, reminds of paste tomato flavor</t>
  </si>
  <si>
    <t>balanced but bland flavor, good texture</t>
  </si>
  <si>
    <t>subtle but bland, nondescript flavor</t>
  </si>
  <si>
    <t>nice firmness, good shape, just right amount of juicy</t>
  </si>
  <si>
    <t>first tomato had white core when cut, sweet but bland</t>
  </si>
  <si>
    <t>sweet but bland, no flavor, tough skin</t>
  </si>
  <si>
    <t>first tomato had white core when cut, no flavor, too soft, juicy</t>
  </si>
  <si>
    <t>first tomato had white core when cut, tastes like supermarket tomato</t>
  </si>
  <si>
    <t>balanced sweet-tart, but nondescript tomato flavor</t>
  </si>
  <si>
    <t>standard green tomato flavor</t>
  </si>
  <si>
    <t>good pineapple-like flavor, but could be better</t>
  </si>
  <si>
    <t>first tomato had white core when cut, sweet but bland flavor</t>
  </si>
  <si>
    <t>firm, just right amounty of juicy, store bought flavor</t>
  </si>
  <si>
    <t>firm, cruncy, slightly sweet</t>
  </si>
  <si>
    <t>firm, tough skin, nondescript flavor</t>
  </si>
  <si>
    <t>firm, not too juicy, typical orange tomato flavor</t>
  </si>
  <si>
    <t>classic heirloom flavor</t>
  </si>
  <si>
    <t>bland, store bought tomato flavor</t>
  </si>
  <si>
    <t>mild, not standard purple tomato flavor</t>
  </si>
  <si>
    <t>firm, slightly sweet, bland</t>
  </si>
  <si>
    <t>predominately sweet, nondescript flavor</t>
  </si>
  <si>
    <t>standard orange tomato flavor</t>
  </si>
  <si>
    <t>nondescript yellow tomato flavor</t>
  </si>
  <si>
    <t>bland, poor even for a paste tomato</t>
  </si>
  <si>
    <t>tasteless, store bought tomato flavor</t>
  </si>
  <si>
    <t>bland, good color, juiciness</t>
  </si>
  <si>
    <t>bland, crunchy, firm, tough skin</t>
  </si>
  <si>
    <t>good flavor for pink, soft</t>
  </si>
  <si>
    <t>good, mild purple type flavor, soft</t>
  </si>
  <si>
    <t>bland and too soft</t>
  </si>
  <si>
    <t>fair flavor for a yellow, firm, low juice, tough skin</t>
  </si>
  <si>
    <t>balanced sweet-tart, good color, firmness</t>
  </si>
  <si>
    <t>mild flavor, soft, high juice, slightly tough skin</t>
  </si>
  <si>
    <t>bland, crunchy, tough skin, slight bitter finish</t>
  </si>
  <si>
    <t>typical pink flavor, nice sugar-acid balance</t>
  </si>
  <si>
    <t>bland, slightly tart, slight bitter finish</t>
  </si>
  <si>
    <t>good typical pink flavor, nice and juicy</t>
  </si>
  <si>
    <t>not a lot of taste, tough skin, store-bought flavor</t>
  </si>
  <si>
    <t>good pink flavor, balanced, firm but juicy</t>
  </si>
  <si>
    <t>bland, soft, tough skin, store bought flavor</t>
  </si>
  <si>
    <t>not a lot of taste, but fair because of juiciness</t>
  </si>
  <si>
    <t>bland, juicy but very soft</t>
  </si>
  <si>
    <t>typical pink flavor, mild, just right amount of juice</t>
  </si>
  <si>
    <t>uniform fruit, good color, good red tomato flavor</t>
  </si>
  <si>
    <t>typical pink flavor, balanced sweet-tart</t>
  </si>
  <si>
    <t>nice texture but bland flavor, slightly tart</t>
  </si>
  <si>
    <t>like texture but bland flavor, balanced sweet-tart</t>
  </si>
  <si>
    <t>first tomato had white core when cut, bland flavor</t>
  </si>
  <si>
    <t>interesting citrus flavor dissapears quickly</t>
  </si>
  <si>
    <t>very bland, tough skin, slightly bitter, tart</t>
  </si>
  <si>
    <t>mild purple flavor but unassuming, soft</t>
  </si>
  <si>
    <t>first tomato had white core when cut, nice texture, poor flavor</t>
  </si>
  <si>
    <t>pretty color but very bland flavor</t>
  </si>
  <si>
    <t>bland store bought flavor, mushy, gritty texture, tough skin</t>
  </si>
  <si>
    <t>good texture but no flavor, fair sweet-tart balance</t>
  </si>
  <si>
    <t>bland store bought flavor, slightly gritty texture</t>
  </si>
  <si>
    <t>bland for pink, but like texture, juiciness</t>
  </si>
  <si>
    <t>bland store bought flavor, tough skin</t>
  </si>
  <si>
    <t>bland but nice sugar-acid balance, juicy but tough skin</t>
  </si>
  <si>
    <t>mild flavor for pink, good sugar-acid balance</t>
  </si>
  <si>
    <t>mild flavor for pink, but very sweet</t>
  </si>
  <si>
    <t>bland, not typical purple flavor, good texture</t>
  </si>
  <si>
    <t>bland, but good texture, soft-smooth skin</t>
  </si>
  <si>
    <t>Tasting Notes (7/29-30), 1=poor, 2=fair, 3=good, 4=very good, 5=excellent</t>
  </si>
  <si>
    <t>bland but crunchy, firm texture, fruit detaches/drops easily when picked</t>
  </si>
  <si>
    <r>
      <rPr>
        <b/>
        <sz val="12"/>
        <color theme="1"/>
        <rFont val="Aptos Narrow"/>
        <family val="2"/>
        <scheme val="minor"/>
      </rPr>
      <t>9th harvest</t>
    </r>
    <r>
      <rPr>
        <sz val="12"/>
        <color theme="1"/>
        <rFont val="Aptos Narrow"/>
        <family val="2"/>
        <scheme val="minor"/>
      </rPr>
      <t xml:space="preserve"> from across block, all varieties harvested</t>
    </r>
  </si>
  <si>
    <r>
      <rPr>
        <sz val="12"/>
        <color rgb="FFFF0000"/>
        <rFont val="Aptos Narrow"/>
        <family val="2"/>
        <scheme val="minor"/>
      </rPr>
      <t>Sprayed</t>
    </r>
    <r>
      <rPr>
        <sz val="12"/>
        <color theme="1"/>
        <rFont val="Aptos Narrow"/>
        <family val="2"/>
        <scheme val="minor"/>
      </rPr>
      <t xml:space="preserve"> 4 oz Cuprofix (2.75 lb/A), 0.5 fl oz (5.6 fl oz/A) Quadris, 5 fl oz Sevin</t>
    </r>
  </si>
  <si>
    <r>
      <rPr>
        <sz val="12"/>
        <color rgb="FFFF0000"/>
        <rFont val="Aptos Narrow"/>
        <family val="2"/>
        <scheme val="minor"/>
      </rPr>
      <t>Sprayed</t>
    </r>
    <r>
      <rPr>
        <sz val="12"/>
        <color theme="1"/>
        <rFont val="Aptos Narrow"/>
        <family val="2"/>
        <scheme val="minor"/>
      </rPr>
      <t xml:space="preserve">  5 fl oz Sevin for tomato fruit worm</t>
    </r>
  </si>
  <si>
    <r>
      <t xml:space="preserve">0.091 acre plot area: 5 rows 110-ft long = 550-ft, </t>
    </r>
    <r>
      <rPr>
        <b/>
        <sz val="12"/>
        <color theme="1"/>
        <rFont val="Aptos Narrow"/>
        <family val="2"/>
      </rPr>
      <t xml:space="preserve">≈7-ft bed-to-bed, </t>
    </r>
    <r>
      <rPr>
        <b/>
        <sz val="12"/>
        <color theme="1"/>
        <rFont val="Aptos Narrow"/>
        <family val="2"/>
        <scheme val="minor"/>
      </rPr>
      <t>36-ft x 110-ft = 3960 sq. ft.</t>
    </r>
  </si>
  <si>
    <r>
      <rPr>
        <sz val="12"/>
        <color rgb="FFFF0000"/>
        <rFont val="Aptos Narrow"/>
        <family val="2"/>
        <scheme val="minor"/>
      </rPr>
      <t>Sprayed</t>
    </r>
    <r>
      <rPr>
        <sz val="12"/>
        <color theme="1"/>
        <rFont val="Aptos Narrow"/>
        <family val="2"/>
        <scheme val="minor"/>
      </rPr>
      <t xml:space="preserve"> 4 oz Cuprofix (2.75 lb/A), 3 fl oz (2 pt/A) Initiate 720, &amp; 1 fl oz (11 fl oz/A) Danitol </t>
    </r>
    <r>
      <rPr>
        <sz val="12"/>
        <color rgb="FFFF0000"/>
        <rFont val="Aptos Narrow"/>
        <family val="2"/>
        <scheme val="minor"/>
      </rPr>
      <t>using 5 gallons &amp; A-3 gear</t>
    </r>
  </si>
  <si>
    <r>
      <rPr>
        <sz val="12"/>
        <color rgb="FFFF0000"/>
        <rFont val="Aptos Narrow"/>
        <family val="2"/>
        <scheme val="minor"/>
      </rPr>
      <t>Sprayed</t>
    </r>
    <r>
      <rPr>
        <sz val="12"/>
        <color theme="1"/>
        <rFont val="Aptos Narrow"/>
        <family val="2"/>
        <scheme val="minor"/>
      </rPr>
      <t xml:space="preserve"> 1 fl oz (11 fl oz/A) Danitol for tomato fruit worm </t>
    </r>
    <r>
      <rPr>
        <sz val="12"/>
        <color rgb="FFFF0000"/>
        <rFont val="Aptos Narrow"/>
        <family val="2"/>
        <scheme val="minor"/>
      </rPr>
      <t>using 5 gallons &amp; A-3 gear</t>
    </r>
  </si>
  <si>
    <r>
      <rPr>
        <b/>
        <sz val="12"/>
        <color theme="1"/>
        <rFont val="Aptos Narrow"/>
        <family val="2"/>
        <scheme val="minor"/>
      </rPr>
      <t>10th harvest</t>
    </r>
    <r>
      <rPr>
        <sz val="12"/>
        <color theme="1"/>
        <rFont val="Aptos Narrow"/>
        <family val="2"/>
        <scheme val="minor"/>
      </rPr>
      <t xml:space="preserve"> from across block, all varieties harvested, last data collection</t>
    </r>
  </si>
  <si>
    <r>
      <rPr>
        <b/>
        <sz val="12"/>
        <color theme="1"/>
        <rFont val="Aptos Narrow"/>
        <family val="2"/>
        <scheme val="minor"/>
      </rPr>
      <t>1st harvest</t>
    </r>
    <r>
      <rPr>
        <sz val="12"/>
        <color theme="1"/>
        <rFont val="Aptos Narrow"/>
        <family val="2"/>
        <scheme val="minor"/>
      </rPr>
      <t xml:space="preserve"> from some varieties, no data collected</t>
    </r>
  </si>
  <si>
    <r>
      <rPr>
        <sz val="12"/>
        <color rgb="FFFF0000"/>
        <rFont val="Aptos Narrow"/>
        <family val="2"/>
        <scheme val="minor"/>
      </rPr>
      <t>Sprayed</t>
    </r>
    <r>
      <rPr>
        <sz val="12"/>
        <color theme="1"/>
        <rFont val="Aptos Narrow"/>
        <family val="2"/>
        <scheme val="minor"/>
      </rPr>
      <t xml:space="preserve"> 2.5 oz (1.7 lb/A) of Dipel DF </t>
    </r>
    <r>
      <rPr>
        <sz val="12"/>
        <color rgb="FFFF0000"/>
        <rFont val="Aptos Narrow"/>
        <family val="2"/>
        <scheme val="minor"/>
      </rPr>
      <t>using 5 gallons &amp; A-3 gear</t>
    </r>
  </si>
  <si>
    <t>Fertilized with 16 oz potassium nitrate as planting is 10 weeks past transplant</t>
  </si>
  <si>
    <t>6.,45</t>
  </si>
  <si>
    <t xml:space="preserve">. </t>
  </si>
  <si>
    <t>Harvest 9 (9/16, 125 days from planting)</t>
  </si>
  <si>
    <t>Harvest 10 (9/25, 134 days from planting)</t>
  </si>
  <si>
    <t>Marketable (lb)</t>
  </si>
  <si>
    <t>Cull (lb)</t>
  </si>
  <si>
    <t>Yellow = grape tomato (fruit # of 3 harvests)</t>
  </si>
  <si>
    <t>Harvest 1</t>
  </si>
  <si>
    <t>Harvest 2</t>
  </si>
  <si>
    <t>Harvest 3</t>
  </si>
  <si>
    <t>Harvest 4</t>
  </si>
  <si>
    <t>Harvest 5</t>
  </si>
  <si>
    <t>Harvest 6</t>
  </si>
  <si>
    <t>Harvest 7</t>
  </si>
  <si>
    <t>Harvest 8</t>
  </si>
  <si>
    <t>Harvest 9</t>
  </si>
  <si>
    <t>Harvest 10</t>
  </si>
  <si>
    <t>Fruit Number</t>
  </si>
  <si>
    <t>Total</t>
  </si>
  <si>
    <t>Yield (lb)</t>
  </si>
  <si>
    <t>Average</t>
  </si>
  <si>
    <t>Fruit Size (oz)</t>
  </si>
  <si>
    <t>Grape Average</t>
  </si>
  <si>
    <t>Combined Average</t>
  </si>
  <si>
    <t>Grape Total</t>
  </si>
  <si>
    <t>Combined Total</t>
  </si>
  <si>
    <t>% of All Fruit Harvested</t>
  </si>
  <si>
    <t>% of All Harvested</t>
  </si>
  <si>
    <t>Slicer &amp; Cocktail Total</t>
  </si>
  <si>
    <t>Slicer &amp; Cocktail Average</t>
  </si>
  <si>
    <t>Average/Harvest</t>
  </si>
  <si>
    <t>Avgerage/Harvest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</si>
</sst>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2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2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rgb="FF000000"/>
      <name val="Aptos Narrow"/>
      <family val="2"/>
      <scheme val="minor"/>
    </font>
    <font>
      <b/>
      <sz val="9"/>
      <color theme="1"/>
      <name val="Aptos Narrow"/>
      <family val="2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2"/>
      <color theme="1"/>
      <name val="Aptos Narrow"/>
      <family val="2"/>
    </font>
    <font>
      <sz val="12"/>
      <color rgb="FFFF000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</font>
    <font>
      <sz val="1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3" fillId="0" borderId="0" xfId="0" applyFont="1"/>
    <xf numFmtId="0" fontId="1" fillId="0" borderId="1" xfId="0" applyFont="1" applyBorder="1"/>
    <xf numFmtId="0" fontId="4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4" fontId="0" fillId="0" borderId="0" xfId="0" applyNumberFormat="1"/>
    <xf numFmtId="0" fontId="8" fillId="0" borderId="1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0" fillId="0" borderId="8" xfId="0" applyBorder="1"/>
    <xf numFmtId="0" fontId="0" fillId="0" borderId="7" xfId="0" applyBorder="1"/>
    <xf numFmtId="0" fontId="10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0" fillId="0" borderId="4" xfId="0" applyBorder="1"/>
    <xf numFmtId="0" fontId="2" fillId="0" borderId="4" xfId="0" applyFont="1" applyBorder="1"/>
    <xf numFmtId="0" fontId="0" fillId="0" borderId="4" xfId="0" applyBorder="1" applyAlignment="1">
      <alignment horizontal="center"/>
    </xf>
    <xf numFmtId="0" fontId="0" fillId="0" borderId="4" xfId="0" applyBorder="1" applyAlignment="1">
      <alignment wrapText="1"/>
    </xf>
    <xf numFmtId="0" fontId="2" fillId="0" borderId="4" xfId="0" applyFont="1" applyBorder="1" applyAlignment="1">
      <alignment wrapText="1"/>
    </xf>
    <xf numFmtId="0" fontId="0" fillId="0" borderId="10" xfId="0" applyBorder="1"/>
    <xf numFmtId="0" fontId="2" fillId="0" borderId="10" xfId="0" applyFont="1" applyBorder="1" applyAlignment="1">
      <alignment horizontal="left"/>
    </xf>
    <xf numFmtId="0" fontId="0" fillId="0" borderId="10" xfId="0" applyBorder="1" applyAlignment="1">
      <alignment horizontal="center"/>
    </xf>
    <xf numFmtId="0" fontId="2" fillId="0" borderId="10" xfId="0" applyFont="1" applyBorder="1"/>
    <xf numFmtId="0" fontId="12" fillId="0" borderId="0" xfId="0" applyFont="1"/>
    <xf numFmtId="0" fontId="0" fillId="0" borderId="1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wrapText="1"/>
    </xf>
    <xf numFmtId="0" fontId="0" fillId="2" borderId="0" xfId="0" applyFill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/>
    <xf numFmtId="0" fontId="0" fillId="2" borderId="11" xfId="0" applyFill="1" applyBorder="1"/>
    <xf numFmtId="0" fontId="0" fillId="0" borderId="12" xfId="0" applyBorder="1" applyAlignment="1">
      <alignment horizontal="center"/>
    </xf>
    <xf numFmtId="0" fontId="0" fillId="0" borderId="9" xfId="0" applyBorder="1"/>
    <xf numFmtId="0" fontId="3" fillId="0" borderId="9" xfId="0" applyFont="1" applyBorder="1"/>
    <xf numFmtId="0" fontId="0" fillId="2" borderId="11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15" fillId="2" borderId="11" xfId="0" applyFont="1" applyFill="1" applyBorder="1" applyAlignment="1">
      <alignment horizontal="center"/>
    </xf>
    <xf numFmtId="0" fontId="15" fillId="0" borderId="1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9" xfId="0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8" fillId="0" borderId="1" xfId="0" applyFont="1" applyBorder="1" applyAlignment="1">
      <alignment horizontal="left"/>
    </xf>
    <xf numFmtId="0" fontId="8" fillId="0" borderId="8" xfId="0" applyFont="1" applyBorder="1" applyAlignment="1">
      <alignment horizontal="left"/>
    </xf>
    <xf numFmtId="0" fontId="8" fillId="0" borderId="7" xfId="0" applyFont="1" applyBorder="1" applyAlignment="1">
      <alignment horizontal="left"/>
    </xf>
    <xf numFmtId="0" fontId="8" fillId="0" borderId="1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3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29573-D8B8-0A4C-BE75-1A66B978FF1C}">
  <dimension ref="A1:H85"/>
  <sheetViews>
    <sheetView topLeftCell="A34" zoomScaleNormal="100" workbookViewId="0">
      <selection activeCell="L41" sqref="L41"/>
    </sheetView>
  </sheetViews>
  <sheetFormatPr defaultColWidth="11" defaultRowHeight="15.75" x14ac:dyDescent="0.25"/>
  <cols>
    <col min="1" max="1" width="3.125" bestFit="1" customWidth="1"/>
    <col min="2" max="2" width="11" bestFit="1" customWidth="1"/>
    <col min="3" max="3" width="15.125" bestFit="1" customWidth="1"/>
    <col min="4" max="4" width="7.125" bestFit="1" customWidth="1"/>
    <col min="5" max="5" width="12.375" bestFit="1" customWidth="1"/>
    <col min="6" max="6" width="12.5" bestFit="1" customWidth="1"/>
    <col min="7" max="7" width="12.5" customWidth="1"/>
    <col min="8" max="8" width="17.375" customWidth="1"/>
  </cols>
  <sheetData>
    <row r="1" spans="1:8" x14ac:dyDescent="0.25">
      <c r="A1" s="49" t="s">
        <v>107</v>
      </c>
      <c r="B1" s="49"/>
      <c r="C1" s="49"/>
      <c r="D1" s="49"/>
      <c r="E1" s="49"/>
      <c r="F1" s="49"/>
    </row>
    <row r="2" spans="1:8" s="4" customFormat="1" ht="47.25" customHeight="1" x14ac:dyDescent="0.25">
      <c r="A2" s="3" t="s">
        <v>49</v>
      </c>
      <c r="B2" s="5" t="s">
        <v>104</v>
      </c>
      <c r="C2" s="3" t="s">
        <v>51</v>
      </c>
      <c r="D2" s="20" t="s">
        <v>87</v>
      </c>
      <c r="E2" s="3" t="s">
        <v>90</v>
      </c>
      <c r="F2" s="3" t="s">
        <v>91</v>
      </c>
      <c r="G2" s="3" t="s">
        <v>93</v>
      </c>
      <c r="H2" s="3" t="s">
        <v>106</v>
      </c>
    </row>
    <row r="3" spans="1:8" x14ac:dyDescent="0.25">
      <c r="A3" s="1">
        <v>1</v>
      </c>
      <c r="B3" s="2" t="s">
        <v>0</v>
      </c>
      <c r="C3" s="1" t="s">
        <v>52</v>
      </c>
      <c r="D3" s="19">
        <v>4</v>
      </c>
      <c r="E3" s="1" t="s">
        <v>88</v>
      </c>
      <c r="F3" s="2" t="s">
        <v>92</v>
      </c>
      <c r="G3" s="32" t="s">
        <v>100</v>
      </c>
      <c r="H3" s="50" t="s">
        <v>103</v>
      </c>
    </row>
    <row r="4" spans="1:8" x14ac:dyDescent="0.25">
      <c r="A4" s="1">
        <v>2</v>
      </c>
      <c r="B4" s="2" t="s">
        <v>1</v>
      </c>
      <c r="C4" s="1" t="s">
        <v>52</v>
      </c>
      <c r="D4" s="19">
        <v>4</v>
      </c>
      <c r="E4" s="1" t="s">
        <v>88</v>
      </c>
      <c r="F4" s="2" t="s">
        <v>92</v>
      </c>
      <c r="G4" s="32" t="s">
        <v>181</v>
      </c>
      <c r="H4" s="50"/>
    </row>
    <row r="5" spans="1:8" x14ac:dyDescent="0.25">
      <c r="A5" s="1">
        <v>3</v>
      </c>
      <c r="B5" s="2" t="s">
        <v>2</v>
      </c>
      <c r="C5" s="1" t="s">
        <v>52</v>
      </c>
      <c r="D5" s="19">
        <v>4</v>
      </c>
      <c r="E5" s="1" t="s">
        <v>88</v>
      </c>
      <c r="F5" s="2" t="s">
        <v>92</v>
      </c>
      <c r="G5" s="32" t="s">
        <v>99</v>
      </c>
      <c r="H5" s="50"/>
    </row>
    <row r="6" spans="1:8" ht="31.5" x14ac:dyDescent="0.25">
      <c r="A6" s="1">
        <v>4</v>
      </c>
      <c r="B6" s="2" t="s">
        <v>3</v>
      </c>
      <c r="C6" s="1" t="s">
        <v>52</v>
      </c>
      <c r="D6" s="19">
        <v>4</v>
      </c>
      <c r="E6" s="1" t="s">
        <v>88</v>
      </c>
      <c r="F6" s="2" t="s">
        <v>92</v>
      </c>
      <c r="G6" s="32" t="s">
        <v>182</v>
      </c>
      <c r="H6" s="50"/>
    </row>
    <row r="7" spans="1:8" x14ac:dyDescent="0.25">
      <c r="A7" s="1">
        <v>5</v>
      </c>
      <c r="B7" s="2" t="s">
        <v>4</v>
      </c>
      <c r="C7" s="1" t="s">
        <v>52</v>
      </c>
      <c r="D7" s="19">
        <v>4</v>
      </c>
      <c r="E7" s="1" t="s">
        <v>88</v>
      </c>
      <c r="F7" s="2" t="s">
        <v>92</v>
      </c>
      <c r="G7" s="32" t="s">
        <v>183</v>
      </c>
      <c r="H7" s="50"/>
    </row>
    <row r="8" spans="1:8" ht="31.5" x14ac:dyDescent="0.25">
      <c r="A8" s="1">
        <v>6</v>
      </c>
      <c r="B8" s="2" t="s">
        <v>5</v>
      </c>
      <c r="C8" s="1" t="s">
        <v>52</v>
      </c>
      <c r="D8" s="19">
        <v>4</v>
      </c>
      <c r="E8" s="1" t="s">
        <v>88</v>
      </c>
      <c r="F8" s="2" t="s">
        <v>92</v>
      </c>
      <c r="G8" s="32" t="s">
        <v>184</v>
      </c>
      <c r="H8" s="50"/>
    </row>
    <row r="9" spans="1:8" ht="31.5" x14ac:dyDescent="0.25">
      <c r="A9" s="1">
        <v>7</v>
      </c>
      <c r="B9" s="2" t="s">
        <v>6</v>
      </c>
      <c r="C9" s="1" t="s">
        <v>52</v>
      </c>
      <c r="D9" s="19">
        <v>4</v>
      </c>
      <c r="E9" s="1" t="s">
        <v>88</v>
      </c>
      <c r="F9" s="2" t="s">
        <v>92</v>
      </c>
      <c r="G9" s="32" t="s">
        <v>185</v>
      </c>
      <c r="H9" s="50"/>
    </row>
    <row r="10" spans="1:8" ht="31.5" x14ac:dyDescent="0.25">
      <c r="A10" s="1">
        <v>8</v>
      </c>
      <c r="B10" s="2" t="s">
        <v>7</v>
      </c>
      <c r="C10" s="1" t="s">
        <v>52</v>
      </c>
      <c r="D10" s="19">
        <v>4</v>
      </c>
      <c r="E10" s="1" t="s">
        <v>88</v>
      </c>
      <c r="F10" s="2" t="s">
        <v>92</v>
      </c>
      <c r="G10" s="32" t="s">
        <v>184</v>
      </c>
      <c r="H10" s="50"/>
    </row>
    <row r="11" spans="1:8" ht="31.5" x14ac:dyDescent="0.25">
      <c r="A11" s="1">
        <v>9</v>
      </c>
      <c r="B11" s="2" t="s">
        <v>8</v>
      </c>
      <c r="C11" s="1" t="s">
        <v>52</v>
      </c>
      <c r="D11" s="19">
        <v>4</v>
      </c>
      <c r="E11" s="1" t="s">
        <v>88</v>
      </c>
      <c r="F11" s="2" t="s">
        <v>92</v>
      </c>
      <c r="G11" s="32" t="s">
        <v>185</v>
      </c>
      <c r="H11" s="50"/>
    </row>
    <row r="12" spans="1:8" ht="31.5" x14ac:dyDescent="0.25">
      <c r="A12" s="1">
        <v>10</v>
      </c>
      <c r="B12" s="2" t="s">
        <v>9</v>
      </c>
      <c r="C12" s="1" t="s">
        <v>52</v>
      </c>
      <c r="D12" s="19">
        <v>4</v>
      </c>
      <c r="E12" s="1" t="s">
        <v>88</v>
      </c>
      <c r="F12" s="2" t="s">
        <v>92</v>
      </c>
      <c r="G12" s="32" t="s">
        <v>184</v>
      </c>
      <c r="H12" s="50"/>
    </row>
    <row r="13" spans="1:8" ht="31.5" x14ac:dyDescent="0.25">
      <c r="A13" s="1">
        <v>11</v>
      </c>
      <c r="B13" s="2" t="s">
        <v>10</v>
      </c>
      <c r="C13" s="1" t="s">
        <v>52</v>
      </c>
      <c r="D13" s="19">
        <v>4</v>
      </c>
      <c r="E13" s="1" t="s">
        <v>88</v>
      </c>
      <c r="F13" s="2" t="s">
        <v>92</v>
      </c>
      <c r="G13" s="32" t="s">
        <v>184</v>
      </c>
      <c r="H13" s="50"/>
    </row>
    <row r="14" spans="1:8" x14ac:dyDescent="0.25">
      <c r="A14" s="1">
        <v>12</v>
      </c>
      <c r="B14" s="2" t="s">
        <v>11</v>
      </c>
      <c r="C14" s="1" t="s">
        <v>52</v>
      </c>
      <c r="D14" s="19">
        <v>4</v>
      </c>
      <c r="E14" s="1" t="s">
        <v>88</v>
      </c>
      <c r="F14" s="2" t="s">
        <v>92</v>
      </c>
      <c r="G14" s="32" t="s">
        <v>181</v>
      </c>
      <c r="H14" s="50"/>
    </row>
    <row r="15" spans="1:8" ht="31.5" x14ac:dyDescent="0.25">
      <c r="A15" s="1">
        <v>13</v>
      </c>
      <c r="B15" s="2" t="s">
        <v>12</v>
      </c>
      <c r="C15" s="1" t="s">
        <v>52</v>
      </c>
      <c r="D15" s="19">
        <v>4</v>
      </c>
      <c r="E15" s="1" t="s">
        <v>88</v>
      </c>
      <c r="F15" s="2" t="s">
        <v>92</v>
      </c>
      <c r="G15" s="32" t="s">
        <v>184</v>
      </c>
      <c r="H15" s="50"/>
    </row>
    <row r="16" spans="1:8" ht="31.5" x14ac:dyDescent="0.25">
      <c r="A16" s="1">
        <v>14</v>
      </c>
      <c r="B16" s="2" t="s">
        <v>13</v>
      </c>
      <c r="C16" s="1" t="s">
        <v>52</v>
      </c>
      <c r="D16" s="19">
        <v>4</v>
      </c>
      <c r="E16" s="1" t="s">
        <v>88</v>
      </c>
      <c r="F16" s="2" t="s">
        <v>92</v>
      </c>
      <c r="G16" s="32" t="s">
        <v>184</v>
      </c>
      <c r="H16" s="50"/>
    </row>
    <row r="17" spans="1:8" ht="30" x14ac:dyDescent="0.25">
      <c r="A17" s="1">
        <v>15</v>
      </c>
      <c r="B17" s="2" t="s">
        <v>14</v>
      </c>
      <c r="C17" s="1" t="s">
        <v>52</v>
      </c>
      <c r="D17" s="19">
        <v>4</v>
      </c>
      <c r="E17" s="1" t="s">
        <v>89</v>
      </c>
      <c r="F17" s="21" t="s">
        <v>186</v>
      </c>
      <c r="G17" s="32" t="s">
        <v>94</v>
      </c>
      <c r="H17" s="50"/>
    </row>
    <row r="18" spans="1:8" ht="31.5" x14ac:dyDescent="0.25">
      <c r="A18" s="1">
        <v>16</v>
      </c>
      <c r="B18" s="2" t="s">
        <v>15</v>
      </c>
      <c r="C18" s="1" t="s">
        <v>52</v>
      </c>
      <c r="D18" s="19">
        <v>4</v>
      </c>
      <c r="E18" s="1" t="s">
        <v>88</v>
      </c>
      <c r="F18" s="2" t="s">
        <v>92</v>
      </c>
      <c r="G18" s="32" t="s">
        <v>185</v>
      </c>
      <c r="H18" s="50"/>
    </row>
    <row r="19" spans="1:8" ht="32.25" thickBot="1" x14ac:dyDescent="0.3">
      <c r="A19" s="27">
        <v>17</v>
      </c>
      <c r="B19" s="28" t="s">
        <v>16</v>
      </c>
      <c r="C19" s="27" t="s">
        <v>52</v>
      </c>
      <c r="D19" s="29">
        <v>4</v>
      </c>
      <c r="E19" s="27" t="s">
        <v>88</v>
      </c>
      <c r="F19" s="30" t="s">
        <v>92</v>
      </c>
      <c r="G19" s="33" t="s">
        <v>184</v>
      </c>
      <c r="H19" s="51"/>
    </row>
    <row r="20" spans="1:8" ht="63" customHeight="1" x14ac:dyDescent="0.25">
      <c r="A20" s="22">
        <v>18</v>
      </c>
      <c r="B20" s="23" t="s">
        <v>17</v>
      </c>
      <c r="C20" s="22" t="s">
        <v>52</v>
      </c>
      <c r="D20" s="24">
        <v>4</v>
      </c>
      <c r="E20" s="25" t="s">
        <v>89</v>
      </c>
      <c r="F20" s="26" t="s">
        <v>95</v>
      </c>
      <c r="G20" s="22" t="s">
        <v>94</v>
      </c>
      <c r="H20" s="25" t="s">
        <v>96</v>
      </c>
    </row>
    <row r="21" spans="1:8" ht="47.25" customHeight="1" x14ac:dyDescent="0.25">
      <c r="A21" s="1">
        <v>19</v>
      </c>
      <c r="B21" s="2" t="s">
        <v>18</v>
      </c>
      <c r="C21" s="1" t="s">
        <v>52</v>
      </c>
      <c r="D21" s="19">
        <v>4</v>
      </c>
      <c r="E21" s="1" t="s">
        <v>89</v>
      </c>
      <c r="F21" s="21" t="s">
        <v>92</v>
      </c>
      <c r="G21" s="1" t="s">
        <v>94</v>
      </c>
      <c r="H21" s="18" t="s">
        <v>97</v>
      </c>
    </row>
    <row r="22" spans="1:8" x14ac:dyDescent="0.25">
      <c r="A22" s="1">
        <v>20</v>
      </c>
      <c r="B22" s="2" t="s">
        <v>19</v>
      </c>
      <c r="C22" s="1" t="s">
        <v>52</v>
      </c>
      <c r="D22" s="19">
        <v>4</v>
      </c>
      <c r="E22" s="1" t="s">
        <v>88</v>
      </c>
      <c r="F22" s="2" t="s">
        <v>98</v>
      </c>
      <c r="G22" s="1" t="s">
        <v>100</v>
      </c>
      <c r="H22" s="50" t="s">
        <v>145</v>
      </c>
    </row>
    <row r="23" spans="1:8" x14ac:dyDescent="0.25">
      <c r="A23" s="1">
        <v>21</v>
      </c>
      <c r="B23" s="2" t="s">
        <v>20</v>
      </c>
      <c r="C23" s="1" t="s">
        <v>52</v>
      </c>
      <c r="D23" s="19">
        <v>4</v>
      </c>
      <c r="E23" s="1" t="s">
        <v>88</v>
      </c>
      <c r="F23" s="2" t="s">
        <v>98</v>
      </c>
      <c r="G23" s="1" t="s">
        <v>94</v>
      </c>
      <c r="H23" s="50"/>
    </row>
    <row r="24" spans="1:8" x14ac:dyDescent="0.25">
      <c r="A24" s="1">
        <v>22</v>
      </c>
      <c r="B24" s="2" t="s">
        <v>21</v>
      </c>
      <c r="C24" s="1" t="s">
        <v>52</v>
      </c>
      <c r="D24" s="19">
        <v>4</v>
      </c>
      <c r="E24" s="1" t="s">
        <v>88</v>
      </c>
      <c r="F24" s="2" t="s">
        <v>98</v>
      </c>
      <c r="G24" s="1" t="s">
        <v>99</v>
      </c>
      <c r="H24" s="50"/>
    </row>
    <row r="25" spans="1:8" x14ac:dyDescent="0.25">
      <c r="A25" s="1">
        <v>23</v>
      </c>
      <c r="B25" s="2" t="s">
        <v>22</v>
      </c>
      <c r="C25" s="1" t="s">
        <v>52</v>
      </c>
      <c r="D25" s="19">
        <v>4</v>
      </c>
      <c r="E25" s="1" t="s">
        <v>89</v>
      </c>
      <c r="F25" s="2" t="s">
        <v>98</v>
      </c>
      <c r="G25" s="1" t="s">
        <v>100</v>
      </c>
      <c r="H25" s="50"/>
    </row>
    <row r="26" spans="1:8" ht="31.5" x14ac:dyDescent="0.25">
      <c r="A26" s="1">
        <v>24</v>
      </c>
      <c r="B26" s="2" t="s">
        <v>23</v>
      </c>
      <c r="C26" s="1" t="s">
        <v>52</v>
      </c>
      <c r="D26" s="19">
        <v>4</v>
      </c>
      <c r="E26" s="1" t="s">
        <v>88</v>
      </c>
      <c r="F26" s="2" t="s">
        <v>92</v>
      </c>
      <c r="G26" s="18" t="s">
        <v>185</v>
      </c>
      <c r="H26" s="50"/>
    </row>
    <row r="27" spans="1:8" x14ac:dyDescent="0.25">
      <c r="A27" s="1">
        <v>25</v>
      </c>
      <c r="B27" s="2" t="s">
        <v>24</v>
      </c>
      <c r="C27" s="1" t="s">
        <v>52</v>
      </c>
      <c r="D27" s="19">
        <v>4</v>
      </c>
      <c r="E27" s="1" t="s">
        <v>88</v>
      </c>
      <c r="F27" s="2" t="s">
        <v>98</v>
      </c>
      <c r="G27" s="1" t="s">
        <v>100</v>
      </c>
      <c r="H27" s="50"/>
    </row>
    <row r="28" spans="1:8" x14ac:dyDescent="0.25">
      <c r="A28" s="1">
        <v>26</v>
      </c>
      <c r="B28" s="2" t="s">
        <v>25</v>
      </c>
      <c r="C28" s="1" t="s">
        <v>52</v>
      </c>
      <c r="D28" s="19">
        <v>4</v>
      </c>
      <c r="E28" s="1" t="s">
        <v>89</v>
      </c>
      <c r="F28" s="2" t="s">
        <v>98</v>
      </c>
      <c r="G28" s="1" t="s">
        <v>99</v>
      </c>
      <c r="H28" s="50"/>
    </row>
    <row r="29" spans="1:8" x14ac:dyDescent="0.25">
      <c r="A29" s="1">
        <v>27</v>
      </c>
      <c r="B29" s="2" t="s">
        <v>26</v>
      </c>
      <c r="C29" s="1" t="s">
        <v>52</v>
      </c>
      <c r="D29" s="19">
        <v>4</v>
      </c>
      <c r="E29" s="1" t="s">
        <v>89</v>
      </c>
      <c r="F29" s="2" t="s">
        <v>98</v>
      </c>
      <c r="G29" s="1" t="s">
        <v>99</v>
      </c>
      <c r="H29" s="50"/>
    </row>
    <row r="30" spans="1:8" ht="31.5" customHeight="1" x14ac:dyDescent="0.25">
      <c r="A30" s="1">
        <v>28</v>
      </c>
      <c r="B30" s="2" t="s">
        <v>27</v>
      </c>
      <c r="C30" s="1" t="s">
        <v>52</v>
      </c>
      <c r="D30" s="19">
        <v>4</v>
      </c>
      <c r="E30" s="1" t="s">
        <v>89</v>
      </c>
      <c r="F30" s="2" t="s">
        <v>98</v>
      </c>
      <c r="G30" s="18" t="s">
        <v>173</v>
      </c>
      <c r="H30" s="50"/>
    </row>
    <row r="31" spans="1:8" x14ac:dyDescent="0.25">
      <c r="A31" s="1">
        <v>29</v>
      </c>
      <c r="B31" s="2" t="s">
        <v>28</v>
      </c>
      <c r="C31" s="1" t="s">
        <v>52</v>
      </c>
      <c r="D31" s="19">
        <v>4</v>
      </c>
      <c r="E31" s="1" t="s">
        <v>88</v>
      </c>
      <c r="F31" s="2" t="s">
        <v>98</v>
      </c>
      <c r="G31" s="1" t="s">
        <v>94</v>
      </c>
      <c r="H31" s="50"/>
    </row>
    <row r="32" spans="1:8" ht="31.5" customHeight="1" x14ac:dyDescent="0.25">
      <c r="A32" s="1">
        <v>30</v>
      </c>
      <c r="B32" s="2" t="s">
        <v>29</v>
      </c>
      <c r="C32" s="1" t="s">
        <v>52</v>
      </c>
      <c r="D32" s="19">
        <v>4</v>
      </c>
      <c r="E32" s="1" t="s">
        <v>88</v>
      </c>
      <c r="F32" s="2" t="s">
        <v>98</v>
      </c>
      <c r="G32" s="18" t="s">
        <v>101</v>
      </c>
      <c r="H32" s="50"/>
    </row>
    <row r="33" spans="1:8" ht="31.5" customHeight="1" x14ac:dyDescent="0.25">
      <c r="A33" s="1">
        <v>31</v>
      </c>
      <c r="B33" s="2" t="s">
        <v>30</v>
      </c>
      <c r="C33" s="1" t="s">
        <v>52</v>
      </c>
      <c r="D33" s="19">
        <v>4</v>
      </c>
      <c r="E33" s="1" t="s">
        <v>88</v>
      </c>
      <c r="F33" s="2" t="s">
        <v>98</v>
      </c>
      <c r="G33" s="18" t="s">
        <v>180</v>
      </c>
      <c r="H33" s="50"/>
    </row>
    <row r="34" spans="1:8" x14ac:dyDescent="0.25">
      <c r="A34" s="1">
        <v>32</v>
      </c>
      <c r="B34" s="2" t="s">
        <v>31</v>
      </c>
      <c r="C34" s="1" t="s">
        <v>52</v>
      </c>
      <c r="D34" s="19">
        <v>4</v>
      </c>
      <c r="E34" s="1" t="s">
        <v>88</v>
      </c>
      <c r="F34" s="2" t="s">
        <v>98</v>
      </c>
      <c r="G34" s="1" t="s">
        <v>94</v>
      </c>
      <c r="H34" s="50"/>
    </row>
    <row r="35" spans="1:8" ht="31.5" customHeight="1" x14ac:dyDescent="0.25">
      <c r="A35" s="1">
        <v>33</v>
      </c>
      <c r="B35" s="2" t="s">
        <v>32</v>
      </c>
      <c r="C35" s="1" t="s">
        <v>52</v>
      </c>
      <c r="D35" s="19">
        <v>4</v>
      </c>
      <c r="E35" s="1" t="s">
        <v>88</v>
      </c>
      <c r="F35" s="2" t="s">
        <v>98</v>
      </c>
      <c r="G35" s="18" t="s">
        <v>101</v>
      </c>
      <c r="H35" s="50"/>
    </row>
    <row r="36" spans="1:8" ht="31.5" customHeight="1" x14ac:dyDescent="0.25">
      <c r="A36" s="1">
        <v>34</v>
      </c>
      <c r="B36" s="2" t="s">
        <v>33</v>
      </c>
      <c r="C36" s="1" t="s">
        <v>52</v>
      </c>
      <c r="D36" s="19">
        <v>4</v>
      </c>
      <c r="E36" s="1" t="s">
        <v>88</v>
      </c>
      <c r="F36" s="2" t="s">
        <v>98</v>
      </c>
      <c r="G36" s="18" t="s">
        <v>185</v>
      </c>
      <c r="H36" s="50"/>
    </row>
    <row r="37" spans="1:8" ht="31.5" customHeight="1" x14ac:dyDescent="0.25">
      <c r="A37" s="1">
        <v>35</v>
      </c>
      <c r="B37" s="2" t="s">
        <v>34</v>
      </c>
      <c r="C37" s="1" t="s">
        <v>52</v>
      </c>
      <c r="D37" s="19">
        <v>4</v>
      </c>
      <c r="E37" s="1" t="s">
        <v>88</v>
      </c>
      <c r="F37" s="2" t="s">
        <v>98</v>
      </c>
      <c r="G37" s="18" t="s">
        <v>183</v>
      </c>
      <c r="H37" s="50"/>
    </row>
    <row r="38" spans="1:8" ht="31.5" customHeight="1" x14ac:dyDescent="0.25">
      <c r="A38" s="1">
        <v>36</v>
      </c>
      <c r="B38" s="2" t="s">
        <v>35</v>
      </c>
      <c r="C38" s="1" t="s">
        <v>52</v>
      </c>
      <c r="D38" s="19">
        <v>4</v>
      </c>
      <c r="E38" s="1" t="s">
        <v>88</v>
      </c>
      <c r="F38" s="2" t="s">
        <v>98</v>
      </c>
      <c r="G38" s="18" t="s">
        <v>184</v>
      </c>
      <c r="H38" s="50"/>
    </row>
    <row r="39" spans="1:8" x14ac:dyDescent="0.25">
      <c r="A39" s="1">
        <v>37</v>
      </c>
      <c r="B39" s="2" t="s">
        <v>36</v>
      </c>
      <c r="C39" s="1" t="s">
        <v>52</v>
      </c>
      <c r="D39" s="19">
        <v>4</v>
      </c>
      <c r="E39" s="1" t="s">
        <v>88</v>
      </c>
      <c r="F39" s="2" t="s">
        <v>98</v>
      </c>
      <c r="G39" s="1" t="s">
        <v>94</v>
      </c>
      <c r="H39" s="50"/>
    </row>
    <row r="40" spans="1:8" ht="30" x14ac:dyDescent="0.25">
      <c r="A40" s="1">
        <v>38</v>
      </c>
      <c r="B40" s="2" t="s">
        <v>37</v>
      </c>
      <c r="C40" s="1" t="s">
        <v>52</v>
      </c>
      <c r="D40" s="19">
        <v>4</v>
      </c>
      <c r="E40" s="1" t="s">
        <v>88</v>
      </c>
      <c r="F40" s="21" t="s">
        <v>186</v>
      </c>
      <c r="G40" s="1" t="s">
        <v>94</v>
      </c>
      <c r="H40" s="50"/>
    </row>
    <row r="41" spans="1:8" x14ac:dyDescent="0.25">
      <c r="A41" s="1">
        <v>39</v>
      </c>
      <c r="B41" s="2" t="s">
        <v>38</v>
      </c>
      <c r="C41" s="1" t="s">
        <v>52</v>
      </c>
      <c r="D41" s="19">
        <v>4</v>
      </c>
      <c r="E41" s="1" t="s">
        <v>88</v>
      </c>
      <c r="F41" s="2" t="s">
        <v>187</v>
      </c>
      <c r="G41" s="1" t="s">
        <v>94</v>
      </c>
      <c r="H41" s="50"/>
    </row>
    <row r="42" spans="1:8" ht="30" x14ac:dyDescent="0.25">
      <c r="A42" s="1">
        <v>40</v>
      </c>
      <c r="B42" s="2" t="s">
        <v>39</v>
      </c>
      <c r="C42" s="1" t="s">
        <v>52</v>
      </c>
      <c r="D42" s="19">
        <v>4</v>
      </c>
      <c r="E42" s="1" t="s">
        <v>88</v>
      </c>
      <c r="F42" s="21" t="s">
        <v>186</v>
      </c>
      <c r="G42" s="1" t="s">
        <v>102</v>
      </c>
      <c r="H42" s="50"/>
    </row>
    <row r="43" spans="1:8" x14ac:dyDescent="0.25">
      <c r="A43" s="1">
        <v>41</v>
      </c>
      <c r="B43" s="2" t="s">
        <v>40</v>
      </c>
      <c r="C43" s="1" t="s">
        <v>52</v>
      </c>
      <c r="D43" s="19">
        <v>4</v>
      </c>
      <c r="E43" s="1" t="s">
        <v>88</v>
      </c>
      <c r="F43" s="2" t="s">
        <v>98</v>
      </c>
      <c r="G43" s="1" t="s">
        <v>102</v>
      </c>
      <c r="H43" s="50"/>
    </row>
    <row r="44" spans="1:8" x14ac:dyDescent="0.25">
      <c r="A44" s="1">
        <v>42</v>
      </c>
      <c r="B44" s="2" t="s">
        <v>41</v>
      </c>
      <c r="C44" s="1" t="s">
        <v>52</v>
      </c>
      <c r="D44" s="19">
        <v>4</v>
      </c>
      <c r="E44" s="1" t="s">
        <v>88</v>
      </c>
      <c r="F44" s="2" t="s">
        <v>187</v>
      </c>
      <c r="G44" s="1" t="s">
        <v>94</v>
      </c>
      <c r="H44" s="50"/>
    </row>
    <row r="45" spans="1:8" ht="30" x14ac:dyDescent="0.25">
      <c r="A45" s="1">
        <v>43</v>
      </c>
      <c r="B45" s="2" t="s">
        <v>42</v>
      </c>
      <c r="C45" s="1" t="s">
        <v>52</v>
      </c>
      <c r="D45" s="19">
        <v>4</v>
      </c>
      <c r="E45" s="1" t="s">
        <v>88</v>
      </c>
      <c r="F45" s="21" t="s">
        <v>186</v>
      </c>
      <c r="G45" s="1" t="s">
        <v>99</v>
      </c>
      <c r="H45" s="50"/>
    </row>
    <row r="46" spans="1:8" x14ac:dyDescent="0.25">
      <c r="A46" s="1">
        <v>44</v>
      </c>
      <c r="B46" s="2" t="s">
        <v>43</v>
      </c>
      <c r="C46" s="1" t="s">
        <v>52</v>
      </c>
      <c r="D46" s="19">
        <v>4</v>
      </c>
      <c r="E46" s="1" t="s">
        <v>88</v>
      </c>
      <c r="F46" s="2" t="s">
        <v>187</v>
      </c>
      <c r="G46" s="1" t="s">
        <v>94</v>
      </c>
      <c r="H46" s="50"/>
    </row>
    <row r="47" spans="1:8" x14ac:dyDescent="0.25">
      <c r="A47" s="1">
        <v>45</v>
      </c>
      <c r="B47" s="2" t="s">
        <v>44</v>
      </c>
      <c r="C47" s="1" t="s">
        <v>52</v>
      </c>
      <c r="D47" s="19">
        <v>4</v>
      </c>
      <c r="E47" s="1" t="s">
        <v>88</v>
      </c>
      <c r="F47" s="2" t="s">
        <v>98</v>
      </c>
      <c r="G47" s="1" t="s">
        <v>94</v>
      </c>
      <c r="H47" s="50"/>
    </row>
    <row r="48" spans="1:8" ht="30" x14ac:dyDescent="0.25">
      <c r="A48" s="1">
        <v>46</v>
      </c>
      <c r="B48" s="2" t="s">
        <v>45</v>
      </c>
      <c r="C48" s="1" t="s">
        <v>52</v>
      </c>
      <c r="D48" s="19">
        <v>4</v>
      </c>
      <c r="E48" s="1" t="s">
        <v>88</v>
      </c>
      <c r="F48" s="21" t="s">
        <v>186</v>
      </c>
      <c r="G48" s="1" t="s">
        <v>94</v>
      </c>
      <c r="H48" s="50"/>
    </row>
    <row r="49" spans="1:8" x14ac:dyDescent="0.25">
      <c r="A49" s="1">
        <v>47</v>
      </c>
      <c r="B49" s="2" t="s">
        <v>46</v>
      </c>
      <c r="C49" s="1" t="s">
        <v>52</v>
      </c>
      <c r="D49" s="19">
        <v>4</v>
      </c>
      <c r="E49" s="1" t="s">
        <v>88</v>
      </c>
      <c r="F49" s="2" t="s">
        <v>98</v>
      </c>
      <c r="G49" s="1" t="s">
        <v>102</v>
      </c>
      <c r="H49" s="50"/>
    </row>
    <row r="50" spans="1:8" ht="30" x14ac:dyDescent="0.25">
      <c r="A50" s="1">
        <v>48</v>
      </c>
      <c r="B50" s="2" t="s">
        <v>47</v>
      </c>
      <c r="C50" s="1" t="s">
        <v>52</v>
      </c>
      <c r="D50" s="19">
        <v>4</v>
      </c>
      <c r="E50" s="1" t="s">
        <v>88</v>
      </c>
      <c r="F50" s="21" t="s">
        <v>186</v>
      </c>
      <c r="G50" s="1" t="s">
        <v>102</v>
      </c>
      <c r="H50" s="50"/>
    </row>
    <row r="51" spans="1:8" ht="31.5" customHeight="1" x14ac:dyDescent="0.25">
      <c r="A51" s="1">
        <v>49</v>
      </c>
      <c r="B51" s="21" t="s">
        <v>48</v>
      </c>
      <c r="C51" s="1" t="s">
        <v>52</v>
      </c>
      <c r="D51" s="19">
        <v>4</v>
      </c>
      <c r="E51" s="1" t="s">
        <v>89</v>
      </c>
      <c r="F51" s="2" t="s">
        <v>98</v>
      </c>
      <c r="G51" s="1" t="s">
        <v>94</v>
      </c>
      <c r="H51" s="1"/>
    </row>
    <row r="52" spans="1:8" ht="31.5" customHeight="1" x14ac:dyDescent="0.25">
      <c r="A52" s="1">
        <v>50</v>
      </c>
      <c r="B52" s="21" t="s">
        <v>50</v>
      </c>
      <c r="C52" s="1" t="s">
        <v>52</v>
      </c>
      <c r="D52" s="19">
        <v>4</v>
      </c>
      <c r="E52" s="1" t="s">
        <v>88</v>
      </c>
      <c r="F52" s="2" t="s">
        <v>98</v>
      </c>
      <c r="G52" s="1" t="s">
        <v>99</v>
      </c>
      <c r="H52" s="1"/>
    </row>
    <row r="53" spans="1:8" x14ac:dyDescent="0.25">
      <c r="A53" s="1">
        <v>51</v>
      </c>
      <c r="B53" s="1" t="s">
        <v>53</v>
      </c>
      <c r="C53" s="1" t="s">
        <v>82</v>
      </c>
      <c r="D53" s="19">
        <v>4</v>
      </c>
      <c r="E53" s="1" t="s">
        <v>88</v>
      </c>
      <c r="F53" s="2" t="s">
        <v>98</v>
      </c>
      <c r="G53" s="1" t="s">
        <v>94</v>
      </c>
      <c r="H53" s="52" t="s">
        <v>105</v>
      </c>
    </row>
    <row r="54" spans="1:8" x14ac:dyDescent="0.25">
      <c r="A54" s="1">
        <v>52</v>
      </c>
      <c r="B54" s="1" t="s">
        <v>54</v>
      </c>
      <c r="C54" s="1" t="s">
        <v>82</v>
      </c>
      <c r="D54" s="19">
        <v>4</v>
      </c>
      <c r="E54" s="1" t="s">
        <v>88</v>
      </c>
      <c r="F54" s="2" t="s">
        <v>98</v>
      </c>
      <c r="G54" s="1" t="s">
        <v>99</v>
      </c>
      <c r="H54" s="53"/>
    </row>
    <row r="55" spans="1:8" x14ac:dyDescent="0.25">
      <c r="A55" s="1">
        <v>53</v>
      </c>
      <c r="B55" s="1" t="s">
        <v>55</v>
      </c>
      <c r="C55" s="1" t="s">
        <v>82</v>
      </c>
      <c r="D55" s="19">
        <v>4</v>
      </c>
      <c r="E55" s="1" t="s">
        <v>88</v>
      </c>
      <c r="F55" s="2" t="s">
        <v>98</v>
      </c>
      <c r="G55" s="1" t="s">
        <v>94</v>
      </c>
      <c r="H55" s="53"/>
    </row>
    <row r="56" spans="1:8" x14ac:dyDescent="0.25">
      <c r="A56" s="1">
        <v>54</v>
      </c>
      <c r="B56" s="1" t="s">
        <v>56</v>
      </c>
      <c r="C56" s="1" t="s">
        <v>82</v>
      </c>
      <c r="D56" s="19">
        <v>4</v>
      </c>
      <c r="E56" s="1" t="s">
        <v>88</v>
      </c>
      <c r="F56" s="2" t="s">
        <v>98</v>
      </c>
      <c r="G56" s="1" t="s">
        <v>100</v>
      </c>
      <c r="H56" s="53"/>
    </row>
    <row r="57" spans="1:8" x14ac:dyDescent="0.25">
      <c r="A57" s="1">
        <v>55</v>
      </c>
      <c r="B57" s="1" t="s">
        <v>57</v>
      </c>
      <c r="C57" s="1" t="s">
        <v>82</v>
      </c>
      <c r="D57" s="19">
        <v>4</v>
      </c>
      <c r="E57" s="1" t="s">
        <v>88</v>
      </c>
      <c r="F57" s="2" t="s">
        <v>98</v>
      </c>
      <c r="G57" s="1" t="s">
        <v>94</v>
      </c>
      <c r="H57" s="53"/>
    </row>
    <row r="58" spans="1:8" x14ac:dyDescent="0.25">
      <c r="A58" s="1">
        <v>56</v>
      </c>
      <c r="B58" s="1" t="s">
        <v>58</v>
      </c>
      <c r="C58" s="1" t="s">
        <v>82</v>
      </c>
      <c r="D58" s="19">
        <v>4</v>
      </c>
      <c r="E58" s="1" t="s">
        <v>88</v>
      </c>
      <c r="F58" s="2" t="s">
        <v>98</v>
      </c>
      <c r="G58" s="1" t="s">
        <v>100</v>
      </c>
      <c r="H58" s="53"/>
    </row>
    <row r="59" spans="1:8" x14ac:dyDescent="0.25">
      <c r="A59" s="1">
        <v>57</v>
      </c>
      <c r="B59" s="1" t="s">
        <v>59</v>
      </c>
      <c r="C59" s="1" t="s">
        <v>82</v>
      </c>
      <c r="D59" s="19">
        <v>4</v>
      </c>
      <c r="E59" s="1" t="s">
        <v>88</v>
      </c>
      <c r="F59" s="2" t="s">
        <v>98</v>
      </c>
      <c r="G59" s="1" t="s">
        <v>94</v>
      </c>
      <c r="H59" s="53"/>
    </row>
    <row r="60" spans="1:8" x14ac:dyDescent="0.25">
      <c r="A60" s="1">
        <v>58</v>
      </c>
      <c r="B60" s="1" t="s">
        <v>60</v>
      </c>
      <c r="C60" s="1" t="s">
        <v>82</v>
      </c>
      <c r="D60" s="19">
        <v>4</v>
      </c>
      <c r="E60" s="1" t="s">
        <v>88</v>
      </c>
      <c r="F60" s="2" t="s">
        <v>98</v>
      </c>
      <c r="G60" s="1" t="s">
        <v>100</v>
      </c>
      <c r="H60" s="53"/>
    </row>
    <row r="61" spans="1:8" x14ac:dyDescent="0.25">
      <c r="A61" s="1">
        <v>59</v>
      </c>
      <c r="B61" s="1" t="s">
        <v>61</v>
      </c>
      <c r="C61" s="1" t="s">
        <v>82</v>
      </c>
      <c r="D61" s="19">
        <v>4</v>
      </c>
      <c r="E61" s="1" t="s">
        <v>88</v>
      </c>
      <c r="F61" s="2" t="s">
        <v>98</v>
      </c>
      <c r="G61" s="1" t="s">
        <v>94</v>
      </c>
      <c r="H61" s="53"/>
    </row>
    <row r="62" spans="1:8" x14ac:dyDescent="0.25">
      <c r="A62" s="1">
        <v>60</v>
      </c>
      <c r="B62" s="1" t="s">
        <v>62</v>
      </c>
      <c r="C62" s="1" t="s">
        <v>82</v>
      </c>
      <c r="D62" s="19">
        <v>4</v>
      </c>
      <c r="E62" s="1" t="s">
        <v>88</v>
      </c>
      <c r="F62" s="2" t="s">
        <v>98</v>
      </c>
      <c r="G62" s="1" t="s">
        <v>100</v>
      </c>
      <c r="H62" s="53"/>
    </row>
    <row r="63" spans="1:8" x14ac:dyDescent="0.25">
      <c r="A63" s="1">
        <v>61</v>
      </c>
      <c r="B63" s="1" t="s">
        <v>63</v>
      </c>
      <c r="C63" s="1" t="s">
        <v>82</v>
      </c>
      <c r="D63" s="19">
        <v>4</v>
      </c>
      <c r="E63" s="1" t="s">
        <v>88</v>
      </c>
      <c r="F63" s="2" t="s">
        <v>98</v>
      </c>
      <c r="G63" s="1" t="s">
        <v>100</v>
      </c>
      <c r="H63" s="53"/>
    </row>
    <row r="64" spans="1:8" x14ac:dyDescent="0.25">
      <c r="A64" s="1">
        <v>62</v>
      </c>
      <c r="B64" s="1" t="s">
        <v>64</v>
      </c>
      <c r="C64" s="1" t="s">
        <v>82</v>
      </c>
      <c r="D64" s="19">
        <v>4</v>
      </c>
      <c r="E64" s="1" t="s">
        <v>88</v>
      </c>
      <c r="F64" s="2" t="s">
        <v>98</v>
      </c>
      <c r="G64" s="1" t="s">
        <v>100</v>
      </c>
      <c r="H64" s="53"/>
    </row>
    <row r="65" spans="1:8" x14ac:dyDescent="0.25">
      <c r="A65" s="1">
        <v>63</v>
      </c>
      <c r="B65" s="1" t="s">
        <v>65</v>
      </c>
      <c r="C65" s="1" t="s">
        <v>82</v>
      </c>
      <c r="D65" s="19">
        <v>4</v>
      </c>
      <c r="E65" s="1" t="s">
        <v>88</v>
      </c>
      <c r="F65" s="2" t="s">
        <v>98</v>
      </c>
      <c r="G65" s="1" t="s">
        <v>100</v>
      </c>
      <c r="H65" s="53"/>
    </row>
    <row r="66" spans="1:8" x14ac:dyDescent="0.25">
      <c r="A66" s="1">
        <v>64</v>
      </c>
      <c r="B66" s="1" t="s">
        <v>66</v>
      </c>
      <c r="C66" s="1" t="s">
        <v>82</v>
      </c>
      <c r="D66" s="19">
        <v>4</v>
      </c>
      <c r="E66" s="1" t="s">
        <v>88</v>
      </c>
      <c r="F66" s="2" t="s">
        <v>98</v>
      </c>
      <c r="G66" s="1" t="s">
        <v>99</v>
      </c>
      <c r="H66" s="53"/>
    </row>
    <row r="67" spans="1:8" x14ac:dyDescent="0.25">
      <c r="A67" s="1">
        <v>65</v>
      </c>
      <c r="B67" s="1" t="s">
        <v>67</v>
      </c>
      <c r="C67" s="1" t="s">
        <v>82</v>
      </c>
      <c r="D67" s="19">
        <v>4</v>
      </c>
      <c r="E67" s="1" t="s">
        <v>88</v>
      </c>
      <c r="F67" s="2" t="s">
        <v>98</v>
      </c>
      <c r="G67" s="1" t="s">
        <v>102</v>
      </c>
      <c r="H67" s="53"/>
    </row>
    <row r="68" spans="1:8" x14ac:dyDescent="0.25">
      <c r="A68" s="1">
        <v>66</v>
      </c>
      <c r="B68" s="1" t="s">
        <v>68</v>
      </c>
      <c r="C68" s="1" t="s">
        <v>82</v>
      </c>
      <c r="D68" s="19">
        <v>4</v>
      </c>
      <c r="E68" s="1" t="s">
        <v>88</v>
      </c>
      <c r="F68" s="2" t="s">
        <v>98</v>
      </c>
      <c r="G68" s="1" t="s">
        <v>102</v>
      </c>
      <c r="H68" s="53"/>
    </row>
    <row r="69" spans="1:8" ht="31.5" customHeight="1" x14ac:dyDescent="0.25">
      <c r="A69" s="1">
        <v>67</v>
      </c>
      <c r="B69" s="1" t="s">
        <v>69</v>
      </c>
      <c r="C69" s="1" t="s">
        <v>82</v>
      </c>
      <c r="D69" s="19">
        <v>4</v>
      </c>
      <c r="E69" s="1" t="s">
        <v>88</v>
      </c>
      <c r="F69" s="2" t="s">
        <v>98</v>
      </c>
      <c r="G69" s="18" t="s">
        <v>173</v>
      </c>
      <c r="H69" s="53"/>
    </row>
    <row r="70" spans="1:8" ht="31.5" customHeight="1" x14ac:dyDescent="0.25">
      <c r="A70" s="1">
        <v>68</v>
      </c>
      <c r="B70" s="1" t="s">
        <v>70</v>
      </c>
      <c r="C70" s="1" t="s">
        <v>82</v>
      </c>
      <c r="D70" s="19">
        <v>4</v>
      </c>
      <c r="E70" s="1" t="s">
        <v>88</v>
      </c>
      <c r="F70" s="2" t="s">
        <v>98</v>
      </c>
      <c r="G70" s="18" t="s">
        <v>173</v>
      </c>
      <c r="H70" s="53"/>
    </row>
    <row r="71" spans="1:8" x14ac:dyDescent="0.25">
      <c r="A71" s="1">
        <v>69</v>
      </c>
      <c r="B71" s="1" t="s">
        <v>71</v>
      </c>
      <c r="C71" s="1" t="s">
        <v>82</v>
      </c>
      <c r="D71" s="19">
        <v>4</v>
      </c>
      <c r="E71" s="1" t="s">
        <v>88</v>
      </c>
      <c r="F71" s="2" t="s">
        <v>98</v>
      </c>
      <c r="G71" s="1" t="s">
        <v>99</v>
      </c>
      <c r="H71" s="53"/>
    </row>
    <row r="72" spans="1:8" x14ac:dyDescent="0.25">
      <c r="A72" s="1">
        <v>70</v>
      </c>
      <c r="B72" s="1" t="s">
        <v>72</v>
      </c>
      <c r="C72" s="1" t="s">
        <v>82</v>
      </c>
      <c r="D72" s="19">
        <v>4</v>
      </c>
      <c r="E72" s="1" t="s">
        <v>88</v>
      </c>
      <c r="F72" s="2" t="s">
        <v>98</v>
      </c>
      <c r="G72" s="1" t="s">
        <v>99</v>
      </c>
      <c r="H72" s="53"/>
    </row>
    <row r="73" spans="1:8" x14ac:dyDescent="0.25">
      <c r="A73" s="1">
        <v>71</v>
      </c>
      <c r="B73" s="1" t="s">
        <v>73</v>
      </c>
      <c r="C73" s="1" t="s">
        <v>82</v>
      </c>
      <c r="D73" s="19">
        <v>4</v>
      </c>
      <c r="E73" s="1" t="s">
        <v>88</v>
      </c>
      <c r="F73" s="2" t="s">
        <v>98</v>
      </c>
      <c r="G73" s="1" t="s">
        <v>188</v>
      </c>
      <c r="H73" s="53"/>
    </row>
    <row r="74" spans="1:8" x14ac:dyDescent="0.25">
      <c r="A74" s="1">
        <v>72</v>
      </c>
      <c r="B74" s="1" t="s">
        <v>74</v>
      </c>
      <c r="C74" s="1" t="s">
        <v>82</v>
      </c>
      <c r="D74" s="19">
        <v>4</v>
      </c>
      <c r="E74" s="1" t="s">
        <v>88</v>
      </c>
      <c r="F74" s="2" t="s">
        <v>98</v>
      </c>
      <c r="G74" s="1" t="s">
        <v>94</v>
      </c>
      <c r="H74" s="53"/>
    </row>
    <row r="75" spans="1:8" x14ac:dyDescent="0.25">
      <c r="A75" s="1">
        <v>73</v>
      </c>
      <c r="B75" s="1" t="s">
        <v>75</v>
      </c>
      <c r="C75" s="1" t="s">
        <v>82</v>
      </c>
      <c r="D75" s="19">
        <v>4</v>
      </c>
      <c r="E75" s="1" t="s">
        <v>89</v>
      </c>
      <c r="F75" s="2" t="s">
        <v>98</v>
      </c>
      <c r="G75" s="1" t="s">
        <v>94</v>
      </c>
      <c r="H75" s="53"/>
    </row>
    <row r="76" spans="1:8" x14ac:dyDescent="0.25">
      <c r="A76" s="1">
        <v>74</v>
      </c>
      <c r="B76" s="1" t="s">
        <v>76</v>
      </c>
      <c r="C76" s="1" t="s">
        <v>82</v>
      </c>
      <c r="D76" s="19">
        <v>4</v>
      </c>
      <c r="E76" s="1" t="s">
        <v>89</v>
      </c>
      <c r="F76" s="2" t="s">
        <v>98</v>
      </c>
      <c r="G76" s="1" t="s">
        <v>100</v>
      </c>
      <c r="H76" s="53"/>
    </row>
    <row r="77" spans="1:8" x14ac:dyDescent="0.25">
      <c r="A77" s="1">
        <v>75</v>
      </c>
      <c r="B77" s="1" t="s">
        <v>77</v>
      </c>
      <c r="C77" s="1" t="s">
        <v>82</v>
      </c>
      <c r="D77" s="19">
        <v>4</v>
      </c>
      <c r="E77" s="1" t="s">
        <v>89</v>
      </c>
      <c r="F77" s="2" t="s">
        <v>98</v>
      </c>
      <c r="G77" s="1" t="s">
        <v>100</v>
      </c>
      <c r="H77" s="53"/>
    </row>
    <row r="78" spans="1:8" x14ac:dyDescent="0.25">
      <c r="A78" s="1">
        <v>76</v>
      </c>
      <c r="B78" s="1" t="s">
        <v>78</v>
      </c>
      <c r="C78" s="1" t="s">
        <v>82</v>
      </c>
      <c r="D78" s="19">
        <v>4</v>
      </c>
      <c r="E78" s="1" t="s">
        <v>89</v>
      </c>
      <c r="F78" s="2" t="s">
        <v>98</v>
      </c>
      <c r="G78" s="1" t="s">
        <v>100</v>
      </c>
      <c r="H78" s="53"/>
    </row>
    <row r="79" spans="1:8" x14ac:dyDescent="0.25">
      <c r="A79" s="1">
        <v>77</v>
      </c>
      <c r="B79" s="1" t="s">
        <v>79</v>
      </c>
      <c r="C79" s="1" t="s">
        <v>82</v>
      </c>
      <c r="D79" s="19">
        <v>4</v>
      </c>
      <c r="E79" s="1" t="s">
        <v>89</v>
      </c>
      <c r="F79" s="2" t="s">
        <v>98</v>
      </c>
      <c r="G79" s="1" t="s">
        <v>99</v>
      </c>
      <c r="H79" s="53"/>
    </row>
    <row r="80" spans="1:8" x14ac:dyDescent="0.25">
      <c r="A80" s="1">
        <v>78</v>
      </c>
      <c r="B80" s="1" t="s">
        <v>80</v>
      </c>
      <c r="C80" s="1" t="s">
        <v>82</v>
      </c>
      <c r="D80" s="19">
        <v>4</v>
      </c>
      <c r="E80" s="1" t="s">
        <v>89</v>
      </c>
      <c r="F80" s="2" t="s">
        <v>98</v>
      </c>
      <c r="G80" s="1" t="s">
        <v>100</v>
      </c>
      <c r="H80" s="53"/>
    </row>
    <row r="81" spans="1:8" x14ac:dyDescent="0.25">
      <c r="A81" s="1">
        <v>79</v>
      </c>
      <c r="B81" s="1" t="s">
        <v>81</v>
      </c>
      <c r="C81" s="1" t="s">
        <v>82</v>
      </c>
      <c r="D81" s="19">
        <v>4</v>
      </c>
      <c r="E81" s="1" t="s">
        <v>89</v>
      </c>
      <c r="F81" s="2" t="s">
        <v>98</v>
      </c>
      <c r="G81" s="1" t="s">
        <v>100</v>
      </c>
      <c r="H81" s="54"/>
    </row>
    <row r="82" spans="1:8" ht="31.5" customHeight="1" x14ac:dyDescent="0.25">
      <c r="A82" s="1">
        <v>80</v>
      </c>
      <c r="B82" s="18" t="s">
        <v>83</v>
      </c>
      <c r="C82" s="1" t="s">
        <v>82</v>
      </c>
      <c r="D82" s="19">
        <v>4</v>
      </c>
      <c r="E82" s="1" t="s">
        <v>88</v>
      </c>
      <c r="F82" s="2" t="s">
        <v>187</v>
      </c>
      <c r="G82" s="1" t="s">
        <v>94</v>
      </c>
      <c r="H82" s="1"/>
    </row>
    <row r="83" spans="1:8" ht="31.5" customHeight="1" x14ac:dyDescent="0.25">
      <c r="A83" s="1">
        <v>81</v>
      </c>
      <c r="B83" s="18" t="s">
        <v>84</v>
      </c>
      <c r="C83" s="1" t="s">
        <v>82</v>
      </c>
      <c r="D83" s="19">
        <v>4</v>
      </c>
      <c r="E83" s="1" t="s">
        <v>88</v>
      </c>
      <c r="F83" s="2" t="s">
        <v>98</v>
      </c>
      <c r="G83" s="1" t="s">
        <v>94</v>
      </c>
      <c r="H83" s="1"/>
    </row>
    <row r="84" spans="1:8" ht="31.5" customHeight="1" x14ac:dyDescent="0.25">
      <c r="A84" s="1">
        <v>82</v>
      </c>
      <c r="B84" s="18" t="s">
        <v>85</v>
      </c>
      <c r="C84" s="1" t="s">
        <v>82</v>
      </c>
      <c r="D84" s="19">
        <v>4</v>
      </c>
      <c r="E84" s="1" t="s">
        <v>88</v>
      </c>
      <c r="F84" s="2" t="s">
        <v>98</v>
      </c>
      <c r="G84" s="1" t="s">
        <v>94</v>
      </c>
      <c r="H84" s="1"/>
    </row>
    <row r="85" spans="1:8" ht="31.5" customHeight="1" x14ac:dyDescent="0.25">
      <c r="A85" s="1">
        <v>83</v>
      </c>
      <c r="B85" s="18" t="s">
        <v>86</v>
      </c>
      <c r="C85" s="1" t="s">
        <v>82</v>
      </c>
      <c r="D85" s="19">
        <v>4</v>
      </c>
      <c r="E85" s="1" t="s">
        <v>89</v>
      </c>
      <c r="F85" s="2" t="s">
        <v>98</v>
      </c>
      <c r="G85" s="1" t="s">
        <v>94</v>
      </c>
      <c r="H85" s="1"/>
    </row>
  </sheetData>
  <mergeCells count="4">
    <mergeCell ref="A1:F1"/>
    <mergeCell ref="H3:H19"/>
    <mergeCell ref="H22:H50"/>
    <mergeCell ref="H53:H81"/>
  </mergeCells>
  <pageMargins left="0.7" right="0.7" top="0.75" bottom="0.75" header="0.3" footer="0.3"/>
  <pageSetup scale="8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25C1B-5979-4465-964B-84498C21824E}">
  <dimension ref="A1:N32"/>
  <sheetViews>
    <sheetView workbookViewId="0">
      <selection activeCell="G3" sqref="G3"/>
    </sheetView>
  </sheetViews>
  <sheetFormatPr defaultRowHeight="15.75" x14ac:dyDescent="0.25"/>
  <cols>
    <col min="1" max="1" width="9.125" bestFit="1" customWidth="1"/>
    <col min="2" max="2" width="7.625" bestFit="1" customWidth="1"/>
    <col min="3" max="3" width="6.625" customWidth="1"/>
    <col min="4" max="4" width="9.125" bestFit="1" customWidth="1"/>
    <col min="5" max="5" width="7.625" bestFit="1" customWidth="1"/>
    <col min="6" max="6" width="6.625" customWidth="1"/>
    <col min="7" max="7" width="13.125" bestFit="1" customWidth="1"/>
    <col min="8" max="8" width="7.625" bestFit="1" customWidth="1"/>
    <col min="9" max="9" width="6.625" customWidth="1"/>
    <col min="10" max="10" width="9.125" bestFit="1" customWidth="1"/>
    <col min="11" max="11" width="7.625" bestFit="1" customWidth="1"/>
    <col min="12" max="12" width="6.625" customWidth="1"/>
    <col min="13" max="13" width="12.125" bestFit="1" customWidth="1"/>
    <col min="14" max="14" width="7.625" bestFit="1" customWidth="1"/>
  </cols>
  <sheetData>
    <row r="1" spans="1:14" ht="15" customHeight="1" x14ac:dyDescent="0.25">
      <c r="A1" s="6" t="s">
        <v>104</v>
      </c>
      <c r="B1" s="6" t="s">
        <v>109</v>
      </c>
      <c r="C1" s="7"/>
      <c r="D1" s="6" t="s">
        <v>104</v>
      </c>
      <c r="E1" s="6" t="s">
        <v>109</v>
      </c>
      <c r="F1" s="7"/>
      <c r="G1" s="6" t="s">
        <v>104</v>
      </c>
      <c r="H1" s="6" t="s">
        <v>109</v>
      </c>
      <c r="I1" s="7"/>
      <c r="J1" s="6" t="s">
        <v>104</v>
      </c>
      <c r="K1" s="6" t="s">
        <v>109</v>
      </c>
      <c r="L1" s="7"/>
      <c r="M1" s="6" t="s">
        <v>104</v>
      </c>
      <c r="N1" s="6" t="s">
        <v>109</v>
      </c>
    </row>
    <row r="2" spans="1:14" ht="15" customHeight="1" x14ac:dyDescent="0.25">
      <c r="A2" s="8"/>
      <c r="B2" s="8"/>
      <c r="C2" s="7"/>
      <c r="D2" s="8"/>
      <c r="E2" s="8"/>
      <c r="F2" s="7"/>
      <c r="G2" s="7"/>
      <c r="H2" s="7"/>
      <c r="I2" s="7"/>
      <c r="J2" s="7"/>
      <c r="K2" s="7"/>
      <c r="L2" s="7"/>
      <c r="M2" s="7"/>
      <c r="N2" s="7"/>
    </row>
    <row r="3" spans="1:14" ht="15" customHeight="1" x14ac:dyDescent="0.25">
      <c r="A3" s="9" t="s">
        <v>16</v>
      </c>
      <c r="B3" s="8" t="s">
        <v>110</v>
      </c>
      <c r="C3" s="7"/>
      <c r="D3" s="8"/>
      <c r="E3" s="8"/>
      <c r="F3" s="7"/>
      <c r="G3" s="9" t="s">
        <v>44</v>
      </c>
      <c r="H3" s="9" t="s">
        <v>111</v>
      </c>
      <c r="I3" s="7"/>
      <c r="J3" s="7"/>
      <c r="K3" s="7"/>
      <c r="L3" s="7"/>
      <c r="M3" s="8" t="s">
        <v>81</v>
      </c>
      <c r="N3" s="9" t="s">
        <v>111</v>
      </c>
    </row>
    <row r="4" spans="1:14" ht="15" customHeight="1" x14ac:dyDescent="0.25">
      <c r="A4" s="9" t="s">
        <v>15</v>
      </c>
      <c r="B4" s="8" t="s">
        <v>110</v>
      </c>
      <c r="C4" s="7"/>
      <c r="D4" s="9" t="s">
        <v>39</v>
      </c>
      <c r="E4" s="9" t="s">
        <v>108</v>
      </c>
      <c r="F4" s="7"/>
      <c r="G4" s="9" t="s">
        <v>40</v>
      </c>
      <c r="H4" s="9" t="s">
        <v>111</v>
      </c>
      <c r="I4" s="7"/>
      <c r="J4" s="8" t="s">
        <v>65</v>
      </c>
      <c r="K4" s="9" t="s">
        <v>108</v>
      </c>
      <c r="L4" s="7"/>
      <c r="M4" s="8" t="s">
        <v>80</v>
      </c>
      <c r="N4" s="9" t="s">
        <v>111</v>
      </c>
    </row>
    <row r="5" spans="1:14" ht="15" customHeight="1" x14ac:dyDescent="0.25">
      <c r="A5" s="9" t="s">
        <v>14</v>
      </c>
      <c r="B5" s="8" t="s">
        <v>110</v>
      </c>
      <c r="C5" s="7"/>
      <c r="D5" s="9" t="s">
        <v>38</v>
      </c>
      <c r="E5" s="9" t="s">
        <v>108</v>
      </c>
      <c r="F5" s="7"/>
      <c r="G5" s="9" t="s">
        <v>27</v>
      </c>
      <c r="H5" s="9" t="s">
        <v>111</v>
      </c>
      <c r="I5" s="7"/>
      <c r="J5" s="8" t="s">
        <v>64</v>
      </c>
      <c r="K5" s="9" t="s">
        <v>108</v>
      </c>
      <c r="L5" s="7"/>
      <c r="M5" s="8" t="s">
        <v>79</v>
      </c>
      <c r="N5" s="9" t="s">
        <v>111</v>
      </c>
    </row>
    <row r="6" spans="1:14" ht="15" customHeight="1" x14ac:dyDescent="0.25">
      <c r="A6" s="9" t="s">
        <v>13</v>
      </c>
      <c r="B6" s="8" t="s">
        <v>110</v>
      </c>
      <c r="C6" s="7"/>
      <c r="D6" s="9" t="s">
        <v>37</v>
      </c>
      <c r="E6" s="9" t="s">
        <v>108</v>
      </c>
      <c r="F6" s="7"/>
      <c r="G6" s="9" t="s">
        <v>26</v>
      </c>
      <c r="H6" s="9" t="s">
        <v>111</v>
      </c>
      <c r="I6" s="7"/>
      <c r="J6" s="8" t="s">
        <v>63</v>
      </c>
      <c r="K6" s="9" t="s">
        <v>108</v>
      </c>
      <c r="L6" s="7"/>
      <c r="M6" s="8" t="s">
        <v>78</v>
      </c>
      <c r="N6" s="9" t="s">
        <v>111</v>
      </c>
    </row>
    <row r="7" spans="1:14" ht="15" customHeight="1" x14ac:dyDescent="0.25">
      <c r="A7" s="9" t="s">
        <v>12</v>
      </c>
      <c r="B7" s="8" t="s">
        <v>110</v>
      </c>
      <c r="C7" s="7"/>
      <c r="D7" s="9" t="s">
        <v>36</v>
      </c>
      <c r="E7" s="9" t="s">
        <v>108</v>
      </c>
      <c r="F7" s="7"/>
      <c r="G7" s="9" t="s">
        <v>25</v>
      </c>
      <c r="H7" s="9" t="s">
        <v>111</v>
      </c>
      <c r="I7" s="7"/>
      <c r="J7" s="8" t="s">
        <v>62</v>
      </c>
      <c r="K7" s="9" t="s">
        <v>108</v>
      </c>
      <c r="L7" s="7"/>
      <c r="M7" s="8" t="s">
        <v>77</v>
      </c>
      <c r="N7" s="9" t="s">
        <v>111</v>
      </c>
    </row>
    <row r="8" spans="1:14" ht="15" customHeight="1" x14ac:dyDescent="0.25">
      <c r="A8" s="9" t="s">
        <v>11</v>
      </c>
      <c r="B8" s="8" t="s">
        <v>110</v>
      </c>
      <c r="C8" s="7"/>
      <c r="D8" s="9" t="s">
        <v>35</v>
      </c>
      <c r="E8" s="9" t="s">
        <v>108</v>
      </c>
      <c r="F8" s="7"/>
      <c r="G8" s="9" t="s">
        <v>24</v>
      </c>
      <c r="H8" s="9" t="s">
        <v>111</v>
      </c>
      <c r="I8" s="7"/>
      <c r="J8" s="8" t="s">
        <v>61</v>
      </c>
      <c r="K8" s="9" t="s">
        <v>108</v>
      </c>
      <c r="L8" s="7"/>
      <c r="M8" s="8" t="s">
        <v>76</v>
      </c>
      <c r="N8" s="9" t="s">
        <v>111</v>
      </c>
    </row>
    <row r="9" spans="1:14" ht="15" customHeight="1" x14ac:dyDescent="0.25">
      <c r="A9" s="9" t="s">
        <v>10</v>
      </c>
      <c r="B9" s="8" t="s">
        <v>110</v>
      </c>
      <c r="C9" s="7"/>
      <c r="D9" s="9" t="s">
        <v>34</v>
      </c>
      <c r="E9" s="9" t="s">
        <v>108</v>
      </c>
      <c r="F9" s="7"/>
      <c r="G9" s="9" t="s">
        <v>23</v>
      </c>
      <c r="H9" s="9" t="s">
        <v>111</v>
      </c>
      <c r="I9" s="7"/>
      <c r="J9" s="8" t="s">
        <v>60</v>
      </c>
      <c r="K9" s="9" t="s">
        <v>108</v>
      </c>
      <c r="L9" s="7"/>
      <c r="M9" s="8" t="s">
        <v>75</v>
      </c>
      <c r="N9" s="9" t="s">
        <v>111</v>
      </c>
    </row>
    <row r="10" spans="1:14" ht="15" customHeight="1" x14ac:dyDescent="0.25">
      <c r="A10" s="9" t="s">
        <v>9</v>
      </c>
      <c r="B10" s="8" t="s">
        <v>110</v>
      </c>
      <c r="C10" s="7"/>
      <c r="D10" s="9" t="s">
        <v>33</v>
      </c>
      <c r="E10" s="9" t="s">
        <v>108</v>
      </c>
      <c r="F10" s="7"/>
      <c r="G10" s="9" t="s">
        <v>22</v>
      </c>
      <c r="H10" s="9" t="s">
        <v>111</v>
      </c>
      <c r="I10" s="7"/>
      <c r="J10" s="8" t="s">
        <v>59</v>
      </c>
      <c r="K10" s="9" t="s">
        <v>108</v>
      </c>
      <c r="L10" s="7"/>
      <c r="M10" s="8" t="s">
        <v>83</v>
      </c>
      <c r="N10" s="9" t="s">
        <v>111</v>
      </c>
    </row>
    <row r="11" spans="1:14" ht="15" customHeight="1" x14ac:dyDescent="0.25">
      <c r="A11" s="9" t="s">
        <v>8</v>
      </c>
      <c r="B11" s="8" t="s">
        <v>110</v>
      </c>
      <c r="C11" s="7"/>
      <c r="D11" s="9" t="s">
        <v>32</v>
      </c>
      <c r="E11" s="9" t="s">
        <v>108</v>
      </c>
      <c r="F11" s="7"/>
      <c r="G11" s="9" t="s">
        <v>112</v>
      </c>
      <c r="H11" s="9" t="s">
        <v>111</v>
      </c>
      <c r="I11" s="7"/>
      <c r="J11" s="8" t="s">
        <v>58</v>
      </c>
      <c r="K11" s="9" t="s">
        <v>108</v>
      </c>
      <c r="L11" s="7"/>
      <c r="M11" s="8" t="s">
        <v>84</v>
      </c>
      <c r="N11" s="9" t="s">
        <v>111</v>
      </c>
    </row>
    <row r="12" spans="1:14" ht="15" customHeight="1" x14ac:dyDescent="0.25">
      <c r="A12" s="9" t="s">
        <v>7</v>
      </c>
      <c r="B12" s="8" t="s">
        <v>110</v>
      </c>
      <c r="C12" s="7"/>
      <c r="D12" s="9" t="s">
        <v>31</v>
      </c>
      <c r="E12" s="9" t="s">
        <v>108</v>
      </c>
      <c r="F12" s="7"/>
      <c r="G12" s="9" t="s">
        <v>17</v>
      </c>
      <c r="H12" s="8" t="s">
        <v>113</v>
      </c>
      <c r="I12" s="7"/>
      <c r="J12" s="8" t="s">
        <v>57</v>
      </c>
      <c r="K12" s="9" t="s">
        <v>108</v>
      </c>
      <c r="L12" s="7"/>
      <c r="M12" s="8" t="s">
        <v>85</v>
      </c>
      <c r="N12" s="9" t="s">
        <v>111</v>
      </c>
    </row>
    <row r="13" spans="1:14" ht="15" customHeight="1" x14ac:dyDescent="0.25">
      <c r="A13" s="9" t="s">
        <v>6</v>
      </c>
      <c r="B13" s="8" t="s">
        <v>110</v>
      </c>
      <c r="C13" s="7"/>
      <c r="D13" s="9" t="s">
        <v>30</v>
      </c>
      <c r="E13" s="9" t="s">
        <v>108</v>
      </c>
      <c r="F13" s="7"/>
      <c r="G13" s="9" t="s">
        <v>47</v>
      </c>
      <c r="H13" s="9" t="s">
        <v>108</v>
      </c>
      <c r="I13" s="7"/>
      <c r="J13" s="8" t="s">
        <v>56</v>
      </c>
      <c r="K13" s="9" t="s">
        <v>108</v>
      </c>
      <c r="L13" s="7"/>
      <c r="M13" s="8" t="s">
        <v>86</v>
      </c>
      <c r="N13" s="9" t="s">
        <v>111</v>
      </c>
    </row>
    <row r="14" spans="1:14" ht="15" customHeight="1" x14ac:dyDescent="0.25">
      <c r="A14" s="9" t="s">
        <v>5</v>
      </c>
      <c r="B14" s="8" t="s">
        <v>110</v>
      </c>
      <c r="C14" s="7"/>
      <c r="D14" s="9" t="s">
        <v>29</v>
      </c>
      <c r="E14" s="9" t="s">
        <v>108</v>
      </c>
      <c r="F14" s="7"/>
      <c r="G14" s="9" t="s">
        <v>46</v>
      </c>
      <c r="H14" s="9" t="s">
        <v>108</v>
      </c>
      <c r="I14" s="7"/>
      <c r="J14" s="8" t="s">
        <v>55</v>
      </c>
      <c r="K14" s="9" t="s">
        <v>108</v>
      </c>
      <c r="L14" s="7"/>
      <c r="M14" s="8" t="s">
        <v>74</v>
      </c>
      <c r="N14" s="9" t="s">
        <v>108</v>
      </c>
    </row>
    <row r="15" spans="1:14" ht="15" customHeight="1" x14ac:dyDescent="0.25">
      <c r="A15" s="9" t="s">
        <v>4</v>
      </c>
      <c r="B15" s="8" t="s">
        <v>110</v>
      </c>
      <c r="C15" s="7"/>
      <c r="D15" s="9" t="s">
        <v>28</v>
      </c>
      <c r="E15" s="9" t="s">
        <v>108</v>
      </c>
      <c r="F15" s="7"/>
      <c r="G15" s="9" t="s">
        <v>45</v>
      </c>
      <c r="H15" s="9" t="s">
        <v>108</v>
      </c>
      <c r="I15" s="7"/>
      <c r="J15" s="8" t="s">
        <v>54</v>
      </c>
      <c r="K15" s="9" t="s">
        <v>108</v>
      </c>
      <c r="L15" s="7"/>
      <c r="M15" s="8" t="s">
        <v>73</v>
      </c>
      <c r="N15" s="9" t="s">
        <v>108</v>
      </c>
    </row>
    <row r="16" spans="1:14" ht="15" customHeight="1" x14ac:dyDescent="0.25">
      <c r="A16" s="9" t="s">
        <v>3</v>
      </c>
      <c r="B16" s="8" t="s">
        <v>110</v>
      </c>
      <c r="C16" s="7"/>
      <c r="D16" s="9" t="s">
        <v>21</v>
      </c>
      <c r="E16" s="9" t="s">
        <v>108</v>
      </c>
      <c r="F16" s="7"/>
      <c r="G16" s="9" t="s">
        <v>43</v>
      </c>
      <c r="H16" s="9" t="s">
        <v>108</v>
      </c>
      <c r="I16" s="7"/>
      <c r="J16" s="8" t="s">
        <v>53</v>
      </c>
      <c r="K16" s="9" t="s">
        <v>108</v>
      </c>
      <c r="L16" s="7"/>
      <c r="M16" s="8" t="s">
        <v>72</v>
      </c>
      <c r="N16" s="9" t="s">
        <v>108</v>
      </c>
    </row>
    <row r="17" spans="1:14" ht="15" customHeight="1" x14ac:dyDescent="0.25">
      <c r="A17" s="9" t="s">
        <v>2</v>
      </c>
      <c r="B17" s="8" t="s">
        <v>110</v>
      </c>
      <c r="C17" s="7"/>
      <c r="D17" s="9" t="s">
        <v>20</v>
      </c>
      <c r="E17" s="9" t="s">
        <v>108</v>
      </c>
      <c r="F17" s="7"/>
      <c r="G17" s="9" t="s">
        <v>42</v>
      </c>
      <c r="H17" s="9" t="s">
        <v>108</v>
      </c>
      <c r="I17" s="7"/>
      <c r="J17" s="8" t="s">
        <v>66</v>
      </c>
      <c r="K17" s="9" t="s">
        <v>108</v>
      </c>
      <c r="L17" s="7"/>
      <c r="M17" s="8" t="s">
        <v>71</v>
      </c>
      <c r="N17" s="9" t="s">
        <v>108</v>
      </c>
    </row>
    <row r="18" spans="1:14" ht="15" customHeight="1" x14ac:dyDescent="0.25">
      <c r="A18" s="9" t="s">
        <v>1</v>
      </c>
      <c r="B18" s="8" t="s">
        <v>110</v>
      </c>
      <c r="C18" s="7"/>
      <c r="D18" s="9" t="s">
        <v>19</v>
      </c>
      <c r="E18" s="9" t="s">
        <v>108</v>
      </c>
      <c r="F18" s="7"/>
      <c r="G18" s="9" t="s">
        <v>41</v>
      </c>
      <c r="H18" s="9" t="s">
        <v>108</v>
      </c>
      <c r="I18" s="7"/>
      <c r="J18" s="8" t="s">
        <v>70</v>
      </c>
      <c r="K18" s="9" t="s">
        <v>108</v>
      </c>
      <c r="L18" s="7"/>
      <c r="M18" s="8" t="s">
        <v>68</v>
      </c>
      <c r="N18" s="9" t="s">
        <v>108</v>
      </c>
    </row>
    <row r="19" spans="1:14" ht="15" customHeight="1" x14ac:dyDescent="0.25">
      <c r="A19" s="9" t="s">
        <v>0</v>
      </c>
      <c r="B19" s="8" t="s">
        <v>110</v>
      </c>
      <c r="C19" s="7"/>
      <c r="D19" s="9" t="s">
        <v>18</v>
      </c>
      <c r="E19" s="9" t="s">
        <v>114</v>
      </c>
      <c r="F19" s="7"/>
      <c r="G19" s="8" t="s">
        <v>50</v>
      </c>
      <c r="H19" s="8" t="s">
        <v>108</v>
      </c>
      <c r="I19" s="7"/>
      <c r="J19" s="8" t="s">
        <v>69</v>
      </c>
      <c r="K19" s="9" t="s">
        <v>108</v>
      </c>
      <c r="L19" s="7"/>
      <c r="M19" s="8" t="s">
        <v>67</v>
      </c>
      <c r="N19" s="9" t="s">
        <v>108</v>
      </c>
    </row>
    <row r="20" spans="1:14" ht="15" customHeight="1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</row>
    <row r="21" spans="1:14" ht="15" customHeight="1" x14ac:dyDescent="0.25">
      <c r="A21" s="56" t="s">
        <v>115</v>
      </c>
      <c r="B21" s="56"/>
      <c r="C21" s="7"/>
      <c r="D21" s="56" t="s">
        <v>116</v>
      </c>
      <c r="E21" s="56"/>
      <c r="F21" s="7"/>
      <c r="G21" s="56" t="s">
        <v>117</v>
      </c>
      <c r="H21" s="56"/>
      <c r="I21" s="7"/>
      <c r="J21" s="56" t="s">
        <v>118</v>
      </c>
      <c r="K21" s="56"/>
      <c r="L21" s="7"/>
      <c r="M21" s="56" t="s">
        <v>119</v>
      </c>
      <c r="N21" s="56"/>
    </row>
    <row r="22" spans="1:14" ht="15" customHeight="1" x14ac:dyDescent="0.25">
      <c r="A22" s="56" t="s">
        <v>120</v>
      </c>
      <c r="B22" s="56"/>
      <c r="C22" s="7"/>
      <c r="D22" s="56" t="s">
        <v>121</v>
      </c>
      <c r="E22" s="56"/>
      <c r="F22" s="7"/>
      <c r="G22" s="56" t="s">
        <v>120</v>
      </c>
      <c r="H22" s="56"/>
      <c r="I22" s="7"/>
      <c r="J22" s="56" t="s">
        <v>121</v>
      </c>
      <c r="K22" s="56"/>
      <c r="L22" s="7"/>
      <c r="M22" s="56" t="s">
        <v>120</v>
      </c>
      <c r="N22" s="56"/>
    </row>
    <row r="23" spans="1:14" ht="15" customHeight="1" x14ac:dyDescent="0.25">
      <c r="A23" s="56" t="s">
        <v>122</v>
      </c>
      <c r="B23" s="56"/>
      <c r="C23" s="7"/>
      <c r="D23" s="56" t="s">
        <v>123</v>
      </c>
      <c r="E23" s="56"/>
      <c r="F23" s="7"/>
      <c r="G23" s="56" t="s">
        <v>122</v>
      </c>
      <c r="H23" s="56"/>
      <c r="I23" s="7"/>
      <c r="J23" s="56" t="s">
        <v>123</v>
      </c>
      <c r="K23" s="56"/>
      <c r="L23" s="7"/>
      <c r="M23" s="56" t="s">
        <v>122</v>
      </c>
      <c r="N23" s="56"/>
    </row>
    <row r="24" spans="1:14" ht="15" customHeight="1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</row>
    <row r="25" spans="1:14" ht="15" customHeight="1" x14ac:dyDescent="0.25">
      <c r="A25" s="56" t="s">
        <v>52</v>
      </c>
      <c r="B25" s="56"/>
      <c r="C25" s="56"/>
      <c r="D25" s="56"/>
      <c r="E25" s="56"/>
      <c r="F25" s="56"/>
      <c r="G25" s="56"/>
      <c r="H25" s="56"/>
      <c r="I25" s="56" t="s">
        <v>124</v>
      </c>
      <c r="J25" s="56"/>
      <c r="K25" s="56"/>
      <c r="L25" s="56"/>
      <c r="M25" s="56"/>
      <c r="N25" s="56"/>
    </row>
    <row r="26" spans="1:14" ht="15" customHeight="1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</row>
    <row r="27" spans="1:14" ht="15" customHeight="1" x14ac:dyDescent="0.25">
      <c r="A27" s="6" t="s">
        <v>125</v>
      </c>
      <c r="B27" s="55" t="s">
        <v>126</v>
      </c>
      <c r="C27" s="55"/>
      <c r="D27" s="55"/>
      <c r="E27" s="7"/>
      <c r="F27" s="7"/>
      <c r="G27" s="55" t="s">
        <v>127</v>
      </c>
      <c r="H27" s="55"/>
      <c r="I27" s="7"/>
      <c r="J27" s="55" t="s">
        <v>142</v>
      </c>
      <c r="K27" s="55"/>
      <c r="L27" s="7"/>
      <c r="M27" s="10" t="s">
        <v>129</v>
      </c>
      <c r="N27" s="7"/>
    </row>
    <row r="28" spans="1:14" ht="15" customHeight="1" x14ac:dyDescent="0.25">
      <c r="A28" s="6" t="s">
        <v>130</v>
      </c>
      <c r="B28" s="55" t="s">
        <v>131</v>
      </c>
      <c r="C28" s="55"/>
      <c r="D28" s="55"/>
      <c r="E28" s="7"/>
      <c r="F28" s="7"/>
      <c r="G28" s="55" t="s">
        <v>132</v>
      </c>
      <c r="H28" s="55"/>
      <c r="I28" s="7"/>
      <c r="J28" s="55" t="s">
        <v>128</v>
      </c>
      <c r="K28" s="55"/>
      <c r="L28" s="7"/>
      <c r="M28" s="6" t="s">
        <v>134</v>
      </c>
      <c r="N28" s="7"/>
    </row>
    <row r="29" spans="1:14" ht="15" customHeight="1" x14ac:dyDescent="0.25">
      <c r="A29" s="6" t="s">
        <v>135</v>
      </c>
      <c r="B29" s="55" t="s">
        <v>136</v>
      </c>
      <c r="C29" s="55"/>
      <c r="D29" s="55"/>
      <c r="E29" s="7"/>
      <c r="F29" s="7"/>
      <c r="G29" s="55" t="s">
        <v>147</v>
      </c>
      <c r="H29" s="55"/>
      <c r="I29" s="7"/>
      <c r="J29" s="55" t="s">
        <v>133</v>
      </c>
      <c r="K29" s="55"/>
      <c r="L29" s="7"/>
      <c r="M29" s="7"/>
      <c r="N29" s="7"/>
    </row>
    <row r="30" spans="1:14" ht="15" customHeight="1" x14ac:dyDescent="0.25">
      <c r="A30" s="6" t="s">
        <v>137</v>
      </c>
      <c r="B30" s="55" t="s">
        <v>88</v>
      </c>
      <c r="C30" s="55"/>
      <c r="D30" s="55"/>
      <c r="E30" s="7"/>
      <c r="F30" s="7"/>
      <c r="G30" s="55" t="s">
        <v>138</v>
      </c>
      <c r="H30" s="55"/>
      <c r="I30" s="7"/>
      <c r="J30" s="55" t="s">
        <v>143</v>
      </c>
      <c r="K30" s="55"/>
      <c r="L30" s="7"/>
      <c r="M30" s="7"/>
      <c r="N30" s="7"/>
    </row>
    <row r="31" spans="1:14" ht="15" customHeight="1" x14ac:dyDescent="0.25">
      <c r="A31" s="6" t="s">
        <v>139</v>
      </c>
      <c r="B31" s="55" t="s">
        <v>140</v>
      </c>
      <c r="C31" s="55"/>
      <c r="D31" s="55"/>
      <c r="E31" s="7"/>
      <c r="F31" s="7"/>
      <c r="G31" s="55" t="s">
        <v>148</v>
      </c>
      <c r="H31" s="55"/>
      <c r="I31" s="7"/>
      <c r="J31" s="7"/>
      <c r="K31" s="7"/>
      <c r="L31" s="7"/>
      <c r="M31" s="7"/>
      <c r="N31" s="7"/>
    </row>
    <row r="32" spans="1:14" ht="15" customHeight="1" x14ac:dyDescent="0.25">
      <c r="A32" s="6" t="s">
        <v>141</v>
      </c>
      <c r="B32" s="55" t="s">
        <v>89</v>
      </c>
      <c r="C32" s="55"/>
      <c r="D32" s="55"/>
      <c r="E32" s="7"/>
      <c r="F32" s="7"/>
      <c r="G32" s="55" t="s">
        <v>149</v>
      </c>
      <c r="H32" s="55"/>
      <c r="I32" s="7"/>
      <c r="J32" s="7"/>
      <c r="K32" s="7"/>
      <c r="L32" s="7"/>
      <c r="M32" s="7"/>
      <c r="N32" s="7"/>
    </row>
  </sheetData>
  <mergeCells count="33">
    <mergeCell ref="B32:D32"/>
    <mergeCell ref="B29:D29"/>
    <mergeCell ref="G29:H29"/>
    <mergeCell ref="B30:D30"/>
    <mergeCell ref="G30:H30"/>
    <mergeCell ref="B31:D31"/>
    <mergeCell ref="G31:H31"/>
    <mergeCell ref="G32:H32"/>
    <mergeCell ref="A23:B23"/>
    <mergeCell ref="D23:E23"/>
    <mergeCell ref="G23:H23"/>
    <mergeCell ref="J23:K23"/>
    <mergeCell ref="M23:N23"/>
    <mergeCell ref="A22:B22"/>
    <mergeCell ref="D22:E22"/>
    <mergeCell ref="G22:H22"/>
    <mergeCell ref="J22:K22"/>
    <mergeCell ref="M22:N22"/>
    <mergeCell ref="A21:B21"/>
    <mergeCell ref="D21:E21"/>
    <mergeCell ref="G21:H21"/>
    <mergeCell ref="J21:K21"/>
    <mergeCell ref="M21:N21"/>
    <mergeCell ref="J30:K30"/>
    <mergeCell ref="J29:K29"/>
    <mergeCell ref="J27:K27"/>
    <mergeCell ref="A25:H25"/>
    <mergeCell ref="I25:N25"/>
    <mergeCell ref="B27:D27"/>
    <mergeCell ref="G27:H27"/>
    <mergeCell ref="J28:K28"/>
    <mergeCell ref="B28:D28"/>
    <mergeCell ref="G28:H28"/>
  </mergeCells>
  <pageMargins left="0.25" right="0.25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08532-D380-4DEE-8892-18BA2F6E0C9D}">
  <dimension ref="A1:M200"/>
  <sheetViews>
    <sheetView topLeftCell="A42" workbookViewId="0">
      <selection activeCell="N52" sqref="N52"/>
    </sheetView>
  </sheetViews>
  <sheetFormatPr defaultRowHeight="15.75" x14ac:dyDescent="0.25"/>
  <cols>
    <col min="1" max="1" width="11.25" bestFit="1" customWidth="1"/>
    <col min="2" max="13" width="9.25" customWidth="1"/>
  </cols>
  <sheetData>
    <row r="1" spans="1:13" ht="22.5" customHeight="1" x14ac:dyDescent="0.35">
      <c r="A1" s="57" t="s">
        <v>172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9"/>
    </row>
    <row r="2" spans="1:13" ht="22.5" customHeight="1" x14ac:dyDescent="0.25">
      <c r="A2" s="12" t="s">
        <v>164</v>
      </c>
      <c r="B2" s="60" t="s">
        <v>165</v>
      </c>
      <c r="C2" s="60"/>
      <c r="D2" s="60"/>
      <c r="E2" s="61"/>
      <c r="F2" s="62" t="s">
        <v>165</v>
      </c>
      <c r="G2" s="60"/>
      <c r="H2" s="60"/>
      <c r="I2" s="61"/>
      <c r="J2" s="62" t="s">
        <v>165</v>
      </c>
      <c r="K2" s="60"/>
      <c r="L2" s="60"/>
      <c r="M2" s="60"/>
    </row>
    <row r="3" spans="1:13" ht="22.5" customHeight="1" x14ac:dyDescent="0.25">
      <c r="A3" s="12">
        <v>1</v>
      </c>
      <c r="B3" s="63" t="s">
        <v>166</v>
      </c>
      <c r="C3" s="63"/>
      <c r="D3" s="63" t="s">
        <v>167</v>
      </c>
      <c r="E3" s="64"/>
      <c r="F3" s="65" t="s">
        <v>166</v>
      </c>
      <c r="G3" s="63"/>
      <c r="H3" s="63" t="s">
        <v>167</v>
      </c>
      <c r="I3" s="64"/>
      <c r="J3" s="65" t="s">
        <v>166</v>
      </c>
      <c r="K3" s="63"/>
      <c r="L3" s="63" t="s">
        <v>167</v>
      </c>
      <c r="M3" s="63"/>
    </row>
    <row r="4" spans="1:13" ht="22.5" customHeight="1" x14ac:dyDescent="0.25">
      <c r="A4" s="12" t="s">
        <v>168</v>
      </c>
      <c r="B4" s="12" t="s">
        <v>169</v>
      </c>
      <c r="C4" s="12" t="s">
        <v>170</v>
      </c>
      <c r="D4" s="12" t="s">
        <v>169</v>
      </c>
      <c r="E4" s="13" t="s">
        <v>170</v>
      </c>
      <c r="F4" s="14" t="s">
        <v>169</v>
      </c>
      <c r="G4" s="12" t="s">
        <v>170</v>
      </c>
      <c r="H4" s="12" t="s">
        <v>169</v>
      </c>
      <c r="I4" s="13" t="s">
        <v>170</v>
      </c>
      <c r="J4" s="14" t="s">
        <v>169</v>
      </c>
      <c r="K4" s="12" t="s">
        <v>170</v>
      </c>
      <c r="L4" s="12" t="s">
        <v>169</v>
      </c>
      <c r="M4" s="12" t="s">
        <v>170</v>
      </c>
    </row>
    <row r="5" spans="1:13" ht="22.5" customHeight="1" x14ac:dyDescent="0.25">
      <c r="A5" s="1" t="s">
        <v>0</v>
      </c>
      <c r="B5" s="1"/>
      <c r="C5" s="1"/>
      <c r="D5" s="1"/>
      <c r="E5" s="15"/>
      <c r="F5" s="16"/>
      <c r="G5" s="1"/>
      <c r="H5" s="1"/>
      <c r="I5" s="15"/>
      <c r="J5" s="16"/>
      <c r="K5" s="1"/>
      <c r="L5" s="1"/>
      <c r="M5" s="1"/>
    </row>
    <row r="6" spans="1:13" ht="22.5" customHeight="1" x14ac:dyDescent="0.25">
      <c r="A6" s="1" t="s">
        <v>1</v>
      </c>
      <c r="B6" s="1"/>
      <c r="C6" s="1"/>
      <c r="D6" s="1"/>
      <c r="E6" s="15"/>
      <c r="F6" s="16"/>
      <c r="G6" s="1"/>
      <c r="H6" s="1"/>
      <c r="I6" s="15"/>
      <c r="J6" s="16"/>
      <c r="K6" s="1"/>
      <c r="L6" s="1"/>
      <c r="M6" s="1"/>
    </row>
    <row r="7" spans="1:13" ht="22.5" customHeight="1" x14ac:dyDescent="0.25">
      <c r="A7" s="1" t="s">
        <v>2</v>
      </c>
      <c r="B7" s="1"/>
      <c r="C7" s="1"/>
      <c r="D7" s="1"/>
      <c r="E7" s="15"/>
      <c r="F7" s="16"/>
      <c r="G7" s="1"/>
      <c r="H7" s="1"/>
      <c r="I7" s="15"/>
      <c r="J7" s="16"/>
      <c r="K7" s="1"/>
      <c r="L7" s="1"/>
      <c r="M7" s="1"/>
    </row>
    <row r="8" spans="1:13" ht="22.5" customHeight="1" x14ac:dyDescent="0.25">
      <c r="A8" s="1" t="s">
        <v>3</v>
      </c>
      <c r="B8" s="1"/>
      <c r="C8" s="1"/>
      <c r="D8" s="1"/>
      <c r="E8" s="15"/>
      <c r="F8" s="16"/>
      <c r="G8" s="1"/>
      <c r="H8" s="1"/>
      <c r="I8" s="15"/>
      <c r="J8" s="16"/>
      <c r="K8" s="1"/>
      <c r="L8" s="1"/>
      <c r="M8" s="1"/>
    </row>
    <row r="9" spans="1:13" ht="22.5" customHeight="1" x14ac:dyDescent="0.25">
      <c r="A9" s="1" t="s">
        <v>4</v>
      </c>
      <c r="B9" s="1"/>
      <c r="C9" s="1"/>
      <c r="D9" s="1"/>
      <c r="E9" s="15"/>
      <c r="F9" s="16"/>
      <c r="G9" s="1"/>
      <c r="H9" s="1"/>
      <c r="I9" s="15"/>
      <c r="J9" s="16"/>
      <c r="K9" s="1"/>
      <c r="L9" s="1"/>
      <c r="M9" s="1"/>
    </row>
    <row r="10" spans="1:13" ht="22.5" customHeight="1" x14ac:dyDescent="0.25">
      <c r="A10" s="1" t="s">
        <v>5</v>
      </c>
      <c r="B10" s="1"/>
      <c r="C10" s="1"/>
      <c r="D10" s="1"/>
      <c r="E10" s="15"/>
      <c r="F10" s="16"/>
      <c r="G10" s="1"/>
      <c r="H10" s="1"/>
      <c r="I10" s="15"/>
      <c r="J10" s="16"/>
      <c r="K10" s="1"/>
      <c r="L10" s="1"/>
      <c r="M10" s="1"/>
    </row>
    <row r="11" spans="1:13" ht="22.5" customHeight="1" x14ac:dyDescent="0.25">
      <c r="A11" s="1" t="s">
        <v>6</v>
      </c>
      <c r="B11" s="1"/>
      <c r="C11" s="1"/>
      <c r="D11" s="1"/>
      <c r="E11" s="15"/>
      <c r="F11" s="16"/>
      <c r="G11" s="1"/>
      <c r="H11" s="1"/>
      <c r="I11" s="15"/>
      <c r="J11" s="16"/>
      <c r="K11" s="1"/>
      <c r="L11" s="1"/>
      <c r="M11" s="1"/>
    </row>
    <row r="12" spans="1:13" ht="22.5" customHeight="1" x14ac:dyDescent="0.25">
      <c r="A12" s="1" t="s">
        <v>7</v>
      </c>
      <c r="B12" s="1"/>
      <c r="C12" s="1"/>
      <c r="D12" s="1"/>
      <c r="E12" s="15"/>
      <c r="F12" s="16"/>
      <c r="G12" s="1"/>
      <c r="H12" s="1"/>
      <c r="I12" s="15"/>
      <c r="J12" s="16"/>
      <c r="K12" s="1"/>
      <c r="L12" s="1"/>
      <c r="M12" s="1"/>
    </row>
    <row r="13" spans="1:13" ht="22.5" customHeight="1" x14ac:dyDescent="0.25">
      <c r="A13" s="1" t="s">
        <v>8</v>
      </c>
      <c r="B13" s="1"/>
      <c r="C13" s="1"/>
      <c r="D13" s="1"/>
      <c r="E13" s="15"/>
      <c r="F13" s="16"/>
      <c r="G13" s="1"/>
      <c r="H13" s="1"/>
      <c r="I13" s="15"/>
      <c r="J13" s="16"/>
      <c r="K13" s="1"/>
      <c r="L13" s="1"/>
      <c r="M13" s="1"/>
    </row>
    <row r="14" spans="1:13" ht="22.5" customHeight="1" x14ac:dyDescent="0.25">
      <c r="A14" s="1" t="s">
        <v>9</v>
      </c>
      <c r="B14" s="1"/>
      <c r="C14" s="1"/>
      <c r="D14" s="1"/>
      <c r="E14" s="15"/>
      <c r="F14" s="16"/>
      <c r="G14" s="1"/>
      <c r="H14" s="1"/>
      <c r="I14" s="15"/>
      <c r="J14" s="16"/>
      <c r="K14" s="1"/>
      <c r="L14" s="1"/>
      <c r="M14" s="1"/>
    </row>
    <row r="15" spans="1:13" ht="22.5" customHeight="1" x14ac:dyDescent="0.25">
      <c r="A15" s="1" t="s">
        <v>10</v>
      </c>
      <c r="B15" s="1"/>
      <c r="C15" s="1"/>
      <c r="D15" s="1"/>
      <c r="E15" s="15"/>
      <c r="F15" s="16"/>
      <c r="G15" s="1"/>
      <c r="H15" s="1"/>
      <c r="I15" s="15"/>
      <c r="J15" s="16"/>
      <c r="K15" s="1"/>
      <c r="L15" s="1"/>
      <c r="M15" s="1"/>
    </row>
    <row r="16" spans="1:13" ht="22.5" customHeight="1" x14ac:dyDescent="0.25">
      <c r="A16" s="1" t="s">
        <v>11</v>
      </c>
      <c r="B16" s="1"/>
      <c r="C16" s="1"/>
      <c r="D16" s="1"/>
      <c r="E16" s="15"/>
      <c r="F16" s="16"/>
      <c r="G16" s="1"/>
      <c r="H16" s="1"/>
      <c r="I16" s="15"/>
      <c r="J16" s="16"/>
      <c r="K16" s="1"/>
      <c r="L16" s="1"/>
      <c r="M16" s="1"/>
    </row>
    <row r="17" spans="1:13" ht="22.5" customHeight="1" x14ac:dyDescent="0.25">
      <c r="A17" s="1" t="s">
        <v>12</v>
      </c>
      <c r="B17" s="1"/>
      <c r="C17" s="1"/>
      <c r="D17" s="1"/>
      <c r="E17" s="15"/>
      <c r="F17" s="16"/>
      <c r="G17" s="1"/>
      <c r="H17" s="1"/>
      <c r="I17" s="15"/>
      <c r="J17" s="16"/>
      <c r="K17" s="1"/>
      <c r="L17" s="1"/>
      <c r="M17" s="1"/>
    </row>
    <row r="18" spans="1:13" ht="22.5" customHeight="1" x14ac:dyDescent="0.25">
      <c r="A18" s="1" t="s">
        <v>13</v>
      </c>
      <c r="B18" s="1"/>
      <c r="C18" s="1"/>
      <c r="D18" s="1"/>
      <c r="E18" s="15"/>
      <c r="F18" s="16"/>
      <c r="G18" s="1"/>
      <c r="H18" s="1"/>
      <c r="I18" s="15"/>
      <c r="J18" s="16"/>
      <c r="K18" s="1"/>
      <c r="L18" s="1"/>
      <c r="M18" s="1"/>
    </row>
    <row r="19" spans="1:13" ht="22.5" customHeight="1" x14ac:dyDescent="0.25">
      <c r="A19" s="1" t="s">
        <v>14</v>
      </c>
      <c r="B19" s="1"/>
      <c r="C19" s="1"/>
      <c r="D19" s="1"/>
      <c r="E19" s="15"/>
      <c r="F19" s="16"/>
      <c r="G19" s="1"/>
      <c r="H19" s="1"/>
      <c r="I19" s="15"/>
      <c r="J19" s="16"/>
      <c r="K19" s="1"/>
      <c r="L19" s="1"/>
      <c r="M19" s="1"/>
    </row>
    <row r="20" spans="1:13" ht="22.5" customHeight="1" x14ac:dyDescent="0.25">
      <c r="A20" s="1" t="s">
        <v>15</v>
      </c>
      <c r="B20" s="1"/>
      <c r="C20" s="1"/>
      <c r="D20" s="1"/>
      <c r="E20" s="15"/>
      <c r="F20" s="16"/>
      <c r="G20" s="1"/>
      <c r="H20" s="1"/>
      <c r="I20" s="15"/>
      <c r="J20" s="16"/>
      <c r="K20" s="1"/>
      <c r="L20" s="1"/>
      <c r="M20" s="1"/>
    </row>
    <row r="21" spans="1:13" ht="22.5" customHeight="1" x14ac:dyDescent="0.25">
      <c r="A21" s="1" t="s">
        <v>16</v>
      </c>
      <c r="B21" s="1"/>
      <c r="C21" s="1"/>
      <c r="D21" s="1"/>
      <c r="E21" s="15"/>
      <c r="F21" s="16"/>
      <c r="G21" s="1"/>
      <c r="H21" s="1"/>
      <c r="I21" s="15"/>
      <c r="J21" s="16"/>
      <c r="K21" s="1"/>
      <c r="L21" s="1"/>
      <c r="M21" s="1"/>
    </row>
    <row r="22" spans="1:13" ht="22.5" customHeight="1" x14ac:dyDescent="0.35">
      <c r="A22" s="57" t="s">
        <v>172</v>
      </c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9"/>
    </row>
    <row r="23" spans="1:13" ht="22.5" customHeight="1" x14ac:dyDescent="0.25">
      <c r="A23" s="12" t="s">
        <v>164</v>
      </c>
      <c r="B23" s="60" t="s">
        <v>165</v>
      </c>
      <c r="C23" s="60"/>
      <c r="D23" s="60"/>
      <c r="E23" s="61"/>
      <c r="F23" s="62" t="s">
        <v>165</v>
      </c>
      <c r="G23" s="60"/>
      <c r="H23" s="60"/>
      <c r="I23" s="61"/>
      <c r="J23" s="62" t="s">
        <v>165</v>
      </c>
      <c r="K23" s="60"/>
      <c r="L23" s="60"/>
      <c r="M23" s="60"/>
    </row>
    <row r="24" spans="1:13" ht="22.5" customHeight="1" x14ac:dyDescent="0.25">
      <c r="A24" s="12">
        <v>2</v>
      </c>
      <c r="B24" s="63" t="s">
        <v>166</v>
      </c>
      <c r="C24" s="63"/>
      <c r="D24" s="63" t="s">
        <v>167</v>
      </c>
      <c r="E24" s="64"/>
      <c r="F24" s="65" t="s">
        <v>166</v>
      </c>
      <c r="G24" s="63"/>
      <c r="H24" s="63" t="s">
        <v>167</v>
      </c>
      <c r="I24" s="64"/>
      <c r="J24" s="65" t="s">
        <v>166</v>
      </c>
      <c r="K24" s="63"/>
      <c r="L24" s="63" t="s">
        <v>167</v>
      </c>
      <c r="M24" s="63"/>
    </row>
    <row r="25" spans="1:13" ht="22.5" customHeight="1" x14ac:dyDescent="0.25">
      <c r="A25" s="12" t="s">
        <v>168</v>
      </c>
      <c r="B25" s="12" t="s">
        <v>169</v>
      </c>
      <c r="C25" s="12" t="s">
        <v>170</v>
      </c>
      <c r="D25" s="12" t="s">
        <v>169</v>
      </c>
      <c r="E25" s="13" t="s">
        <v>170</v>
      </c>
      <c r="F25" s="14" t="s">
        <v>169</v>
      </c>
      <c r="G25" s="12" t="s">
        <v>170</v>
      </c>
      <c r="H25" s="12" t="s">
        <v>169</v>
      </c>
      <c r="I25" s="13" t="s">
        <v>170</v>
      </c>
      <c r="J25" s="14" t="s">
        <v>169</v>
      </c>
      <c r="K25" s="12" t="s">
        <v>170</v>
      </c>
      <c r="L25" s="12" t="s">
        <v>169</v>
      </c>
      <c r="M25" s="12" t="s">
        <v>170</v>
      </c>
    </row>
    <row r="26" spans="1:13" ht="22.5" customHeight="1" x14ac:dyDescent="0.25">
      <c r="A26" s="1" t="s">
        <v>18</v>
      </c>
      <c r="B26" s="1"/>
      <c r="C26" s="1"/>
      <c r="D26" s="1"/>
      <c r="E26" s="15"/>
      <c r="F26" s="16"/>
      <c r="G26" s="1"/>
      <c r="H26" s="1"/>
      <c r="I26" s="15"/>
      <c r="J26" s="16"/>
      <c r="K26" s="1"/>
      <c r="L26" s="1"/>
      <c r="M26" s="1"/>
    </row>
    <row r="27" spans="1:13" ht="22.5" customHeight="1" x14ac:dyDescent="0.25">
      <c r="A27" s="1" t="s">
        <v>19</v>
      </c>
      <c r="B27" s="1"/>
      <c r="C27" s="1"/>
      <c r="D27" s="1"/>
      <c r="E27" s="15"/>
      <c r="F27" s="16"/>
      <c r="G27" s="1"/>
      <c r="H27" s="1"/>
      <c r="I27" s="15"/>
      <c r="J27" s="16"/>
      <c r="K27" s="1"/>
      <c r="L27" s="1"/>
      <c r="M27" s="1"/>
    </row>
    <row r="28" spans="1:13" ht="22.5" customHeight="1" x14ac:dyDescent="0.25">
      <c r="A28" s="1" t="s">
        <v>20</v>
      </c>
      <c r="B28" s="1"/>
      <c r="C28" s="1"/>
      <c r="D28" s="1"/>
      <c r="E28" s="15"/>
      <c r="F28" s="16"/>
      <c r="G28" s="1"/>
      <c r="H28" s="1"/>
      <c r="I28" s="15"/>
      <c r="J28" s="16"/>
      <c r="K28" s="1"/>
      <c r="L28" s="1"/>
      <c r="M28" s="1"/>
    </row>
    <row r="29" spans="1:13" ht="22.5" customHeight="1" x14ac:dyDescent="0.25">
      <c r="A29" s="1" t="s">
        <v>21</v>
      </c>
      <c r="B29" s="1"/>
      <c r="C29" s="1"/>
      <c r="D29" s="1"/>
      <c r="E29" s="15"/>
      <c r="F29" s="16"/>
      <c r="G29" s="1"/>
      <c r="H29" s="1"/>
      <c r="I29" s="15"/>
      <c r="J29" s="16"/>
      <c r="K29" s="1"/>
      <c r="L29" s="1"/>
      <c r="M29" s="1"/>
    </row>
    <row r="30" spans="1:13" ht="22.5" customHeight="1" x14ac:dyDescent="0.25">
      <c r="A30" s="1" t="s">
        <v>28</v>
      </c>
      <c r="B30" s="1"/>
      <c r="C30" s="1"/>
      <c r="D30" s="1"/>
      <c r="E30" s="15"/>
      <c r="F30" s="16"/>
      <c r="G30" s="1"/>
      <c r="H30" s="1"/>
      <c r="I30" s="15"/>
      <c r="J30" s="16"/>
      <c r="K30" s="1"/>
      <c r="L30" s="1"/>
      <c r="M30" s="1"/>
    </row>
    <row r="31" spans="1:13" ht="22.5" customHeight="1" x14ac:dyDescent="0.25">
      <c r="A31" s="1" t="s">
        <v>29</v>
      </c>
      <c r="B31" s="1"/>
      <c r="C31" s="1"/>
      <c r="D31" s="1"/>
      <c r="E31" s="15"/>
      <c r="F31" s="16"/>
      <c r="G31" s="1"/>
      <c r="H31" s="1"/>
      <c r="I31" s="15"/>
      <c r="J31" s="16"/>
      <c r="K31" s="1"/>
      <c r="L31" s="1"/>
      <c r="M31" s="1"/>
    </row>
    <row r="32" spans="1:13" ht="22.5" customHeight="1" x14ac:dyDescent="0.25">
      <c r="A32" s="1" t="s">
        <v>30</v>
      </c>
      <c r="B32" s="1"/>
      <c r="C32" s="1"/>
      <c r="D32" s="1"/>
      <c r="E32" s="15"/>
      <c r="F32" s="16"/>
      <c r="G32" s="1"/>
      <c r="H32" s="1"/>
      <c r="I32" s="15"/>
      <c r="J32" s="16"/>
      <c r="K32" s="1"/>
      <c r="L32" s="1"/>
      <c r="M32" s="1"/>
    </row>
    <row r="33" spans="1:13" ht="22.5" customHeight="1" x14ac:dyDescent="0.25">
      <c r="A33" s="1" t="s">
        <v>31</v>
      </c>
      <c r="B33" s="1"/>
      <c r="C33" s="1"/>
      <c r="D33" s="1"/>
      <c r="E33" s="15"/>
      <c r="F33" s="16"/>
      <c r="G33" s="1"/>
      <c r="H33" s="1"/>
      <c r="I33" s="15"/>
      <c r="J33" s="16"/>
      <c r="K33" s="1"/>
      <c r="L33" s="1"/>
      <c r="M33" s="1"/>
    </row>
    <row r="34" spans="1:13" ht="22.5" customHeight="1" x14ac:dyDescent="0.25">
      <c r="A34" s="1" t="s">
        <v>32</v>
      </c>
      <c r="B34" s="1"/>
      <c r="C34" s="1"/>
      <c r="D34" s="1"/>
      <c r="E34" s="15"/>
      <c r="F34" s="16"/>
      <c r="G34" s="1"/>
      <c r="H34" s="1"/>
      <c r="I34" s="15"/>
      <c r="J34" s="16"/>
      <c r="K34" s="1"/>
      <c r="L34" s="1"/>
      <c r="M34" s="1"/>
    </row>
    <row r="35" spans="1:13" ht="22.5" customHeight="1" x14ac:dyDescent="0.25">
      <c r="A35" s="1" t="s">
        <v>33</v>
      </c>
      <c r="B35" s="1"/>
      <c r="C35" s="1"/>
      <c r="D35" s="1"/>
      <c r="E35" s="15"/>
      <c r="F35" s="16"/>
      <c r="G35" s="1"/>
      <c r="H35" s="1"/>
      <c r="I35" s="15"/>
      <c r="J35" s="16"/>
      <c r="K35" s="1"/>
      <c r="L35" s="1"/>
      <c r="M35" s="1"/>
    </row>
    <row r="36" spans="1:13" ht="22.5" customHeight="1" x14ac:dyDescent="0.25">
      <c r="A36" s="1" t="s">
        <v>34</v>
      </c>
      <c r="B36" s="1"/>
      <c r="C36" s="1"/>
      <c r="D36" s="1"/>
      <c r="E36" s="15"/>
      <c r="F36" s="16"/>
      <c r="G36" s="1"/>
      <c r="H36" s="1"/>
      <c r="I36" s="15"/>
      <c r="J36" s="16"/>
      <c r="K36" s="1"/>
      <c r="L36" s="1"/>
      <c r="M36" s="1"/>
    </row>
    <row r="37" spans="1:13" ht="22.5" customHeight="1" x14ac:dyDescent="0.25">
      <c r="A37" s="1" t="s">
        <v>35</v>
      </c>
      <c r="B37" s="1"/>
      <c r="C37" s="1"/>
      <c r="D37" s="1"/>
      <c r="E37" s="15"/>
      <c r="F37" s="16"/>
      <c r="G37" s="1"/>
      <c r="H37" s="1"/>
      <c r="I37" s="15"/>
      <c r="J37" s="16"/>
      <c r="K37" s="1"/>
      <c r="L37" s="1"/>
      <c r="M37" s="1"/>
    </row>
    <row r="38" spans="1:13" ht="22.5" customHeight="1" x14ac:dyDescent="0.25">
      <c r="A38" s="1" t="s">
        <v>36</v>
      </c>
      <c r="B38" s="1"/>
      <c r="C38" s="1"/>
      <c r="D38" s="1"/>
      <c r="E38" s="15"/>
      <c r="F38" s="16"/>
      <c r="G38" s="1"/>
      <c r="H38" s="1"/>
      <c r="I38" s="15"/>
      <c r="J38" s="16"/>
      <c r="K38" s="1"/>
      <c r="L38" s="1"/>
      <c r="M38" s="1"/>
    </row>
    <row r="39" spans="1:13" ht="22.5" customHeight="1" x14ac:dyDescent="0.25">
      <c r="A39" s="1" t="s">
        <v>37</v>
      </c>
      <c r="B39" s="1"/>
      <c r="C39" s="1"/>
      <c r="D39" s="1"/>
      <c r="E39" s="15"/>
      <c r="F39" s="16"/>
      <c r="G39" s="1"/>
      <c r="H39" s="1"/>
      <c r="I39" s="15"/>
      <c r="J39" s="16"/>
      <c r="K39" s="1"/>
      <c r="L39" s="1"/>
      <c r="M39" s="1"/>
    </row>
    <row r="40" spans="1:13" ht="22.5" customHeight="1" x14ac:dyDescent="0.25">
      <c r="A40" s="1" t="s">
        <v>38</v>
      </c>
      <c r="B40" s="1"/>
      <c r="C40" s="1"/>
      <c r="D40" s="1"/>
      <c r="E40" s="15"/>
      <c r="F40" s="16"/>
      <c r="G40" s="1"/>
      <c r="H40" s="1"/>
      <c r="I40" s="15"/>
      <c r="J40" s="16"/>
      <c r="K40" s="1"/>
      <c r="L40" s="1"/>
      <c r="M40" s="1"/>
    </row>
    <row r="41" spans="1:13" ht="22.5" customHeight="1" x14ac:dyDescent="0.25">
      <c r="A41" s="1" t="s">
        <v>39</v>
      </c>
      <c r="B41" s="1"/>
      <c r="C41" s="1"/>
      <c r="D41" s="1"/>
      <c r="E41" s="15"/>
      <c r="F41" s="16"/>
      <c r="G41" s="1"/>
      <c r="H41" s="1"/>
      <c r="I41" s="15"/>
      <c r="J41" s="16"/>
      <c r="K41" s="1"/>
      <c r="L41" s="1"/>
      <c r="M41" s="1"/>
    </row>
    <row r="42" spans="1:13" ht="22.5" customHeight="1" x14ac:dyDescent="0.25">
      <c r="A42" s="1"/>
      <c r="B42" s="1"/>
      <c r="C42" s="1"/>
      <c r="D42" s="1"/>
      <c r="E42" s="15"/>
      <c r="F42" s="16"/>
      <c r="G42" s="1"/>
      <c r="H42" s="1"/>
      <c r="I42" s="15"/>
      <c r="J42" s="16"/>
      <c r="K42" s="1"/>
      <c r="L42" s="1"/>
      <c r="M42" s="1"/>
    </row>
    <row r="43" spans="1:13" ht="22.5" customHeight="1" x14ac:dyDescent="0.35">
      <c r="A43" s="57" t="s">
        <v>172</v>
      </c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9"/>
    </row>
    <row r="44" spans="1:13" ht="22.5" customHeight="1" x14ac:dyDescent="0.25">
      <c r="A44" s="12" t="s">
        <v>164</v>
      </c>
      <c r="B44" s="60" t="s">
        <v>165</v>
      </c>
      <c r="C44" s="60"/>
      <c r="D44" s="60"/>
      <c r="E44" s="61"/>
      <c r="F44" s="62" t="s">
        <v>165</v>
      </c>
      <c r="G44" s="60"/>
      <c r="H44" s="60"/>
      <c r="I44" s="61"/>
      <c r="J44" s="62" t="s">
        <v>165</v>
      </c>
      <c r="K44" s="60"/>
      <c r="L44" s="60"/>
      <c r="M44" s="60"/>
    </row>
    <row r="45" spans="1:13" ht="22.5" customHeight="1" x14ac:dyDescent="0.25">
      <c r="A45" s="12">
        <v>3</v>
      </c>
      <c r="B45" s="63" t="s">
        <v>166</v>
      </c>
      <c r="C45" s="63"/>
      <c r="D45" s="63" t="s">
        <v>167</v>
      </c>
      <c r="E45" s="64"/>
      <c r="F45" s="65" t="s">
        <v>166</v>
      </c>
      <c r="G45" s="63"/>
      <c r="H45" s="63" t="s">
        <v>167</v>
      </c>
      <c r="I45" s="64"/>
      <c r="J45" s="65" t="s">
        <v>166</v>
      </c>
      <c r="K45" s="63"/>
      <c r="L45" s="63" t="s">
        <v>167</v>
      </c>
      <c r="M45" s="63"/>
    </row>
    <row r="46" spans="1:13" ht="22.5" customHeight="1" x14ac:dyDescent="0.25">
      <c r="A46" s="12" t="s">
        <v>168</v>
      </c>
      <c r="B46" s="12" t="s">
        <v>169</v>
      </c>
      <c r="C46" s="12" t="s">
        <v>170</v>
      </c>
      <c r="D46" s="12" t="s">
        <v>169</v>
      </c>
      <c r="E46" s="13" t="s">
        <v>170</v>
      </c>
      <c r="F46" s="14" t="s">
        <v>169</v>
      </c>
      <c r="G46" s="12" t="s">
        <v>170</v>
      </c>
      <c r="H46" s="12" t="s">
        <v>169</v>
      </c>
      <c r="I46" s="13" t="s">
        <v>170</v>
      </c>
      <c r="J46" s="14" t="s">
        <v>169</v>
      </c>
      <c r="K46" s="12" t="s">
        <v>170</v>
      </c>
      <c r="L46" s="12" t="s">
        <v>169</v>
      </c>
      <c r="M46" s="12" t="s">
        <v>170</v>
      </c>
    </row>
    <row r="47" spans="1:13" ht="22.5" customHeight="1" x14ac:dyDescent="0.25">
      <c r="A47" s="17" t="s">
        <v>50</v>
      </c>
      <c r="B47" s="1"/>
      <c r="C47" s="1"/>
      <c r="D47" s="1"/>
      <c r="E47" s="15"/>
      <c r="F47" s="16"/>
      <c r="G47" s="1"/>
      <c r="H47" s="1"/>
      <c r="I47" s="15"/>
      <c r="J47" s="16"/>
      <c r="K47" s="1"/>
      <c r="L47" s="1"/>
      <c r="M47" s="1"/>
    </row>
    <row r="48" spans="1:13" ht="22.5" customHeight="1" x14ac:dyDescent="0.25">
      <c r="A48" s="1" t="s">
        <v>41</v>
      </c>
      <c r="B48" s="1"/>
      <c r="C48" s="1"/>
      <c r="D48" s="1"/>
      <c r="E48" s="15"/>
      <c r="F48" s="16"/>
      <c r="G48" s="1"/>
      <c r="H48" s="1"/>
      <c r="I48" s="15"/>
      <c r="J48" s="16"/>
      <c r="K48" s="1"/>
      <c r="L48" s="1"/>
      <c r="M48" s="1"/>
    </row>
    <row r="49" spans="1:13" ht="22.5" customHeight="1" x14ac:dyDescent="0.25">
      <c r="A49" s="1" t="s">
        <v>42</v>
      </c>
      <c r="B49" s="1"/>
      <c r="C49" s="1"/>
      <c r="D49" s="1"/>
      <c r="E49" s="15"/>
      <c r="F49" s="16"/>
      <c r="G49" s="1"/>
      <c r="H49" s="1"/>
      <c r="I49" s="15"/>
      <c r="J49" s="16"/>
      <c r="K49" s="1"/>
      <c r="L49" s="1"/>
      <c r="M49" s="1"/>
    </row>
    <row r="50" spans="1:13" ht="22.5" customHeight="1" x14ac:dyDescent="0.25">
      <c r="A50" s="1" t="s">
        <v>43</v>
      </c>
      <c r="B50" s="1"/>
      <c r="C50" s="1"/>
      <c r="D50" s="1"/>
      <c r="E50" s="15"/>
      <c r="F50" s="16"/>
      <c r="G50" s="1"/>
      <c r="H50" s="1"/>
      <c r="I50" s="15"/>
      <c r="J50" s="16"/>
      <c r="K50" s="1"/>
      <c r="L50" s="1"/>
      <c r="M50" s="1"/>
    </row>
    <row r="51" spans="1:13" ht="22.5" customHeight="1" x14ac:dyDescent="0.25">
      <c r="A51" s="1" t="s">
        <v>45</v>
      </c>
      <c r="B51" s="1"/>
      <c r="C51" s="1"/>
      <c r="D51" s="1"/>
      <c r="E51" s="15"/>
      <c r="F51" s="16"/>
      <c r="G51" s="1"/>
      <c r="H51" s="1"/>
      <c r="I51" s="15"/>
      <c r="J51" s="16"/>
      <c r="K51" s="1"/>
      <c r="L51" s="1"/>
      <c r="M51" s="1"/>
    </row>
    <row r="52" spans="1:13" ht="22.5" customHeight="1" x14ac:dyDescent="0.25">
      <c r="A52" s="1" t="s">
        <v>46</v>
      </c>
      <c r="B52" s="1"/>
      <c r="C52" s="1"/>
      <c r="D52" s="1"/>
      <c r="E52" s="15"/>
      <c r="F52" s="16"/>
      <c r="G52" s="1"/>
      <c r="H52" s="1"/>
      <c r="I52" s="15"/>
      <c r="J52" s="16"/>
      <c r="K52" s="1"/>
      <c r="L52" s="1"/>
      <c r="M52" s="1"/>
    </row>
    <row r="53" spans="1:13" ht="22.5" customHeight="1" x14ac:dyDescent="0.25">
      <c r="A53" s="1" t="s">
        <v>47</v>
      </c>
      <c r="B53" s="1"/>
      <c r="C53" s="1"/>
      <c r="D53" s="1"/>
      <c r="E53" s="15"/>
      <c r="F53" s="16"/>
      <c r="G53" s="1"/>
      <c r="H53" s="1"/>
      <c r="I53" s="15"/>
      <c r="J53" s="16"/>
      <c r="K53" s="1"/>
      <c r="L53" s="1"/>
      <c r="M53" s="1"/>
    </row>
    <row r="54" spans="1:13" ht="22.5" customHeight="1" x14ac:dyDescent="0.25">
      <c r="A54" s="1" t="s">
        <v>17</v>
      </c>
      <c r="B54" s="1"/>
      <c r="C54" s="1"/>
      <c r="D54" s="1"/>
      <c r="E54" s="15"/>
      <c r="F54" s="16"/>
      <c r="G54" s="1"/>
      <c r="H54" s="1"/>
      <c r="I54" s="15"/>
      <c r="J54" s="16"/>
      <c r="K54" s="1"/>
      <c r="L54" s="1"/>
      <c r="M54" s="1"/>
    </row>
    <row r="55" spans="1:13" ht="22.5" customHeight="1" x14ac:dyDescent="0.25">
      <c r="A55" s="17" t="s">
        <v>112</v>
      </c>
      <c r="B55" s="1"/>
      <c r="C55" s="1"/>
      <c r="D55" s="1"/>
      <c r="E55" s="15"/>
      <c r="F55" s="16"/>
      <c r="G55" s="1"/>
      <c r="H55" s="1"/>
      <c r="I55" s="15"/>
      <c r="J55" s="16"/>
      <c r="K55" s="1"/>
      <c r="L55" s="1"/>
      <c r="M55" s="1"/>
    </row>
    <row r="56" spans="1:13" ht="22.5" customHeight="1" x14ac:dyDescent="0.25">
      <c r="A56" s="1" t="s">
        <v>22</v>
      </c>
      <c r="B56" s="1"/>
      <c r="C56" s="1"/>
      <c r="D56" s="1"/>
      <c r="E56" s="15"/>
      <c r="F56" s="16"/>
      <c r="G56" s="1"/>
      <c r="H56" s="1"/>
      <c r="I56" s="15"/>
      <c r="J56" s="16"/>
      <c r="K56" s="1"/>
      <c r="L56" s="1"/>
      <c r="M56" s="1"/>
    </row>
    <row r="57" spans="1:13" ht="22.5" customHeight="1" x14ac:dyDescent="0.25">
      <c r="A57" s="1" t="s">
        <v>23</v>
      </c>
      <c r="B57" s="1"/>
      <c r="C57" s="1"/>
      <c r="D57" s="1"/>
      <c r="E57" s="15"/>
      <c r="F57" s="16"/>
      <c r="G57" s="1"/>
      <c r="H57" s="1"/>
      <c r="I57" s="15"/>
      <c r="J57" s="16"/>
      <c r="K57" s="1"/>
      <c r="L57" s="1"/>
      <c r="M57" s="1"/>
    </row>
    <row r="58" spans="1:13" ht="22.5" customHeight="1" x14ac:dyDescent="0.25">
      <c r="A58" s="1" t="s">
        <v>24</v>
      </c>
      <c r="B58" s="1"/>
      <c r="C58" s="1"/>
      <c r="D58" s="1"/>
      <c r="E58" s="15"/>
      <c r="F58" s="16"/>
      <c r="G58" s="1"/>
      <c r="H58" s="1"/>
      <c r="I58" s="15"/>
      <c r="J58" s="16"/>
      <c r="K58" s="1"/>
      <c r="L58" s="1"/>
      <c r="M58" s="1"/>
    </row>
    <row r="59" spans="1:13" ht="22.5" customHeight="1" x14ac:dyDescent="0.25">
      <c r="A59" s="1" t="s">
        <v>25</v>
      </c>
      <c r="B59" s="1"/>
      <c r="C59" s="1"/>
      <c r="D59" s="1"/>
      <c r="E59" s="15"/>
      <c r="F59" s="16"/>
      <c r="G59" s="1"/>
      <c r="H59" s="1"/>
      <c r="I59" s="15"/>
      <c r="J59" s="16"/>
      <c r="K59" s="1"/>
      <c r="L59" s="1"/>
      <c r="M59" s="1"/>
    </row>
    <row r="60" spans="1:13" ht="22.5" customHeight="1" x14ac:dyDescent="0.25">
      <c r="A60" s="1" t="s">
        <v>26</v>
      </c>
      <c r="B60" s="1"/>
      <c r="C60" s="1"/>
      <c r="D60" s="1"/>
      <c r="E60" s="15"/>
      <c r="F60" s="16"/>
      <c r="G60" s="1"/>
      <c r="H60" s="1"/>
      <c r="I60" s="15"/>
      <c r="J60" s="16"/>
      <c r="K60" s="1"/>
      <c r="L60" s="1"/>
      <c r="M60" s="1"/>
    </row>
    <row r="61" spans="1:13" ht="22.5" customHeight="1" x14ac:dyDescent="0.25">
      <c r="A61" s="1" t="s">
        <v>27</v>
      </c>
      <c r="B61" s="1"/>
      <c r="C61" s="1"/>
      <c r="D61" s="1"/>
      <c r="E61" s="15"/>
      <c r="F61" s="16"/>
      <c r="G61" s="1"/>
      <c r="H61" s="1"/>
      <c r="I61" s="15"/>
      <c r="J61" s="16"/>
      <c r="K61" s="1"/>
      <c r="L61" s="1"/>
      <c r="M61" s="1"/>
    </row>
    <row r="62" spans="1:13" ht="22.5" customHeight="1" x14ac:dyDescent="0.25">
      <c r="A62" s="1" t="s">
        <v>40</v>
      </c>
      <c r="B62" s="1"/>
      <c r="C62" s="1"/>
      <c r="D62" s="1"/>
      <c r="E62" s="15"/>
      <c r="F62" s="16"/>
      <c r="G62" s="1"/>
      <c r="H62" s="1"/>
      <c r="I62" s="15"/>
      <c r="J62" s="16"/>
      <c r="K62" s="1"/>
      <c r="L62" s="1"/>
      <c r="M62" s="1"/>
    </row>
    <row r="63" spans="1:13" ht="22.5" customHeight="1" x14ac:dyDescent="0.25">
      <c r="A63" s="1" t="s">
        <v>44</v>
      </c>
      <c r="B63" s="1"/>
      <c r="C63" s="1"/>
      <c r="D63" s="1"/>
      <c r="E63" s="15"/>
      <c r="F63" s="16"/>
      <c r="G63" s="1"/>
      <c r="H63" s="1"/>
      <c r="I63" s="15"/>
      <c r="J63" s="16"/>
      <c r="K63" s="1"/>
      <c r="L63" s="1"/>
      <c r="M63" s="1"/>
    </row>
    <row r="64" spans="1:13" ht="22.5" customHeight="1" x14ac:dyDescent="0.35">
      <c r="A64" s="57" t="s">
        <v>172</v>
      </c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9"/>
    </row>
    <row r="65" spans="1:13" ht="22.5" customHeight="1" x14ac:dyDescent="0.25">
      <c r="A65" s="12" t="s">
        <v>164</v>
      </c>
      <c r="B65" s="60" t="s">
        <v>165</v>
      </c>
      <c r="C65" s="60"/>
      <c r="D65" s="60"/>
      <c r="E65" s="61"/>
      <c r="F65" s="62" t="s">
        <v>165</v>
      </c>
      <c r="G65" s="60"/>
      <c r="H65" s="60"/>
      <c r="I65" s="61"/>
      <c r="J65" s="62" t="s">
        <v>165</v>
      </c>
      <c r="K65" s="60"/>
      <c r="L65" s="60"/>
      <c r="M65" s="60"/>
    </row>
    <row r="66" spans="1:13" ht="22.5" customHeight="1" x14ac:dyDescent="0.25">
      <c r="A66" s="12">
        <v>4</v>
      </c>
      <c r="B66" s="63" t="s">
        <v>166</v>
      </c>
      <c r="C66" s="63"/>
      <c r="D66" s="63" t="s">
        <v>167</v>
      </c>
      <c r="E66" s="64"/>
      <c r="F66" s="65" t="s">
        <v>166</v>
      </c>
      <c r="G66" s="63"/>
      <c r="H66" s="63" t="s">
        <v>167</v>
      </c>
      <c r="I66" s="64"/>
      <c r="J66" s="65" t="s">
        <v>166</v>
      </c>
      <c r="K66" s="63"/>
      <c r="L66" s="63" t="s">
        <v>167</v>
      </c>
      <c r="M66" s="63"/>
    </row>
    <row r="67" spans="1:13" ht="22.5" customHeight="1" x14ac:dyDescent="0.25">
      <c r="A67" s="12" t="s">
        <v>168</v>
      </c>
      <c r="B67" s="12" t="s">
        <v>169</v>
      </c>
      <c r="C67" s="12" t="s">
        <v>170</v>
      </c>
      <c r="D67" s="12" t="s">
        <v>169</v>
      </c>
      <c r="E67" s="13" t="s">
        <v>170</v>
      </c>
      <c r="F67" s="14" t="s">
        <v>169</v>
      </c>
      <c r="G67" s="12" t="s">
        <v>170</v>
      </c>
      <c r="H67" s="12" t="s">
        <v>169</v>
      </c>
      <c r="I67" s="13" t="s">
        <v>170</v>
      </c>
      <c r="J67" s="14" t="s">
        <v>169</v>
      </c>
      <c r="K67" s="12" t="s">
        <v>170</v>
      </c>
      <c r="L67" s="12" t="s">
        <v>169</v>
      </c>
      <c r="M67" s="12" t="s">
        <v>170</v>
      </c>
    </row>
    <row r="68" spans="1:13" ht="22.5" customHeight="1" x14ac:dyDescent="0.25">
      <c r="A68" s="18" t="s">
        <v>69</v>
      </c>
      <c r="B68" s="1"/>
      <c r="C68" s="1"/>
      <c r="D68" s="1"/>
      <c r="E68" s="15"/>
      <c r="F68" s="16"/>
      <c r="G68" s="1"/>
      <c r="H68" s="1"/>
      <c r="I68" s="15"/>
      <c r="J68" s="16"/>
      <c r="K68" s="1"/>
      <c r="L68" s="1"/>
      <c r="M68" s="1"/>
    </row>
    <row r="69" spans="1:13" ht="22.5" customHeight="1" x14ac:dyDescent="0.25">
      <c r="A69" s="1" t="s">
        <v>70</v>
      </c>
      <c r="B69" s="1"/>
      <c r="C69" s="1"/>
      <c r="D69" s="1"/>
      <c r="E69" s="15"/>
      <c r="F69" s="16"/>
      <c r="G69" s="1"/>
      <c r="H69" s="1"/>
      <c r="I69" s="15"/>
      <c r="J69" s="16"/>
      <c r="K69" s="1"/>
      <c r="L69" s="1"/>
      <c r="M69" s="1"/>
    </row>
    <row r="70" spans="1:13" ht="22.5" customHeight="1" x14ac:dyDescent="0.25">
      <c r="A70" s="1" t="s">
        <v>66</v>
      </c>
      <c r="B70" s="1"/>
      <c r="C70" s="1"/>
      <c r="D70" s="1"/>
      <c r="E70" s="15"/>
      <c r="F70" s="16"/>
      <c r="G70" s="1"/>
      <c r="H70" s="1"/>
      <c r="I70" s="15"/>
      <c r="J70" s="16"/>
      <c r="K70" s="1"/>
      <c r="L70" s="1"/>
      <c r="M70" s="1"/>
    </row>
    <row r="71" spans="1:13" ht="22.5" customHeight="1" x14ac:dyDescent="0.25">
      <c r="A71" s="1" t="s">
        <v>53</v>
      </c>
      <c r="B71" s="1"/>
      <c r="C71" s="1"/>
      <c r="D71" s="1"/>
      <c r="E71" s="15"/>
      <c r="F71" s="16"/>
      <c r="G71" s="1"/>
      <c r="H71" s="1"/>
      <c r="I71" s="15"/>
      <c r="J71" s="16"/>
      <c r="K71" s="1"/>
      <c r="L71" s="1"/>
      <c r="M71" s="1"/>
    </row>
    <row r="72" spans="1:13" ht="22.5" customHeight="1" x14ac:dyDescent="0.25">
      <c r="A72" s="1" t="s">
        <v>54</v>
      </c>
      <c r="B72" s="1"/>
      <c r="C72" s="1"/>
      <c r="D72" s="1"/>
      <c r="E72" s="15"/>
      <c r="F72" s="16"/>
      <c r="G72" s="1"/>
      <c r="H72" s="1"/>
      <c r="I72" s="15"/>
      <c r="J72" s="16"/>
      <c r="K72" s="1"/>
      <c r="L72" s="1"/>
      <c r="M72" s="1"/>
    </row>
    <row r="73" spans="1:13" ht="22.5" customHeight="1" x14ac:dyDescent="0.25">
      <c r="A73" s="1" t="s">
        <v>55</v>
      </c>
      <c r="B73" s="1"/>
      <c r="C73" s="1"/>
      <c r="D73" s="1"/>
      <c r="E73" s="15"/>
      <c r="F73" s="16"/>
      <c r="G73" s="1"/>
      <c r="H73" s="1"/>
      <c r="I73" s="15"/>
      <c r="J73" s="16"/>
      <c r="K73" s="1"/>
      <c r="L73" s="1"/>
      <c r="M73" s="1"/>
    </row>
    <row r="74" spans="1:13" ht="22.5" customHeight="1" x14ac:dyDescent="0.25">
      <c r="A74" s="1" t="s">
        <v>56</v>
      </c>
      <c r="B74" s="1"/>
      <c r="C74" s="1"/>
      <c r="D74" s="1"/>
      <c r="E74" s="15"/>
      <c r="F74" s="16"/>
      <c r="G74" s="1"/>
      <c r="H74" s="1"/>
      <c r="I74" s="15"/>
      <c r="J74" s="16"/>
      <c r="K74" s="1"/>
      <c r="L74" s="1"/>
      <c r="M74" s="1"/>
    </row>
    <row r="75" spans="1:13" ht="22.5" customHeight="1" x14ac:dyDescent="0.25">
      <c r="A75" s="1" t="s">
        <v>57</v>
      </c>
      <c r="B75" s="1"/>
      <c r="C75" s="1"/>
      <c r="D75" s="1"/>
      <c r="E75" s="15"/>
      <c r="F75" s="16"/>
      <c r="G75" s="1"/>
      <c r="H75" s="1"/>
      <c r="I75" s="15"/>
      <c r="J75" s="16"/>
      <c r="K75" s="1"/>
      <c r="L75" s="1"/>
      <c r="M75" s="1"/>
    </row>
    <row r="76" spans="1:13" ht="22.5" customHeight="1" x14ac:dyDescent="0.25">
      <c r="A76" s="1" t="s">
        <v>58</v>
      </c>
      <c r="B76" s="1"/>
      <c r="C76" s="1"/>
      <c r="D76" s="1"/>
      <c r="E76" s="15"/>
      <c r="F76" s="16"/>
      <c r="G76" s="1"/>
      <c r="H76" s="1"/>
      <c r="I76" s="15"/>
      <c r="J76" s="16"/>
      <c r="K76" s="1"/>
      <c r="L76" s="1"/>
      <c r="M76" s="1"/>
    </row>
    <row r="77" spans="1:13" ht="22.5" customHeight="1" x14ac:dyDescent="0.25">
      <c r="A77" s="1" t="s">
        <v>59</v>
      </c>
      <c r="B77" s="1"/>
      <c r="C77" s="1"/>
      <c r="D77" s="1"/>
      <c r="E77" s="15"/>
      <c r="F77" s="16"/>
      <c r="G77" s="1"/>
      <c r="H77" s="1"/>
      <c r="I77" s="15"/>
      <c r="J77" s="16"/>
      <c r="K77" s="1"/>
      <c r="L77" s="1"/>
      <c r="M77" s="1"/>
    </row>
    <row r="78" spans="1:13" ht="22.5" customHeight="1" x14ac:dyDescent="0.25">
      <c r="A78" s="1" t="s">
        <v>60</v>
      </c>
      <c r="B78" s="1"/>
      <c r="C78" s="1"/>
      <c r="D78" s="1"/>
      <c r="E78" s="15"/>
      <c r="F78" s="16"/>
      <c r="G78" s="1"/>
      <c r="H78" s="1"/>
      <c r="I78" s="15"/>
      <c r="J78" s="16"/>
      <c r="K78" s="1"/>
      <c r="L78" s="1"/>
      <c r="M78" s="1"/>
    </row>
    <row r="79" spans="1:13" ht="22.5" customHeight="1" x14ac:dyDescent="0.25">
      <c r="A79" s="1" t="s">
        <v>61</v>
      </c>
      <c r="B79" s="1"/>
      <c r="C79" s="1"/>
      <c r="D79" s="1"/>
      <c r="E79" s="15"/>
      <c r="F79" s="16"/>
      <c r="G79" s="1"/>
      <c r="H79" s="1"/>
      <c r="I79" s="15"/>
      <c r="J79" s="16"/>
      <c r="K79" s="1"/>
      <c r="L79" s="1"/>
      <c r="M79" s="1"/>
    </row>
    <row r="80" spans="1:13" ht="22.5" customHeight="1" x14ac:dyDescent="0.25">
      <c r="A80" s="1" t="s">
        <v>62</v>
      </c>
      <c r="B80" s="1"/>
      <c r="C80" s="1"/>
      <c r="D80" s="1"/>
      <c r="E80" s="15"/>
      <c r="F80" s="16"/>
      <c r="G80" s="1"/>
      <c r="H80" s="1"/>
      <c r="I80" s="15"/>
      <c r="J80" s="16"/>
      <c r="K80" s="1"/>
      <c r="L80" s="1"/>
      <c r="M80" s="1"/>
    </row>
    <row r="81" spans="1:13" ht="22.5" customHeight="1" x14ac:dyDescent="0.25">
      <c r="A81" s="1" t="s">
        <v>63</v>
      </c>
      <c r="B81" s="1"/>
      <c r="C81" s="1"/>
      <c r="D81" s="1"/>
      <c r="E81" s="15"/>
      <c r="F81" s="16"/>
      <c r="G81" s="1"/>
      <c r="H81" s="1"/>
      <c r="I81" s="15"/>
      <c r="J81" s="16"/>
      <c r="K81" s="1"/>
      <c r="L81" s="1"/>
      <c r="M81" s="1"/>
    </row>
    <row r="82" spans="1:13" ht="22.5" customHeight="1" x14ac:dyDescent="0.25">
      <c r="A82" s="1" t="s">
        <v>64</v>
      </c>
      <c r="B82" s="1"/>
      <c r="C82" s="1"/>
      <c r="D82" s="1"/>
      <c r="E82" s="15"/>
      <c r="F82" s="16"/>
      <c r="G82" s="1"/>
      <c r="H82" s="1"/>
      <c r="I82" s="15"/>
      <c r="J82" s="16"/>
      <c r="K82" s="1"/>
      <c r="L82" s="1"/>
      <c r="M82" s="1"/>
    </row>
    <row r="83" spans="1:13" ht="22.5" customHeight="1" x14ac:dyDescent="0.25">
      <c r="A83" s="1" t="s">
        <v>65</v>
      </c>
      <c r="B83" s="1"/>
      <c r="C83" s="1"/>
      <c r="D83" s="1"/>
      <c r="E83" s="15"/>
      <c r="F83" s="16"/>
      <c r="G83" s="1"/>
      <c r="H83" s="1"/>
      <c r="I83" s="15"/>
      <c r="J83" s="16"/>
      <c r="K83" s="1"/>
      <c r="L83" s="1"/>
      <c r="M83" s="1"/>
    </row>
    <row r="84" spans="1:13" ht="22.5" customHeight="1" x14ac:dyDescent="0.25">
      <c r="A84" s="1"/>
      <c r="B84" s="1"/>
      <c r="C84" s="1"/>
      <c r="D84" s="1"/>
      <c r="E84" s="15"/>
      <c r="F84" s="16"/>
      <c r="G84" s="1"/>
      <c r="H84" s="1"/>
      <c r="I84" s="15"/>
      <c r="J84" s="16"/>
      <c r="K84" s="1"/>
      <c r="L84" s="1"/>
      <c r="M84" s="1"/>
    </row>
    <row r="85" spans="1:13" ht="22.5" customHeight="1" x14ac:dyDescent="0.35">
      <c r="A85" s="57" t="s">
        <v>172</v>
      </c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9"/>
    </row>
    <row r="86" spans="1:13" ht="22.5" customHeight="1" x14ac:dyDescent="0.25">
      <c r="A86" s="12" t="s">
        <v>164</v>
      </c>
      <c r="B86" s="60" t="s">
        <v>165</v>
      </c>
      <c r="C86" s="60"/>
      <c r="D86" s="60"/>
      <c r="E86" s="61"/>
      <c r="F86" s="62" t="s">
        <v>165</v>
      </c>
      <c r="G86" s="60"/>
      <c r="H86" s="60"/>
      <c r="I86" s="61"/>
      <c r="J86" s="62" t="s">
        <v>165</v>
      </c>
      <c r="K86" s="60"/>
      <c r="L86" s="60"/>
      <c r="M86" s="60"/>
    </row>
    <row r="87" spans="1:13" ht="22.5" customHeight="1" x14ac:dyDescent="0.25">
      <c r="A87" s="12">
        <v>5</v>
      </c>
      <c r="B87" s="63" t="s">
        <v>166</v>
      </c>
      <c r="C87" s="63"/>
      <c r="D87" s="63" t="s">
        <v>167</v>
      </c>
      <c r="E87" s="64"/>
      <c r="F87" s="65" t="s">
        <v>166</v>
      </c>
      <c r="G87" s="63"/>
      <c r="H87" s="63" t="s">
        <v>167</v>
      </c>
      <c r="I87" s="64"/>
      <c r="J87" s="65" t="s">
        <v>166</v>
      </c>
      <c r="K87" s="63"/>
      <c r="L87" s="63" t="s">
        <v>167</v>
      </c>
      <c r="M87" s="63"/>
    </row>
    <row r="88" spans="1:13" ht="22.5" customHeight="1" x14ac:dyDescent="0.25">
      <c r="A88" s="12" t="s">
        <v>168</v>
      </c>
      <c r="B88" s="12" t="s">
        <v>169</v>
      </c>
      <c r="C88" s="12" t="s">
        <v>170</v>
      </c>
      <c r="D88" s="12" t="s">
        <v>169</v>
      </c>
      <c r="E88" s="13" t="s">
        <v>170</v>
      </c>
      <c r="F88" s="14" t="s">
        <v>169</v>
      </c>
      <c r="G88" s="12" t="s">
        <v>170</v>
      </c>
      <c r="H88" s="12" t="s">
        <v>169</v>
      </c>
      <c r="I88" s="13" t="s">
        <v>170</v>
      </c>
      <c r="J88" s="14" t="s">
        <v>169</v>
      </c>
      <c r="K88" s="12" t="s">
        <v>170</v>
      </c>
      <c r="L88" s="12" t="s">
        <v>169</v>
      </c>
      <c r="M88" s="12" t="s">
        <v>170</v>
      </c>
    </row>
    <row r="89" spans="1:13" ht="22.5" customHeight="1" x14ac:dyDescent="0.25">
      <c r="A89" s="18" t="s">
        <v>67</v>
      </c>
      <c r="B89" s="1"/>
      <c r="C89" s="1"/>
      <c r="D89" s="1"/>
      <c r="E89" s="15"/>
      <c r="F89" s="16"/>
      <c r="G89" s="1"/>
      <c r="H89" s="1"/>
      <c r="I89" s="15"/>
      <c r="J89" s="16"/>
      <c r="K89" s="1"/>
      <c r="L89" s="1"/>
      <c r="M89" s="1"/>
    </row>
    <row r="90" spans="1:13" ht="22.5" customHeight="1" x14ac:dyDescent="0.25">
      <c r="A90" s="18" t="s">
        <v>68</v>
      </c>
      <c r="B90" s="1"/>
      <c r="C90" s="1"/>
      <c r="D90" s="1"/>
      <c r="E90" s="15"/>
      <c r="F90" s="16"/>
      <c r="G90" s="1"/>
      <c r="H90" s="1"/>
      <c r="I90" s="15"/>
      <c r="J90" s="16"/>
      <c r="K90" s="1"/>
      <c r="L90" s="1"/>
      <c r="M90" s="1"/>
    </row>
    <row r="91" spans="1:13" ht="22.5" customHeight="1" x14ac:dyDescent="0.25">
      <c r="A91" s="18" t="s">
        <v>71</v>
      </c>
      <c r="B91" s="1"/>
      <c r="C91" s="1"/>
      <c r="D91" s="1"/>
      <c r="E91" s="15"/>
      <c r="F91" s="16"/>
      <c r="G91" s="1"/>
      <c r="H91" s="1"/>
      <c r="I91" s="15"/>
      <c r="J91" s="16"/>
      <c r="K91" s="1"/>
      <c r="L91" s="1"/>
      <c r="M91" s="1"/>
    </row>
    <row r="92" spans="1:13" ht="22.5" customHeight="1" x14ac:dyDescent="0.25">
      <c r="A92" s="18" t="s">
        <v>72</v>
      </c>
      <c r="B92" s="1"/>
      <c r="C92" s="1"/>
      <c r="D92" s="1"/>
      <c r="E92" s="15"/>
      <c r="F92" s="16"/>
      <c r="G92" s="1"/>
      <c r="H92" s="1"/>
      <c r="I92" s="15"/>
      <c r="J92" s="16"/>
      <c r="K92" s="1"/>
      <c r="L92" s="1"/>
      <c r="M92" s="1"/>
    </row>
    <row r="93" spans="1:13" ht="22.5" customHeight="1" x14ac:dyDescent="0.25">
      <c r="A93" s="18" t="s">
        <v>73</v>
      </c>
      <c r="B93" s="1"/>
      <c r="C93" s="1"/>
      <c r="D93" s="1"/>
      <c r="E93" s="15"/>
      <c r="F93" s="16"/>
      <c r="G93" s="1"/>
      <c r="H93" s="1"/>
      <c r="I93" s="15"/>
      <c r="J93" s="16"/>
      <c r="K93" s="1"/>
      <c r="L93" s="1"/>
      <c r="M93" s="1"/>
    </row>
    <row r="94" spans="1:13" ht="22.5" customHeight="1" x14ac:dyDescent="0.25">
      <c r="A94" s="18" t="s">
        <v>74</v>
      </c>
      <c r="B94" s="1"/>
      <c r="C94" s="1"/>
      <c r="D94" s="1"/>
      <c r="E94" s="15"/>
      <c r="F94" s="16"/>
      <c r="G94" s="1"/>
      <c r="H94" s="1"/>
      <c r="I94" s="15"/>
      <c r="J94" s="16"/>
      <c r="K94" s="1"/>
      <c r="L94" s="1"/>
      <c r="M94" s="1"/>
    </row>
    <row r="95" spans="1:13" ht="22.5" customHeight="1" x14ac:dyDescent="0.25">
      <c r="A95" s="17" t="s">
        <v>86</v>
      </c>
      <c r="B95" s="1"/>
      <c r="C95" s="1"/>
      <c r="D95" s="1"/>
      <c r="E95" s="15"/>
      <c r="F95" s="16"/>
      <c r="G95" s="1"/>
      <c r="H95" s="1"/>
      <c r="I95" s="15"/>
      <c r="J95" s="16"/>
      <c r="K95" s="1"/>
      <c r="L95" s="1"/>
      <c r="M95" s="1"/>
    </row>
    <row r="96" spans="1:13" ht="22.5" customHeight="1" x14ac:dyDescent="0.25">
      <c r="A96" s="17" t="s">
        <v>85</v>
      </c>
      <c r="B96" s="1"/>
      <c r="C96" s="1"/>
      <c r="D96" s="1"/>
      <c r="E96" s="15"/>
      <c r="F96" s="16"/>
      <c r="G96" s="1"/>
      <c r="H96" s="1"/>
      <c r="I96" s="15"/>
      <c r="J96" s="16"/>
      <c r="K96" s="1"/>
      <c r="L96" s="1"/>
      <c r="M96" s="1"/>
    </row>
    <row r="97" spans="1:13" ht="22.5" customHeight="1" x14ac:dyDescent="0.25">
      <c r="A97" s="17" t="s">
        <v>84</v>
      </c>
      <c r="B97" s="1"/>
      <c r="C97" s="1"/>
      <c r="D97" s="1"/>
      <c r="E97" s="15"/>
      <c r="F97" s="16"/>
      <c r="G97" s="1"/>
      <c r="H97" s="1"/>
      <c r="I97" s="15"/>
      <c r="J97" s="16"/>
      <c r="K97" s="1"/>
      <c r="L97" s="1"/>
      <c r="M97" s="1"/>
    </row>
    <row r="98" spans="1:13" ht="22.5" customHeight="1" x14ac:dyDescent="0.25">
      <c r="A98" s="17" t="s">
        <v>83</v>
      </c>
      <c r="B98" s="1"/>
      <c r="C98" s="1"/>
      <c r="D98" s="1"/>
      <c r="E98" s="15"/>
      <c r="F98" s="16"/>
      <c r="G98" s="1"/>
      <c r="H98" s="1"/>
      <c r="I98" s="15"/>
      <c r="J98" s="16"/>
      <c r="K98" s="1"/>
      <c r="L98" s="1"/>
      <c r="M98" s="1"/>
    </row>
    <row r="99" spans="1:13" ht="22.5" customHeight="1" x14ac:dyDescent="0.25">
      <c r="A99" s="1" t="s">
        <v>75</v>
      </c>
      <c r="B99" s="1"/>
      <c r="C99" s="1"/>
      <c r="D99" s="1"/>
      <c r="E99" s="15"/>
      <c r="F99" s="16"/>
      <c r="G99" s="1"/>
      <c r="H99" s="1"/>
      <c r="I99" s="15"/>
      <c r="J99" s="16"/>
      <c r="K99" s="1"/>
      <c r="L99" s="1"/>
      <c r="M99" s="1"/>
    </row>
    <row r="100" spans="1:13" ht="22.5" customHeight="1" x14ac:dyDescent="0.25">
      <c r="A100" s="1" t="s">
        <v>76</v>
      </c>
      <c r="B100" s="1"/>
      <c r="C100" s="1"/>
      <c r="D100" s="1"/>
      <c r="E100" s="15"/>
      <c r="F100" s="16"/>
      <c r="G100" s="1"/>
      <c r="H100" s="1"/>
      <c r="I100" s="15"/>
      <c r="J100" s="16"/>
      <c r="K100" s="1"/>
      <c r="L100" s="1"/>
      <c r="M100" s="1"/>
    </row>
    <row r="101" spans="1:13" ht="22.5" customHeight="1" x14ac:dyDescent="0.25">
      <c r="A101" s="1" t="s">
        <v>77</v>
      </c>
      <c r="B101" s="1"/>
      <c r="C101" s="1"/>
      <c r="D101" s="1"/>
      <c r="E101" s="15"/>
      <c r="F101" s="16"/>
      <c r="G101" s="1"/>
      <c r="H101" s="1"/>
      <c r="I101" s="15"/>
      <c r="J101" s="16"/>
      <c r="K101" s="1"/>
      <c r="L101" s="1"/>
      <c r="M101" s="1"/>
    </row>
    <row r="102" spans="1:13" ht="22.5" customHeight="1" x14ac:dyDescent="0.25">
      <c r="A102" s="1" t="s">
        <v>78</v>
      </c>
      <c r="B102" s="1"/>
      <c r="C102" s="1"/>
      <c r="D102" s="1"/>
      <c r="E102" s="15"/>
      <c r="F102" s="16"/>
      <c r="G102" s="1"/>
      <c r="H102" s="1"/>
      <c r="I102" s="15"/>
      <c r="J102" s="16"/>
      <c r="K102" s="1"/>
      <c r="L102" s="1"/>
      <c r="M102" s="1"/>
    </row>
    <row r="103" spans="1:13" ht="22.5" customHeight="1" x14ac:dyDescent="0.25">
      <c r="A103" s="1" t="s">
        <v>79</v>
      </c>
      <c r="B103" s="1"/>
      <c r="C103" s="1"/>
      <c r="D103" s="1"/>
      <c r="E103" s="15"/>
      <c r="F103" s="16"/>
      <c r="G103" s="1"/>
      <c r="H103" s="1"/>
      <c r="I103" s="15"/>
      <c r="J103" s="16"/>
      <c r="K103" s="1"/>
      <c r="L103" s="1"/>
      <c r="M103" s="1"/>
    </row>
    <row r="104" spans="1:13" ht="22.5" customHeight="1" x14ac:dyDescent="0.25">
      <c r="A104" s="1" t="s">
        <v>80</v>
      </c>
      <c r="B104" s="1"/>
      <c r="C104" s="1"/>
      <c r="D104" s="1"/>
      <c r="E104" s="15"/>
      <c r="F104" s="16"/>
      <c r="G104" s="1"/>
      <c r="H104" s="1"/>
      <c r="I104" s="15"/>
      <c r="J104" s="16"/>
      <c r="K104" s="1"/>
      <c r="L104" s="1"/>
      <c r="M104" s="1"/>
    </row>
    <row r="105" spans="1:13" ht="22.5" customHeight="1" x14ac:dyDescent="0.25">
      <c r="A105" s="1" t="s">
        <v>81</v>
      </c>
      <c r="B105" s="1"/>
      <c r="C105" s="1"/>
      <c r="D105" s="1"/>
      <c r="E105" s="15"/>
      <c r="F105" s="16"/>
      <c r="G105" s="1"/>
      <c r="H105" s="1"/>
      <c r="I105" s="15"/>
      <c r="J105" s="16"/>
      <c r="K105" s="1"/>
      <c r="L105" s="1"/>
      <c r="M105" s="1"/>
    </row>
    <row r="106" spans="1:13" ht="24.95" customHeight="1" x14ac:dyDescent="0.35">
      <c r="A106" s="57" t="s">
        <v>172</v>
      </c>
      <c r="B106" s="58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9"/>
    </row>
    <row r="107" spans="1:13" ht="24.95" customHeight="1" x14ac:dyDescent="0.25">
      <c r="A107" s="12" t="s">
        <v>115</v>
      </c>
      <c r="B107" s="60" t="s">
        <v>171</v>
      </c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</row>
    <row r="108" spans="1:13" ht="24.95" customHeight="1" x14ac:dyDescent="0.25">
      <c r="A108" s="1" t="s">
        <v>0</v>
      </c>
      <c r="B108" s="66"/>
      <c r="C108" s="66"/>
      <c r="D108" s="66"/>
      <c r="E108" s="66"/>
      <c r="F108" s="66"/>
      <c r="G108" s="66"/>
      <c r="H108" s="66"/>
      <c r="I108" s="66"/>
      <c r="J108" s="66"/>
      <c r="K108" s="66"/>
      <c r="L108" s="66"/>
      <c r="M108" s="66"/>
    </row>
    <row r="109" spans="1:13" ht="24.95" customHeight="1" x14ac:dyDescent="0.25">
      <c r="A109" s="1" t="s">
        <v>1</v>
      </c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</row>
    <row r="110" spans="1:13" ht="24.95" customHeight="1" x14ac:dyDescent="0.25">
      <c r="A110" s="1" t="s">
        <v>2</v>
      </c>
      <c r="B110" s="66"/>
      <c r="C110" s="66"/>
      <c r="D110" s="66"/>
      <c r="E110" s="66"/>
      <c r="F110" s="66"/>
      <c r="G110" s="66"/>
      <c r="H110" s="66"/>
      <c r="I110" s="66"/>
      <c r="J110" s="66"/>
      <c r="K110" s="66"/>
      <c r="L110" s="66"/>
      <c r="M110" s="66"/>
    </row>
    <row r="111" spans="1:13" ht="24.95" customHeight="1" x14ac:dyDescent="0.25">
      <c r="A111" s="1" t="s">
        <v>3</v>
      </c>
      <c r="B111" s="66"/>
      <c r="C111" s="66"/>
      <c r="D111" s="66"/>
      <c r="E111" s="66"/>
      <c r="F111" s="66"/>
      <c r="G111" s="66"/>
      <c r="H111" s="66"/>
      <c r="I111" s="66"/>
      <c r="J111" s="66"/>
      <c r="K111" s="66"/>
      <c r="L111" s="66"/>
      <c r="M111" s="66"/>
    </row>
    <row r="112" spans="1:13" ht="24.95" customHeight="1" x14ac:dyDescent="0.25">
      <c r="A112" s="1" t="s">
        <v>4</v>
      </c>
      <c r="B112" s="66"/>
      <c r="C112" s="66"/>
      <c r="D112" s="66"/>
      <c r="E112" s="66"/>
      <c r="F112" s="66"/>
      <c r="G112" s="66"/>
      <c r="H112" s="66"/>
      <c r="I112" s="66"/>
      <c r="J112" s="66"/>
      <c r="K112" s="66"/>
      <c r="L112" s="66"/>
      <c r="M112" s="66"/>
    </row>
    <row r="113" spans="1:13" ht="24.95" customHeight="1" x14ac:dyDescent="0.25">
      <c r="A113" s="1" t="s">
        <v>5</v>
      </c>
      <c r="B113" s="66"/>
      <c r="C113" s="66"/>
      <c r="D113" s="66"/>
      <c r="E113" s="66"/>
      <c r="F113" s="66"/>
      <c r="G113" s="66"/>
      <c r="H113" s="66"/>
      <c r="I113" s="66"/>
      <c r="J113" s="66"/>
      <c r="K113" s="66"/>
      <c r="L113" s="66"/>
      <c r="M113" s="66"/>
    </row>
    <row r="114" spans="1:13" ht="24.95" customHeight="1" x14ac:dyDescent="0.25">
      <c r="A114" s="1" t="s">
        <v>6</v>
      </c>
      <c r="B114" s="66"/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</row>
    <row r="115" spans="1:13" ht="24.95" customHeight="1" x14ac:dyDescent="0.25">
      <c r="A115" s="1" t="s">
        <v>7</v>
      </c>
      <c r="B115" s="66"/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</row>
    <row r="116" spans="1:13" ht="24.95" customHeight="1" x14ac:dyDescent="0.25">
      <c r="A116" s="1" t="s">
        <v>8</v>
      </c>
      <c r="B116" s="66"/>
      <c r="C116" s="66"/>
      <c r="D116" s="66"/>
      <c r="E116" s="66"/>
      <c r="F116" s="66"/>
      <c r="G116" s="66"/>
      <c r="H116" s="66"/>
      <c r="I116" s="66"/>
      <c r="J116" s="66"/>
      <c r="K116" s="66"/>
      <c r="L116" s="66"/>
      <c r="M116" s="66"/>
    </row>
    <row r="117" spans="1:13" ht="24.95" customHeight="1" x14ac:dyDescent="0.25">
      <c r="A117" s="1" t="s">
        <v>9</v>
      </c>
      <c r="B117" s="66"/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6"/>
    </row>
    <row r="118" spans="1:13" ht="24.95" customHeight="1" x14ac:dyDescent="0.25">
      <c r="A118" s="1" t="s">
        <v>10</v>
      </c>
      <c r="B118" s="6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</row>
    <row r="119" spans="1:13" ht="24.95" customHeight="1" x14ac:dyDescent="0.25">
      <c r="A119" s="1" t="s">
        <v>11</v>
      </c>
      <c r="B119" s="66"/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</row>
    <row r="120" spans="1:13" ht="24.95" customHeight="1" x14ac:dyDescent="0.25">
      <c r="A120" s="1" t="s">
        <v>12</v>
      </c>
      <c r="B120" s="66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</row>
    <row r="121" spans="1:13" ht="24.95" customHeight="1" x14ac:dyDescent="0.25">
      <c r="A121" s="1" t="s">
        <v>13</v>
      </c>
      <c r="B121" s="66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</row>
    <row r="122" spans="1:13" ht="24.95" customHeight="1" x14ac:dyDescent="0.25">
      <c r="A122" s="1" t="s">
        <v>14</v>
      </c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</row>
    <row r="123" spans="1:13" ht="24.95" customHeight="1" x14ac:dyDescent="0.25">
      <c r="A123" s="1" t="s">
        <v>15</v>
      </c>
      <c r="B123" s="66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</row>
    <row r="124" spans="1:13" ht="24.95" customHeight="1" x14ac:dyDescent="0.25">
      <c r="A124" s="1" t="s">
        <v>16</v>
      </c>
      <c r="B124" s="66"/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</row>
    <row r="125" spans="1:13" ht="24.95" customHeight="1" x14ac:dyDescent="0.35">
      <c r="A125" s="57" t="s">
        <v>172</v>
      </c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9"/>
    </row>
    <row r="126" spans="1:13" ht="24.95" customHeight="1" x14ac:dyDescent="0.25">
      <c r="A126" s="12" t="s">
        <v>116</v>
      </c>
      <c r="B126" s="60" t="s">
        <v>171</v>
      </c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</row>
    <row r="127" spans="1:13" ht="24.95" customHeight="1" x14ac:dyDescent="0.25">
      <c r="A127" s="1" t="s">
        <v>18</v>
      </c>
      <c r="B127" s="66"/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</row>
    <row r="128" spans="1:13" ht="24.95" customHeight="1" x14ac:dyDescent="0.25">
      <c r="A128" s="1" t="s">
        <v>19</v>
      </c>
      <c r="B128" s="66"/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</row>
    <row r="129" spans="1:13" ht="24.95" customHeight="1" x14ac:dyDescent="0.25">
      <c r="A129" s="1" t="s">
        <v>20</v>
      </c>
      <c r="B129" s="66"/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</row>
    <row r="130" spans="1:13" ht="24.95" customHeight="1" x14ac:dyDescent="0.25">
      <c r="A130" s="1" t="s">
        <v>21</v>
      </c>
      <c r="B130" s="66"/>
      <c r="C130" s="66"/>
      <c r="D130" s="66"/>
      <c r="E130" s="66"/>
      <c r="F130" s="66"/>
      <c r="G130" s="66"/>
      <c r="H130" s="66"/>
      <c r="I130" s="66"/>
      <c r="J130" s="66"/>
      <c r="K130" s="66"/>
      <c r="L130" s="66"/>
      <c r="M130" s="66"/>
    </row>
    <row r="131" spans="1:13" ht="24.95" customHeight="1" x14ac:dyDescent="0.25">
      <c r="A131" s="1" t="s">
        <v>28</v>
      </c>
      <c r="B131" s="66"/>
      <c r="C131" s="66"/>
      <c r="D131" s="66"/>
      <c r="E131" s="66"/>
      <c r="F131" s="66"/>
      <c r="G131" s="66"/>
      <c r="H131" s="66"/>
      <c r="I131" s="66"/>
      <c r="J131" s="66"/>
      <c r="K131" s="66"/>
      <c r="L131" s="66"/>
      <c r="M131" s="66"/>
    </row>
    <row r="132" spans="1:13" ht="24.95" customHeight="1" x14ac:dyDescent="0.25">
      <c r="A132" s="1" t="s">
        <v>29</v>
      </c>
      <c r="B132" s="66"/>
      <c r="C132" s="66"/>
      <c r="D132" s="66"/>
      <c r="E132" s="66"/>
      <c r="F132" s="66"/>
      <c r="G132" s="66"/>
      <c r="H132" s="66"/>
      <c r="I132" s="66"/>
      <c r="J132" s="66"/>
      <c r="K132" s="66"/>
      <c r="L132" s="66"/>
      <c r="M132" s="66"/>
    </row>
    <row r="133" spans="1:13" ht="24.95" customHeight="1" x14ac:dyDescent="0.25">
      <c r="A133" s="1" t="s">
        <v>30</v>
      </c>
      <c r="B133" s="66"/>
      <c r="C133" s="66"/>
      <c r="D133" s="66"/>
      <c r="E133" s="66"/>
      <c r="F133" s="66"/>
      <c r="G133" s="66"/>
      <c r="H133" s="66"/>
      <c r="I133" s="66"/>
      <c r="J133" s="66"/>
      <c r="K133" s="66"/>
      <c r="L133" s="66"/>
      <c r="M133" s="66"/>
    </row>
    <row r="134" spans="1:13" ht="24.95" customHeight="1" x14ac:dyDescent="0.25">
      <c r="A134" s="1" t="s">
        <v>31</v>
      </c>
      <c r="B134" s="66"/>
      <c r="C134" s="66"/>
      <c r="D134" s="66"/>
      <c r="E134" s="66"/>
      <c r="F134" s="66"/>
      <c r="G134" s="66"/>
      <c r="H134" s="66"/>
      <c r="I134" s="66"/>
      <c r="J134" s="66"/>
      <c r="K134" s="66"/>
      <c r="L134" s="66"/>
      <c r="M134" s="66"/>
    </row>
    <row r="135" spans="1:13" ht="24.95" customHeight="1" x14ac:dyDescent="0.25">
      <c r="A135" s="1" t="s">
        <v>32</v>
      </c>
      <c r="B135" s="66"/>
      <c r="C135" s="66"/>
      <c r="D135" s="66"/>
      <c r="E135" s="66"/>
      <c r="F135" s="66"/>
      <c r="G135" s="66"/>
      <c r="H135" s="66"/>
      <c r="I135" s="66"/>
      <c r="J135" s="66"/>
      <c r="K135" s="66"/>
      <c r="L135" s="66"/>
      <c r="M135" s="66"/>
    </row>
    <row r="136" spans="1:13" ht="24.95" customHeight="1" x14ac:dyDescent="0.25">
      <c r="A136" s="1" t="s">
        <v>33</v>
      </c>
      <c r="B136" s="66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</row>
    <row r="137" spans="1:13" ht="24.95" customHeight="1" x14ac:dyDescent="0.25">
      <c r="A137" s="1" t="s">
        <v>34</v>
      </c>
      <c r="B137" s="66"/>
      <c r="C137" s="66"/>
      <c r="D137" s="66"/>
      <c r="E137" s="66"/>
      <c r="F137" s="66"/>
      <c r="G137" s="66"/>
      <c r="H137" s="66"/>
      <c r="I137" s="66"/>
      <c r="J137" s="66"/>
      <c r="K137" s="66"/>
      <c r="L137" s="66"/>
      <c r="M137" s="66"/>
    </row>
    <row r="138" spans="1:13" ht="24.95" customHeight="1" x14ac:dyDescent="0.25">
      <c r="A138" s="1" t="s">
        <v>35</v>
      </c>
      <c r="B138" s="66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</row>
    <row r="139" spans="1:13" ht="24.95" customHeight="1" x14ac:dyDescent="0.25">
      <c r="A139" s="1" t="s">
        <v>36</v>
      </c>
      <c r="B139" s="66"/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</row>
    <row r="140" spans="1:13" ht="24.95" customHeight="1" x14ac:dyDescent="0.25">
      <c r="A140" s="1" t="s">
        <v>37</v>
      </c>
      <c r="B140" s="66"/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</row>
    <row r="141" spans="1:13" ht="24.95" customHeight="1" x14ac:dyDescent="0.25">
      <c r="A141" s="1" t="s">
        <v>38</v>
      </c>
      <c r="B141" s="66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</row>
    <row r="142" spans="1:13" ht="24.95" customHeight="1" x14ac:dyDescent="0.25">
      <c r="A142" s="1" t="s">
        <v>39</v>
      </c>
      <c r="B142" s="66"/>
      <c r="C142" s="66"/>
      <c r="D142" s="66"/>
      <c r="E142" s="66"/>
      <c r="F142" s="66"/>
      <c r="G142" s="66"/>
      <c r="H142" s="66"/>
      <c r="I142" s="66"/>
      <c r="J142" s="66"/>
      <c r="K142" s="66"/>
      <c r="L142" s="66"/>
      <c r="M142" s="66"/>
    </row>
    <row r="143" spans="1:13" ht="24.95" customHeight="1" x14ac:dyDescent="0.25">
      <c r="A143" s="1"/>
      <c r="B143" s="66"/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</row>
    <row r="144" spans="1:13" ht="24.95" customHeight="1" x14ac:dyDescent="0.35">
      <c r="A144" s="57" t="s">
        <v>172</v>
      </c>
      <c r="B144" s="58"/>
      <c r="C144" s="58"/>
      <c r="D144" s="58"/>
      <c r="E144" s="58"/>
      <c r="F144" s="58"/>
      <c r="G144" s="58"/>
      <c r="H144" s="58"/>
      <c r="I144" s="58"/>
      <c r="J144" s="58"/>
      <c r="K144" s="58"/>
      <c r="L144" s="58"/>
      <c r="M144" s="59"/>
    </row>
    <row r="145" spans="1:13" ht="24.95" customHeight="1" x14ac:dyDescent="0.25">
      <c r="A145" s="12" t="s">
        <v>117</v>
      </c>
      <c r="B145" s="60" t="s">
        <v>171</v>
      </c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</row>
    <row r="146" spans="1:13" ht="24.95" customHeight="1" x14ac:dyDescent="0.25">
      <c r="A146" s="17" t="s">
        <v>50</v>
      </c>
      <c r="B146" s="66"/>
      <c r="C146" s="66"/>
      <c r="D146" s="66"/>
      <c r="E146" s="66"/>
      <c r="F146" s="66"/>
      <c r="G146" s="66"/>
      <c r="H146" s="66"/>
      <c r="I146" s="66"/>
      <c r="J146" s="66"/>
      <c r="K146" s="66"/>
      <c r="L146" s="66"/>
      <c r="M146" s="66"/>
    </row>
    <row r="147" spans="1:13" ht="24.95" customHeight="1" x14ac:dyDescent="0.25">
      <c r="A147" s="1" t="s">
        <v>41</v>
      </c>
      <c r="B147" s="66"/>
      <c r="C147" s="66"/>
      <c r="D147" s="66"/>
      <c r="E147" s="66"/>
      <c r="F147" s="66"/>
      <c r="G147" s="66"/>
      <c r="H147" s="66"/>
      <c r="I147" s="66"/>
      <c r="J147" s="66"/>
      <c r="K147" s="66"/>
      <c r="L147" s="66"/>
      <c r="M147" s="66"/>
    </row>
    <row r="148" spans="1:13" ht="24.95" customHeight="1" x14ac:dyDescent="0.25">
      <c r="A148" s="1" t="s">
        <v>42</v>
      </c>
      <c r="B148" s="66"/>
      <c r="C148" s="66"/>
      <c r="D148" s="66"/>
      <c r="E148" s="66"/>
      <c r="F148" s="66"/>
      <c r="G148" s="66"/>
      <c r="H148" s="66"/>
      <c r="I148" s="66"/>
      <c r="J148" s="66"/>
      <c r="K148" s="66"/>
      <c r="L148" s="66"/>
      <c r="M148" s="66"/>
    </row>
    <row r="149" spans="1:13" ht="24.95" customHeight="1" x14ac:dyDescent="0.25">
      <c r="A149" s="1" t="s">
        <v>43</v>
      </c>
      <c r="B149" s="66"/>
      <c r="C149" s="66"/>
      <c r="D149" s="66"/>
      <c r="E149" s="66"/>
      <c r="F149" s="66"/>
      <c r="G149" s="66"/>
      <c r="H149" s="66"/>
      <c r="I149" s="66"/>
      <c r="J149" s="66"/>
      <c r="K149" s="66"/>
      <c r="L149" s="66"/>
      <c r="M149" s="66"/>
    </row>
    <row r="150" spans="1:13" ht="24.95" customHeight="1" x14ac:dyDescent="0.25">
      <c r="A150" s="1" t="s">
        <v>45</v>
      </c>
      <c r="B150" s="66"/>
      <c r="C150" s="66"/>
      <c r="D150" s="66"/>
      <c r="E150" s="66"/>
      <c r="F150" s="66"/>
      <c r="G150" s="66"/>
      <c r="H150" s="66"/>
      <c r="I150" s="66"/>
      <c r="J150" s="66"/>
      <c r="K150" s="66"/>
      <c r="L150" s="66"/>
      <c r="M150" s="66"/>
    </row>
    <row r="151" spans="1:13" ht="24.95" customHeight="1" x14ac:dyDescent="0.25">
      <c r="A151" s="1" t="s">
        <v>46</v>
      </c>
      <c r="B151" s="66"/>
      <c r="C151" s="66"/>
      <c r="D151" s="66"/>
      <c r="E151" s="66"/>
      <c r="F151" s="66"/>
      <c r="G151" s="66"/>
      <c r="H151" s="66"/>
      <c r="I151" s="66"/>
      <c r="J151" s="66"/>
      <c r="K151" s="66"/>
      <c r="L151" s="66"/>
      <c r="M151" s="66"/>
    </row>
    <row r="152" spans="1:13" ht="24.95" customHeight="1" x14ac:dyDescent="0.25">
      <c r="A152" s="1" t="s">
        <v>47</v>
      </c>
      <c r="B152" s="66"/>
      <c r="C152" s="66"/>
      <c r="D152" s="66"/>
      <c r="E152" s="66"/>
      <c r="F152" s="66"/>
      <c r="G152" s="66"/>
      <c r="H152" s="66"/>
      <c r="I152" s="66"/>
      <c r="J152" s="66"/>
      <c r="K152" s="66"/>
      <c r="L152" s="66"/>
      <c r="M152" s="66"/>
    </row>
    <row r="153" spans="1:13" ht="24.95" customHeight="1" x14ac:dyDescent="0.25">
      <c r="A153" s="1" t="s">
        <v>17</v>
      </c>
      <c r="B153" s="66"/>
      <c r="C153" s="66"/>
      <c r="D153" s="66"/>
      <c r="E153" s="66"/>
      <c r="F153" s="66"/>
      <c r="G153" s="66"/>
      <c r="H153" s="66"/>
      <c r="I153" s="66"/>
      <c r="J153" s="66"/>
      <c r="K153" s="66"/>
      <c r="L153" s="66"/>
      <c r="M153" s="66"/>
    </row>
    <row r="154" spans="1:13" ht="24.95" customHeight="1" x14ac:dyDescent="0.25">
      <c r="A154" s="17" t="s">
        <v>112</v>
      </c>
      <c r="B154" s="66"/>
      <c r="C154" s="66"/>
      <c r="D154" s="66"/>
      <c r="E154" s="66"/>
      <c r="F154" s="66"/>
      <c r="G154" s="66"/>
      <c r="H154" s="66"/>
      <c r="I154" s="66"/>
      <c r="J154" s="66"/>
      <c r="K154" s="66"/>
      <c r="L154" s="66"/>
      <c r="M154" s="66"/>
    </row>
    <row r="155" spans="1:13" ht="24.95" customHeight="1" x14ac:dyDescent="0.25">
      <c r="A155" s="1" t="s">
        <v>22</v>
      </c>
      <c r="B155" s="66"/>
      <c r="C155" s="66"/>
      <c r="D155" s="66"/>
      <c r="E155" s="66"/>
      <c r="F155" s="66"/>
      <c r="G155" s="66"/>
      <c r="H155" s="66"/>
      <c r="I155" s="66"/>
      <c r="J155" s="66"/>
      <c r="K155" s="66"/>
      <c r="L155" s="66"/>
      <c r="M155" s="66"/>
    </row>
    <row r="156" spans="1:13" ht="24.95" customHeight="1" x14ac:dyDescent="0.25">
      <c r="A156" s="1" t="s">
        <v>23</v>
      </c>
      <c r="B156" s="66"/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</row>
    <row r="157" spans="1:13" ht="24.95" customHeight="1" x14ac:dyDescent="0.25">
      <c r="A157" s="1" t="s">
        <v>24</v>
      </c>
      <c r="B157" s="66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</row>
    <row r="158" spans="1:13" ht="24.95" customHeight="1" x14ac:dyDescent="0.25">
      <c r="A158" s="1" t="s">
        <v>25</v>
      </c>
      <c r="B158" s="66"/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</row>
    <row r="159" spans="1:13" ht="24.95" customHeight="1" x14ac:dyDescent="0.25">
      <c r="A159" s="1" t="s">
        <v>26</v>
      </c>
      <c r="B159" s="66"/>
      <c r="C159" s="66"/>
      <c r="D159" s="66"/>
      <c r="E159" s="66"/>
      <c r="F159" s="66"/>
      <c r="G159" s="66"/>
      <c r="H159" s="66"/>
      <c r="I159" s="66"/>
      <c r="J159" s="66"/>
      <c r="K159" s="66"/>
      <c r="L159" s="66"/>
      <c r="M159" s="66"/>
    </row>
    <row r="160" spans="1:13" ht="24.95" customHeight="1" x14ac:dyDescent="0.25">
      <c r="A160" s="1" t="s">
        <v>27</v>
      </c>
      <c r="B160" s="66"/>
      <c r="C160" s="66"/>
      <c r="D160" s="66"/>
      <c r="E160" s="66"/>
      <c r="F160" s="66"/>
      <c r="G160" s="66"/>
      <c r="H160" s="66"/>
      <c r="I160" s="66"/>
      <c r="J160" s="66"/>
      <c r="K160" s="66"/>
      <c r="L160" s="66"/>
      <c r="M160" s="66"/>
    </row>
    <row r="161" spans="1:13" ht="24.95" customHeight="1" x14ac:dyDescent="0.25">
      <c r="A161" s="1" t="s">
        <v>40</v>
      </c>
      <c r="B161" s="66"/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66"/>
    </row>
    <row r="162" spans="1:13" ht="24.95" customHeight="1" x14ac:dyDescent="0.25">
      <c r="A162" s="1" t="s">
        <v>44</v>
      </c>
      <c r="B162" s="66"/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</row>
    <row r="163" spans="1:13" ht="24.95" customHeight="1" x14ac:dyDescent="0.35">
      <c r="A163" s="57" t="s">
        <v>172</v>
      </c>
      <c r="B163" s="58"/>
      <c r="C163" s="58"/>
      <c r="D163" s="58"/>
      <c r="E163" s="58"/>
      <c r="F163" s="58"/>
      <c r="G163" s="58"/>
      <c r="H163" s="58"/>
      <c r="I163" s="58"/>
      <c r="J163" s="58"/>
      <c r="K163" s="58"/>
      <c r="L163" s="58"/>
      <c r="M163" s="59"/>
    </row>
    <row r="164" spans="1:13" ht="24.95" customHeight="1" x14ac:dyDescent="0.25">
      <c r="A164" s="12" t="s">
        <v>118</v>
      </c>
      <c r="B164" s="60" t="s">
        <v>171</v>
      </c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</row>
    <row r="165" spans="1:13" ht="24.95" customHeight="1" x14ac:dyDescent="0.25">
      <c r="A165" s="18" t="s">
        <v>69</v>
      </c>
      <c r="B165" s="66"/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</row>
    <row r="166" spans="1:13" ht="24.95" customHeight="1" x14ac:dyDescent="0.25">
      <c r="A166" s="1" t="s">
        <v>70</v>
      </c>
      <c r="B166" s="66"/>
      <c r="C166" s="66"/>
      <c r="D166" s="66"/>
      <c r="E166" s="66"/>
      <c r="F166" s="66"/>
      <c r="G166" s="66"/>
      <c r="H166" s="66"/>
      <c r="I166" s="66"/>
      <c r="J166" s="66"/>
      <c r="K166" s="66"/>
      <c r="L166" s="66"/>
      <c r="M166" s="66"/>
    </row>
    <row r="167" spans="1:13" ht="24.95" customHeight="1" x14ac:dyDescent="0.25">
      <c r="A167" s="1" t="s">
        <v>66</v>
      </c>
      <c r="B167" s="66"/>
      <c r="C167" s="66"/>
      <c r="D167" s="66"/>
      <c r="E167" s="66"/>
      <c r="F167" s="66"/>
      <c r="G167" s="66"/>
      <c r="H167" s="66"/>
      <c r="I167" s="66"/>
      <c r="J167" s="66"/>
      <c r="K167" s="66"/>
      <c r="L167" s="66"/>
      <c r="M167" s="66"/>
    </row>
    <row r="168" spans="1:13" ht="24.95" customHeight="1" x14ac:dyDescent="0.25">
      <c r="A168" s="1" t="s">
        <v>53</v>
      </c>
      <c r="B168" s="66"/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66"/>
    </row>
    <row r="169" spans="1:13" ht="24.95" customHeight="1" x14ac:dyDescent="0.25">
      <c r="A169" s="1" t="s">
        <v>54</v>
      </c>
      <c r="B169" s="66"/>
      <c r="C169" s="66"/>
      <c r="D169" s="66"/>
      <c r="E169" s="66"/>
      <c r="F169" s="66"/>
      <c r="G169" s="66"/>
      <c r="H169" s="66"/>
      <c r="I169" s="66"/>
      <c r="J169" s="66"/>
      <c r="K169" s="66"/>
      <c r="L169" s="66"/>
      <c r="M169" s="66"/>
    </row>
    <row r="170" spans="1:13" ht="24.95" customHeight="1" x14ac:dyDescent="0.25">
      <c r="A170" s="1" t="s">
        <v>55</v>
      </c>
      <c r="B170" s="66"/>
      <c r="C170" s="66"/>
      <c r="D170" s="66"/>
      <c r="E170" s="66"/>
      <c r="F170" s="66"/>
      <c r="G170" s="66"/>
      <c r="H170" s="66"/>
      <c r="I170" s="66"/>
      <c r="J170" s="66"/>
      <c r="K170" s="66"/>
      <c r="L170" s="66"/>
      <c r="M170" s="66"/>
    </row>
    <row r="171" spans="1:13" ht="24.95" customHeight="1" x14ac:dyDescent="0.25">
      <c r="A171" s="1" t="s">
        <v>56</v>
      </c>
      <c r="B171" s="66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</row>
    <row r="172" spans="1:13" ht="24.95" customHeight="1" x14ac:dyDescent="0.25">
      <c r="A172" s="1" t="s">
        <v>57</v>
      </c>
      <c r="B172" s="66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</row>
    <row r="173" spans="1:13" ht="24.95" customHeight="1" x14ac:dyDescent="0.25">
      <c r="A173" s="1" t="s">
        <v>58</v>
      </c>
      <c r="B173" s="66"/>
      <c r="C173" s="66"/>
      <c r="D173" s="66"/>
      <c r="E173" s="66"/>
      <c r="F173" s="66"/>
      <c r="G173" s="66"/>
      <c r="H173" s="66"/>
      <c r="I173" s="66"/>
      <c r="J173" s="66"/>
      <c r="K173" s="66"/>
      <c r="L173" s="66"/>
      <c r="M173" s="66"/>
    </row>
    <row r="174" spans="1:13" ht="24.95" customHeight="1" x14ac:dyDescent="0.25">
      <c r="A174" s="1" t="s">
        <v>59</v>
      </c>
      <c r="B174" s="66"/>
      <c r="C174" s="66"/>
      <c r="D174" s="66"/>
      <c r="E174" s="66"/>
      <c r="F174" s="66"/>
      <c r="G174" s="66"/>
      <c r="H174" s="66"/>
      <c r="I174" s="66"/>
      <c r="J174" s="66"/>
      <c r="K174" s="66"/>
      <c r="L174" s="66"/>
      <c r="M174" s="66"/>
    </row>
    <row r="175" spans="1:13" ht="24.95" customHeight="1" x14ac:dyDescent="0.25">
      <c r="A175" s="1" t="s">
        <v>60</v>
      </c>
      <c r="B175" s="66"/>
      <c r="C175" s="66"/>
      <c r="D175" s="66"/>
      <c r="E175" s="66"/>
      <c r="F175" s="66"/>
      <c r="G175" s="66"/>
      <c r="H175" s="66"/>
      <c r="I175" s="66"/>
      <c r="J175" s="66"/>
      <c r="K175" s="66"/>
      <c r="L175" s="66"/>
      <c r="M175" s="66"/>
    </row>
    <row r="176" spans="1:13" ht="24.95" customHeight="1" x14ac:dyDescent="0.25">
      <c r="A176" s="1" t="s">
        <v>61</v>
      </c>
      <c r="B176" s="66"/>
      <c r="C176" s="66"/>
      <c r="D176" s="66"/>
      <c r="E176" s="66"/>
      <c r="F176" s="66"/>
      <c r="G176" s="66"/>
      <c r="H176" s="66"/>
      <c r="I176" s="66"/>
      <c r="J176" s="66"/>
      <c r="K176" s="66"/>
      <c r="L176" s="66"/>
      <c r="M176" s="66"/>
    </row>
    <row r="177" spans="1:13" ht="24.95" customHeight="1" x14ac:dyDescent="0.25">
      <c r="A177" s="1" t="s">
        <v>62</v>
      </c>
      <c r="B177" s="66"/>
      <c r="C177" s="66"/>
      <c r="D177" s="66"/>
      <c r="E177" s="66"/>
      <c r="F177" s="66"/>
      <c r="G177" s="66"/>
      <c r="H177" s="66"/>
      <c r="I177" s="66"/>
      <c r="J177" s="66"/>
      <c r="K177" s="66"/>
      <c r="L177" s="66"/>
      <c r="M177" s="66"/>
    </row>
    <row r="178" spans="1:13" ht="24.95" customHeight="1" x14ac:dyDescent="0.25">
      <c r="A178" s="1" t="s">
        <v>63</v>
      </c>
      <c r="B178" s="66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</row>
    <row r="179" spans="1:13" ht="24.95" customHeight="1" x14ac:dyDescent="0.25">
      <c r="A179" s="1" t="s">
        <v>64</v>
      </c>
      <c r="B179" s="66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</row>
    <row r="180" spans="1:13" ht="24.95" customHeight="1" x14ac:dyDescent="0.25">
      <c r="A180" s="1" t="s">
        <v>65</v>
      </c>
      <c r="B180" s="66"/>
      <c r="C180" s="66"/>
      <c r="D180" s="66"/>
      <c r="E180" s="66"/>
      <c r="F180" s="66"/>
      <c r="G180" s="66"/>
      <c r="H180" s="66"/>
      <c r="I180" s="66"/>
      <c r="J180" s="66"/>
      <c r="K180" s="66"/>
      <c r="L180" s="66"/>
      <c r="M180" s="66"/>
    </row>
    <row r="181" spans="1:13" ht="24.95" customHeight="1" x14ac:dyDescent="0.25">
      <c r="A181" s="1"/>
      <c r="B181" s="66"/>
      <c r="C181" s="66"/>
      <c r="D181" s="66"/>
      <c r="E181" s="66"/>
      <c r="F181" s="66"/>
      <c r="G181" s="66"/>
      <c r="H181" s="66"/>
      <c r="I181" s="66"/>
      <c r="J181" s="66"/>
      <c r="K181" s="66"/>
      <c r="L181" s="66"/>
      <c r="M181" s="66"/>
    </row>
    <row r="182" spans="1:13" ht="24.95" customHeight="1" x14ac:dyDescent="0.35">
      <c r="A182" s="57" t="s">
        <v>172</v>
      </c>
      <c r="B182" s="58"/>
      <c r="C182" s="58"/>
      <c r="D182" s="58"/>
      <c r="E182" s="58"/>
      <c r="F182" s="58"/>
      <c r="G182" s="58"/>
      <c r="H182" s="58"/>
      <c r="I182" s="58"/>
      <c r="J182" s="58"/>
      <c r="K182" s="58"/>
      <c r="L182" s="58"/>
      <c r="M182" s="59"/>
    </row>
    <row r="183" spans="1:13" ht="24.95" customHeight="1" x14ac:dyDescent="0.25">
      <c r="A183" s="12" t="s">
        <v>119</v>
      </c>
      <c r="B183" s="60" t="s">
        <v>171</v>
      </c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</row>
    <row r="184" spans="1:13" ht="24.95" customHeight="1" x14ac:dyDescent="0.25">
      <c r="A184" s="18" t="s">
        <v>67</v>
      </c>
      <c r="B184" s="66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</row>
    <row r="185" spans="1:13" ht="24.95" customHeight="1" x14ac:dyDescent="0.25">
      <c r="A185" s="18" t="s">
        <v>68</v>
      </c>
      <c r="B185" s="66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</row>
    <row r="186" spans="1:13" ht="24.95" customHeight="1" x14ac:dyDescent="0.25">
      <c r="A186" s="18" t="s">
        <v>71</v>
      </c>
      <c r="B186" s="66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</row>
    <row r="187" spans="1:13" ht="24.95" customHeight="1" x14ac:dyDescent="0.25">
      <c r="A187" s="18" t="s">
        <v>72</v>
      </c>
      <c r="B187" s="66"/>
      <c r="C187" s="66"/>
      <c r="D187" s="66"/>
      <c r="E187" s="66"/>
      <c r="F187" s="66"/>
      <c r="G187" s="66"/>
      <c r="H187" s="66"/>
      <c r="I187" s="66"/>
      <c r="J187" s="66"/>
      <c r="K187" s="66"/>
      <c r="L187" s="66"/>
      <c r="M187" s="66"/>
    </row>
    <row r="188" spans="1:13" ht="24.95" customHeight="1" x14ac:dyDescent="0.25">
      <c r="A188" s="18" t="s">
        <v>73</v>
      </c>
      <c r="B188" s="66"/>
      <c r="C188" s="66"/>
      <c r="D188" s="66"/>
      <c r="E188" s="66"/>
      <c r="F188" s="66"/>
      <c r="G188" s="66"/>
      <c r="H188" s="66"/>
      <c r="I188" s="66"/>
      <c r="J188" s="66"/>
      <c r="K188" s="66"/>
      <c r="L188" s="66"/>
      <c r="M188" s="66"/>
    </row>
    <row r="189" spans="1:13" ht="24.95" customHeight="1" x14ac:dyDescent="0.25">
      <c r="A189" s="18" t="s">
        <v>74</v>
      </c>
      <c r="B189" s="66"/>
      <c r="C189" s="66"/>
      <c r="D189" s="66"/>
      <c r="E189" s="66"/>
      <c r="F189" s="66"/>
      <c r="G189" s="66"/>
      <c r="H189" s="66"/>
      <c r="I189" s="66"/>
      <c r="J189" s="66"/>
      <c r="K189" s="66"/>
      <c r="L189" s="66"/>
      <c r="M189" s="66"/>
    </row>
    <row r="190" spans="1:13" ht="24.95" customHeight="1" x14ac:dyDescent="0.25">
      <c r="A190" s="17" t="s">
        <v>86</v>
      </c>
      <c r="B190" s="66"/>
      <c r="C190" s="66"/>
      <c r="D190" s="66"/>
      <c r="E190" s="66"/>
      <c r="F190" s="66"/>
      <c r="G190" s="66"/>
      <c r="H190" s="66"/>
      <c r="I190" s="66"/>
      <c r="J190" s="66"/>
      <c r="K190" s="66"/>
      <c r="L190" s="66"/>
      <c r="M190" s="66"/>
    </row>
    <row r="191" spans="1:13" ht="24.95" customHeight="1" x14ac:dyDescent="0.25">
      <c r="A191" s="17" t="s">
        <v>85</v>
      </c>
      <c r="B191" s="66"/>
      <c r="C191" s="66"/>
      <c r="D191" s="66"/>
      <c r="E191" s="66"/>
      <c r="F191" s="66"/>
      <c r="G191" s="66"/>
      <c r="H191" s="66"/>
      <c r="I191" s="66"/>
      <c r="J191" s="66"/>
      <c r="K191" s="66"/>
      <c r="L191" s="66"/>
      <c r="M191" s="66"/>
    </row>
    <row r="192" spans="1:13" ht="24.95" customHeight="1" x14ac:dyDescent="0.25">
      <c r="A192" s="17" t="s">
        <v>84</v>
      </c>
      <c r="B192" s="66"/>
      <c r="C192" s="66"/>
      <c r="D192" s="66"/>
      <c r="E192" s="66"/>
      <c r="F192" s="66"/>
      <c r="G192" s="66"/>
      <c r="H192" s="66"/>
      <c r="I192" s="66"/>
      <c r="J192" s="66"/>
      <c r="K192" s="66"/>
      <c r="L192" s="66"/>
      <c r="M192" s="66"/>
    </row>
    <row r="193" spans="1:13" ht="24.95" customHeight="1" x14ac:dyDescent="0.25">
      <c r="A193" s="17" t="s">
        <v>83</v>
      </c>
      <c r="B193" s="66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</row>
    <row r="194" spans="1:13" ht="24.95" customHeight="1" x14ac:dyDescent="0.25">
      <c r="A194" s="1" t="s">
        <v>75</v>
      </c>
      <c r="B194" s="66"/>
      <c r="C194" s="66"/>
      <c r="D194" s="66"/>
      <c r="E194" s="66"/>
      <c r="F194" s="66"/>
      <c r="G194" s="66"/>
      <c r="H194" s="66"/>
      <c r="I194" s="66"/>
      <c r="J194" s="66"/>
      <c r="K194" s="66"/>
      <c r="L194" s="66"/>
      <c r="M194" s="66"/>
    </row>
    <row r="195" spans="1:13" ht="24.95" customHeight="1" x14ac:dyDescent="0.25">
      <c r="A195" s="1" t="s">
        <v>76</v>
      </c>
      <c r="B195" s="66"/>
      <c r="C195" s="66"/>
      <c r="D195" s="66"/>
      <c r="E195" s="66"/>
      <c r="F195" s="66"/>
      <c r="G195" s="66"/>
      <c r="H195" s="66"/>
      <c r="I195" s="66"/>
      <c r="J195" s="66"/>
      <c r="K195" s="66"/>
      <c r="L195" s="66"/>
      <c r="M195" s="66"/>
    </row>
    <row r="196" spans="1:13" ht="24.95" customHeight="1" x14ac:dyDescent="0.25">
      <c r="A196" s="1" t="s">
        <v>77</v>
      </c>
      <c r="B196" s="66"/>
      <c r="C196" s="66"/>
      <c r="D196" s="66"/>
      <c r="E196" s="66"/>
      <c r="F196" s="66"/>
      <c r="G196" s="66"/>
      <c r="H196" s="66"/>
      <c r="I196" s="66"/>
      <c r="J196" s="66"/>
      <c r="K196" s="66"/>
      <c r="L196" s="66"/>
      <c r="M196" s="66"/>
    </row>
    <row r="197" spans="1:13" ht="24.95" customHeight="1" x14ac:dyDescent="0.25">
      <c r="A197" s="1" t="s">
        <v>78</v>
      </c>
      <c r="B197" s="66"/>
      <c r="C197" s="66"/>
      <c r="D197" s="66"/>
      <c r="E197" s="66"/>
      <c r="F197" s="66"/>
      <c r="G197" s="66"/>
      <c r="H197" s="66"/>
      <c r="I197" s="66"/>
      <c r="J197" s="66"/>
      <c r="K197" s="66"/>
      <c r="L197" s="66"/>
      <c r="M197" s="66"/>
    </row>
    <row r="198" spans="1:13" ht="24.95" customHeight="1" x14ac:dyDescent="0.25">
      <c r="A198" s="1" t="s">
        <v>79</v>
      </c>
      <c r="B198" s="66"/>
      <c r="C198" s="66"/>
      <c r="D198" s="66"/>
      <c r="E198" s="66"/>
      <c r="F198" s="66"/>
      <c r="G198" s="66"/>
      <c r="H198" s="66"/>
      <c r="I198" s="66"/>
      <c r="J198" s="66"/>
      <c r="K198" s="66"/>
      <c r="L198" s="66"/>
      <c r="M198" s="66"/>
    </row>
    <row r="199" spans="1:13" ht="24.95" customHeight="1" x14ac:dyDescent="0.25">
      <c r="A199" s="1" t="s">
        <v>80</v>
      </c>
      <c r="B199" s="66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</row>
    <row r="200" spans="1:13" ht="24.95" customHeight="1" x14ac:dyDescent="0.25">
      <c r="A200" s="1" t="s">
        <v>81</v>
      </c>
      <c r="B200" s="66"/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</row>
  </sheetData>
  <mergeCells count="145">
    <mergeCell ref="B196:M196"/>
    <mergeCell ref="B197:M197"/>
    <mergeCell ref="B198:M198"/>
    <mergeCell ref="B199:M199"/>
    <mergeCell ref="B200:M200"/>
    <mergeCell ref="B190:M190"/>
    <mergeCell ref="B191:M191"/>
    <mergeCell ref="B192:M192"/>
    <mergeCell ref="B193:M193"/>
    <mergeCell ref="B194:M194"/>
    <mergeCell ref="B195:M195"/>
    <mergeCell ref="B184:M184"/>
    <mergeCell ref="B185:M185"/>
    <mergeCell ref="B186:M186"/>
    <mergeCell ref="B187:M187"/>
    <mergeCell ref="B188:M188"/>
    <mergeCell ref="B189:M189"/>
    <mergeCell ref="B178:M178"/>
    <mergeCell ref="B179:M179"/>
    <mergeCell ref="B180:M180"/>
    <mergeCell ref="B181:M181"/>
    <mergeCell ref="A182:M182"/>
    <mergeCell ref="B183:M183"/>
    <mergeCell ref="B172:M172"/>
    <mergeCell ref="B173:M173"/>
    <mergeCell ref="B174:M174"/>
    <mergeCell ref="B175:M175"/>
    <mergeCell ref="B176:M176"/>
    <mergeCell ref="B177:M177"/>
    <mergeCell ref="B166:M166"/>
    <mergeCell ref="B167:M167"/>
    <mergeCell ref="B168:M168"/>
    <mergeCell ref="B169:M169"/>
    <mergeCell ref="B170:M170"/>
    <mergeCell ref="B171:M171"/>
    <mergeCell ref="B160:M160"/>
    <mergeCell ref="B161:M161"/>
    <mergeCell ref="B162:M162"/>
    <mergeCell ref="A163:M163"/>
    <mergeCell ref="B164:M164"/>
    <mergeCell ref="B165:M165"/>
    <mergeCell ref="B154:M154"/>
    <mergeCell ref="B155:M155"/>
    <mergeCell ref="B156:M156"/>
    <mergeCell ref="B157:M157"/>
    <mergeCell ref="B158:M158"/>
    <mergeCell ref="B159:M159"/>
    <mergeCell ref="B148:M148"/>
    <mergeCell ref="B149:M149"/>
    <mergeCell ref="B150:M150"/>
    <mergeCell ref="B151:M151"/>
    <mergeCell ref="B152:M152"/>
    <mergeCell ref="B153:M153"/>
    <mergeCell ref="B142:M142"/>
    <mergeCell ref="B143:M143"/>
    <mergeCell ref="A144:M144"/>
    <mergeCell ref="B145:M145"/>
    <mergeCell ref="B146:M146"/>
    <mergeCell ref="B147:M147"/>
    <mergeCell ref="B136:M136"/>
    <mergeCell ref="B137:M137"/>
    <mergeCell ref="B138:M138"/>
    <mergeCell ref="B139:M139"/>
    <mergeCell ref="B140:M140"/>
    <mergeCell ref="B141:M141"/>
    <mergeCell ref="B130:M130"/>
    <mergeCell ref="B131:M131"/>
    <mergeCell ref="B132:M132"/>
    <mergeCell ref="B133:M133"/>
    <mergeCell ref="B134:M134"/>
    <mergeCell ref="B135:M135"/>
    <mergeCell ref="B124:M124"/>
    <mergeCell ref="A125:M125"/>
    <mergeCell ref="B126:M126"/>
    <mergeCell ref="B127:M127"/>
    <mergeCell ref="B128:M128"/>
    <mergeCell ref="B129:M129"/>
    <mergeCell ref="B118:M118"/>
    <mergeCell ref="B119:M119"/>
    <mergeCell ref="B120:M120"/>
    <mergeCell ref="B121:M121"/>
    <mergeCell ref="B122:M122"/>
    <mergeCell ref="B123:M123"/>
    <mergeCell ref="B112:M112"/>
    <mergeCell ref="B113:M113"/>
    <mergeCell ref="B114:M114"/>
    <mergeCell ref="B115:M115"/>
    <mergeCell ref="B116:M116"/>
    <mergeCell ref="B117:M117"/>
    <mergeCell ref="A106:M106"/>
    <mergeCell ref="B107:M107"/>
    <mergeCell ref="B108:M108"/>
    <mergeCell ref="B109:M109"/>
    <mergeCell ref="B110:M110"/>
    <mergeCell ref="B111:M111"/>
    <mergeCell ref="A85:M85"/>
    <mergeCell ref="B86:E86"/>
    <mergeCell ref="F86:I86"/>
    <mergeCell ref="J86:M86"/>
    <mergeCell ref="B87:C87"/>
    <mergeCell ref="D87:E87"/>
    <mergeCell ref="F87:G87"/>
    <mergeCell ref="H87:I87"/>
    <mergeCell ref="J87:K87"/>
    <mergeCell ref="L87:M87"/>
    <mergeCell ref="A64:M64"/>
    <mergeCell ref="B65:E65"/>
    <mergeCell ref="F65:I65"/>
    <mergeCell ref="J65:M65"/>
    <mergeCell ref="B66:C66"/>
    <mergeCell ref="D66:E66"/>
    <mergeCell ref="F66:G66"/>
    <mergeCell ref="H66:I66"/>
    <mergeCell ref="J66:K66"/>
    <mergeCell ref="L66:M66"/>
    <mergeCell ref="A43:M43"/>
    <mergeCell ref="B44:E44"/>
    <mergeCell ref="F44:I44"/>
    <mergeCell ref="J44:M44"/>
    <mergeCell ref="B45:C45"/>
    <mergeCell ref="D45:E45"/>
    <mergeCell ref="F45:G45"/>
    <mergeCell ref="H45:I45"/>
    <mergeCell ref="J45:K45"/>
    <mergeCell ref="L45:M45"/>
    <mergeCell ref="A22:M22"/>
    <mergeCell ref="B23:E23"/>
    <mergeCell ref="F23:I23"/>
    <mergeCell ref="J23:M23"/>
    <mergeCell ref="B24:C24"/>
    <mergeCell ref="D24:E24"/>
    <mergeCell ref="F24:G24"/>
    <mergeCell ref="H24:I24"/>
    <mergeCell ref="J24:K24"/>
    <mergeCell ref="L24:M24"/>
    <mergeCell ref="A1:M1"/>
    <mergeCell ref="B2:E2"/>
    <mergeCell ref="F2:I2"/>
    <mergeCell ref="J2:M2"/>
    <mergeCell ref="B3:C3"/>
    <mergeCell ref="D3:E3"/>
    <mergeCell ref="F3:G3"/>
    <mergeCell ref="H3:I3"/>
    <mergeCell ref="J3:K3"/>
    <mergeCell ref="L3:M3"/>
  </mergeCells>
  <pageMargins left="0.25" right="0.25" top="0.75" bottom="0.75" header="0.3" footer="0.3"/>
  <pageSetup orientation="landscape" horizontalDpi="4294967293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3C318-7324-4670-A22E-ACEE30176D49}">
  <dimension ref="A1:N76"/>
  <sheetViews>
    <sheetView workbookViewId="0">
      <selection activeCell="M7" sqref="M7"/>
    </sheetView>
  </sheetViews>
  <sheetFormatPr defaultRowHeight="15.75" x14ac:dyDescent="0.25"/>
  <cols>
    <col min="1" max="1" width="9.625" customWidth="1"/>
  </cols>
  <sheetData>
    <row r="1" spans="1:14" x14ac:dyDescent="0.25">
      <c r="A1" s="4" t="s">
        <v>155</v>
      </c>
      <c r="M1" s="4" t="s">
        <v>220</v>
      </c>
    </row>
    <row r="2" spans="1:14" x14ac:dyDescent="0.25">
      <c r="A2" s="4" t="s">
        <v>360</v>
      </c>
      <c r="M2" t="s">
        <v>146</v>
      </c>
    </row>
    <row r="3" spans="1:14" x14ac:dyDescent="0.25">
      <c r="A3" s="11">
        <v>46156</v>
      </c>
      <c r="B3" t="s">
        <v>144</v>
      </c>
      <c r="M3" t="s">
        <v>156</v>
      </c>
    </row>
    <row r="4" spans="1:14" x14ac:dyDescent="0.25">
      <c r="A4" s="11">
        <v>46171</v>
      </c>
      <c r="B4" t="s">
        <v>153</v>
      </c>
      <c r="M4" t="s">
        <v>157</v>
      </c>
    </row>
    <row r="5" spans="1:14" x14ac:dyDescent="0.25">
      <c r="B5" t="s">
        <v>151</v>
      </c>
      <c r="N5" t="s">
        <v>158</v>
      </c>
    </row>
    <row r="6" spans="1:14" x14ac:dyDescent="0.25">
      <c r="A6" s="11">
        <v>46179</v>
      </c>
      <c r="B6" t="s">
        <v>152</v>
      </c>
      <c r="N6" t="s">
        <v>159</v>
      </c>
    </row>
    <row r="7" spans="1:14" x14ac:dyDescent="0.25">
      <c r="B7" t="s">
        <v>154</v>
      </c>
      <c r="M7" t="s">
        <v>208</v>
      </c>
    </row>
    <row r="8" spans="1:14" x14ac:dyDescent="0.25">
      <c r="B8" t="s">
        <v>196</v>
      </c>
      <c r="M8" t="s">
        <v>207</v>
      </c>
    </row>
    <row r="9" spans="1:14" x14ac:dyDescent="0.25">
      <c r="A9" s="11">
        <v>46185</v>
      </c>
      <c r="B9" t="s">
        <v>160</v>
      </c>
      <c r="M9" t="s">
        <v>218</v>
      </c>
    </row>
    <row r="10" spans="1:14" x14ac:dyDescent="0.25">
      <c r="A10" s="11">
        <v>46188</v>
      </c>
      <c r="B10" t="s">
        <v>161</v>
      </c>
      <c r="M10" t="s">
        <v>219</v>
      </c>
    </row>
    <row r="11" spans="1:14" x14ac:dyDescent="0.25">
      <c r="A11" s="11">
        <v>46189</v>
      </c>
      <c r="B11" t="s">
        <v>154</v>
      </c>
    </row>
    <row r="12" spans="1:14" x14ac:dyDescent="0.25">
      <c r="A12" s="11">
        <v>46190</v>
      </c>
      <c r="B12" t="s">
        <v>162</v>
      </c>
    </row>
    <row r="13" spans="1:14" x14ac:dyDescent="0.25">
      <c r="A13" s="11"/>
      <c r="B13" t="s">
        <v>195</v>
      </c>
    </row>
    <row r="14" spans="1:14" x14ac:dyDescent="0.25">
      <c r="A14" s="11">
        <v>46196</v>
      </c>
      <c r="B14" t="s">
        <v>163</v>
      </c>
    </row>
    <row r="15" spans="1:14" x14ac:dyDescent="0.25">
      <c r="A15" s="11">
        <v>46197</v>
      </c>
      <c r="B15" t="s">
        <v>154</v>
      </c>
    </row>
    <row r="16" spans="1:14" x14ac:dyDescent="0.25">
      <c r="A16" s="11">
        <v>46204</v>
      </c>
      <c r="B16" t="s">
        <v>154</v>
      </c>
    </row>
    <row r="17" spans="1:2" x14ac:dyDescent="0.25">
      <c r="A17" s="11">
        <v>46206</v>
      </c>
      <c r="B17" t="s">
        <v>193</v>
      </c>
    </row>
    <row r="18" spans="1:2" x14ac:dyDescent="0.25">
      <c r="A18" s="11">
        <v>46217</v>
      </c>
      <c r="B18" t="s">
        <v>175</v>
      </c>
    </row>
    <row r="19" spans="1:2" x14ac:dyDescent="0.25">
      <c r="A19" s="11"/>
      <c r="B19" t="s">
        <v>194</v>
      </c>
    </row>
    <row r="20" spans="1:2" x14ac:dyDescent="0.25">
      <c r="A20" s="11">
        <v>46218</v>
      </c>
      <c r="B20" t="s">
        <v>154</v>
      </c>
    </row>
    <row r="21" spans="1:2" x14ac:dyDescent="0.25">
      <c r="B21" t="s">
        <v>174</v>
      </c>
    </row>
    <row r="22" spans="1:2" x14ac:dyDescent="0.25">
      <c r="A22" s="11">
        <v>46225</v>
      </c>
      <c r="B22" t="s">
        <v>176</v>
      </c>
    </row>
    <row r="23" spans="1:2" x14ac:dyDescent="0.25">
      <c r="A23" s="11"/>
      <c r="B23" t="s">
        <v>189</v>
      </c>
    </row>
    <row r="24" spans="1:2" x14ac:dyDescent="0.25">
      <c r="A24" s="11">
        <v>46226</v>
      </c>
      <c r="B24" t="s">
        <v>154</v>
      </c>
    </row>
    <row r="25" spans="1:2" x14ac:dyDescent="0.25">
      <c r="A25" s="11"/>
      <c r="B25" t="s">
        <v>197</v>
      </c>
    </row>
    <row r="26" spans="1:2" x14ac:dyDescent="0.25">
      <c r="A26" s="11">
        <v>46232</v>
      </c>
      <c r="B26" t="s">
        <v>190</v>
      </c>
    </row>
    <row r="27" spans="1:2" x14ac:dyDescent="0.25">
      <c r="A27" s="11">
        <v>46233</v>
      </c>
      <c r="B27" t="s">
        <v>190</v>
      </c>
    </row>
    <row r="28" spans="1:2" x14ac:dyDescent="0.25">
      <c r="B28" t="s">
        <v>191</v>
      </c>
    </row>
    <row r="29" spans="1:2" x14ac:dyDescent="0.25">
      <c r="B29" t="s">
        <v>198</v>
      </c>
    </row>
    <row r="30" spans="1:2" x14ac:dyDescent="0.25">
      <c r="A30" s="11">
        <v>46234</v>
      </c>
      <c r="B30" t="s">
        <v>154</v>
      </c>
    </row>
    <row r="31" spans="1:2" x14ac:dyDescent="0.25">
      <c r="A31" s="11">
        <v>46240</v>
      </c>
      <c r="B31" t="s">
        <v>199</v>
      </c>
    </row>
    <row r="32" spans="1:2" x14ac:dyDescent="0.25">
      <c r="A32" s="11">
        <v>46241</v>
      </c>
      <c r="B32" t="s">
        <v>200</v>
      </c>
    </row>
    <row r="33" spans="1:2" x14ac:dyDescent="0.25">
      <c r="A33" s="11">
        <v>46248</v>
      </c>
      <c r="B33" t="s">
        <v>154</v>
      </c>
    </row>
    <row r="34" spans="1:2" x14ac:dyDescent="0.25">
      <c r="A34" s="11"/>
      <c r="B34" t="s">
        <v>205</v>
      </c>
    </row>
    <row r="35" spans="1:2" x14ac:dyDescent="0.25">
      <c r="A35" s="11">
        <v>46251</v>
      </c>
      <c r="B35" t="s">
        <v>201</v>
      </c>
    </row>
    <row r="36" spans="1:2" x14ac:dyDescent="0.25">
      <c r="A36" s="11">
        <v>46252</v>
      </c>
      <c r="B36" t="s">
        <v>202</v>
      </c>
    </row>
    <row r="37" spans="1:2" x14ac:dyDescent="0.25">
      <c r="A37" s="11">
        <v>46255</v>
      </c>
      <c r="B37" t="s">
        <v>206</v>
      </c>
    </row>
    <row r="38" spans="1:2" x14ac:dyDescent="0.25">
      <c r="A38" s="11">
        <v>46258</v>
      </c>
      <c r="B38" t="s">
        <v>215</v>
      </c>
    </row>
    <row r="39" spans="1:2" x14ac:dyDescent="0.25">
      <c r="A39" s="11"/>
      <c r="B39" t="s">
        <v>209</v>
      </c>
    </row>
    <row r="40" spans="1:2" x14ac:dyDescent="0.25">
      <c r="A40" s="11">
        <v>46262</v>
      </c>
      <c r="B40" t="s">
        <v>211</v>
      </c>
    </row>
    <row r="41" spans="1:2" x14ac:dyDescent="0.25">
      <c r="A41" s="11">
        <v>46266</v>
      </c>
      <c r="B41" t="s">
        <v>216</v>
      </c>
    </row>
    <row r="42" spans="1:2" x14ac:dyDescent="0.25">
      <c r="A42" s="11">
        <v>46269</v>
      </c>
      <c r="B42" t="s">
        <v>154</v>
      </c>
    </row>
    <row r="43" spans="1:2" x14ac:dyDescent="0.25">
      <c r="B43" t="s">
        <v>213</v>
      </c>
    </row>
    <row r="44" spans="1:2" x14ac:dyDescent="0.25">
      <c r="A44" s="11">
        <v>46273</v>
      </c>
      <c r="B44" t="s">
        <v>217</v>
      </c>
    </row>
    <row r="45" spans="1:2" x14ac:dyDescent="0.25">
      <c r="A45" s="11">
        <v>46276</v>
      </c>
      <c r="B45" t="s">
        <v>358</v>
      </c>
    </row>
    <row r="46" spans="1:2" x14ac:dyDescent="0.25">
      <c r="A46" s="11">
        <v>46279</v>
      </c>
      <c r="B46" t="s">
        <v>209</v>
      </c>
    </row>
    <row r="47" spans="1:2" x14ac:dyDescent="0.25">
      <c r="A47" s="11">
        <v>46281</v>
      </c>
      <c r="B47" t="s">
        <v>357</v>
      </c>
    </row>
    <row r="48" spans="1:2" x14ac:dyDescent="0.25">
      <c r="A48" s="11">
        <v>46283</v>
      </c>
      <c r="B48" t="s">
        <v>361</v>
      </c>
    </row>
    <row r="49" spans="1:13" x14ac:dyDescent="0.25">
      <c r="A49" s="11">
        <v>46290</v>
      </c>
      <c r="B49" t="s">
        <v>363</v>
      </c>
    </row>
    <row r="50" spans="1:13" x14ac:dyDescent="0.25">
      <c r="A50" s="11">
        <v>46294</v>
      </c>
      <c r="B50" t="s">
        <v>365</v>
      </c>
    </row>
    <row r="54" spans="1:13" x14ac:dyDescent="0.25">
      <c r="A54" s="4" t="s">
        <v>177</v>
      </c>
      <c r="M54" s="4" t="s">
        <v>221</v>
      </c>
    </row>
    <row r="55" spans="1:13" x14ac:dyDescent="0.25">
      <c r="A55" s="4" t="s">
        <v>150</v>
      </c>
      <c r="M55" t="s">
        <v>218</v>
      </c>
    </row>
    <row r="56" spans="1:13" x14ac:dyDescent="0.25">
      <c r="A56" s="11">
        <v>46225</v>
      </c>
      <c r="B56" t="s">
        <v>178</v>
      </c>
      <c r="M56" t="s">
        <v>219</v>
      </c>
    </row>
    <row r="57" spans="1:13" x14ac:dyDescent="0.25">
      <c r="B57" s="31" t="s">
        <v>179</v>
      </c>
    </row>
    <row r="58" spans="1:13" x14ac:dyDescent="0.25">
      <c r="A58" s="11">
        <v>46233</v>
      </c>
      <c r="B58" t="s">
        <v>192</v>
      </c>
    </row>
    <row r="59" spans="1:13" x14ac:dyDescent="0.25">
      <c r="A59" s="11">
        <v>46246</v>
      </c>
      <c r="B59" t="s">
        <v>152</v>
      </c>
    </row>
    <row r="60" spans="1:13" x14ac:dyDescent="0.25">
      <c r="A60" s="11">
        <v>46248</v>
      </c>
      <c r="B60" t="s">
        <v>154</v>
      </c>
    </row>
    <row r="61" spans="1:13" x14ac:dyDescent="0.25">
      <c r="A61" s="11">
        <v>46251</v>
      </c>
      <c r="B61" t="s">
        <v>203</v>
      </c>
    </row>
    <row r="62" spans="1:13" x14ac:dyDescent="0.25">
      <c r="B62" t="s">
        <v>204</v>
      </c>
    </row>
    <row r="63" spans="1:13" x14ac:dyDescent="0.25">
      <c r="A63" s="11">
        <v>46258</v>
      </c>
      <c r="B63" t="s">
        <v>209</v>
      </c>
    </row>
    <row r="64" spans="1:13" x14ac:dyDescent="0.25">
      <c r="B64" t="s">
        <v>210</v>
      </c>
    </row>
    <row r="65" spans="1:2" x14ac:dyDescent="0.25">
      <c r="B65" t="s">
        <v>212</v>
      </c>
    </row>
    <row r="66" spans="1:2" x14ac:dyDescent="0.25">
      <c r="A66" s="11">
        <v>46269</v>
      </c>
      <c r="B66" t="s">
        <v>154</v>
      </c>
    </row>
    <row r="67" spans="1:2" x14ac:dyDescent="0.25">
      <c r="B67" t="s">
        <v>214</v>
      </c>
    </row>
    <row r="68" spans="1:2" x14ac:dyDescent="0.25">
      <c r="A68" s="11">
        <v>46274</v>
      </c>
      <c r="B68" t="s">
        <v>163</v>
      </c>
    </row>
    <row r="69" spans="1:2" x14ac:dyDescent="0.25">
      <c r="A69" s="11">
        <v>46276</v>
      </c>
      <c r="B69" t="s">
        <v>359</v>
      </c>
    </row>
    <row r="70" spans="1:2" x14ac:dyDescent="0.25">
      <c r="A70" s="11">
        <v>46279</v>
      </c>
      <c r="B70" t="s">
        <v>209</v>
      </c>
    </row>
    <row r="71" spans="1:2" x14ac:dyDescent="0.25">
      <c r="A71" s="11">
        <v>46283</v>
      </c>
      <c r="B71" t="s">
        <v>362</v>
      </c>
    </row>
    <row r="72" spans="1:2" x14ac:dyDescent="0.25">
      <c r="A72" s="11">
        <v>46289</v>
      </c>
      <c r="B72" t="s">
        <v>189</v>
      </c>
    </row>
    <row r="73" spans="1:2" x14ac:dyDescent="0.25">
      <c r="B73" t="s">
        <v>154</v>
      </c>
    </row>
    <row r="74" spans="1:2" x14ac:dyDescent="0.25">
      <c r="A74" s="11">
        <v>46290</v>
      </c>
      <c r="B74" t="s">
        <v>364</v>
      </c>
    </row>
    <row r="75" spans="1:2" x14ac:dyDescent="0.25">
      <c r="A75" s="11">
        <v>46294</v>
      </c>
      <c r="B75" t="s">
        <v>365</v>
      </c>
    </row>
    <row r="76" spans="1:2" x14ac:dyDescent="0.25">
      <c r="A76" s="11">
        <v>46296</v>
      </c>
      <c r="B76" t="s">
        <v>366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E5BE1-9048-4EC4-A844-E483F77D3938}">
  <dimension ref="A1:H88"/>
  <sheetViews>
    <sheetView workbookViewId="0">
      <selection activeCell="F10" sqref="F10"/>
    </sheetView>
  </sheetViews>
  <sheetFormatPr defaultRowHeight="15.75" x14ac:dyDescent="0.25"/>
  <cols>
    <col min="2" max="2" width="17.375" bestFit="1" customWidth="1"/>
    <col min="3" max="3" width="14.875" bestFit="1" customWidth="1"/>
    <col min="4" max="4" width="19.375" bestFit="1" customWidth="1"/>
    <col min="5" max="5" width="43.25" bestFit="1" customWidth="1"/>
    <col min="6" max="6" width="43.25" customWidth="1"/>
    <col min="7" max="7" width="10.75" bestFit="1" customWidth="1"/>
    <col min="8" max="8" width="61" bestFit="1" customWidth="1"/>
  </cols>
  <sheetData>
    <row r="1" spans="1:8" x14ac:dyDescent="0.25">
      <c r="A1" s="4" t="s">
        <v>164</v>
      </c>
      <c r="B1" s="4" t="s">
        <v>168</v>
      </c>
      <c r="C1" s="4" t="s">
        <v>262</v>
      </c>
      <c r="D1" s="4" t="s">
        <v>93</v>
      </c>
      <c r="E1" s="4" t="s">
        <v>231</v>
      </c>
      <c r="F1" s="4"/>
      <c r="G1" s="4" t="s">
        <v>280</v>
      </c>
      <c r="H1" s="4" t="s">
        <v>355</v>
      </c>
    </row>
    <row r="2" spans="1:8" x14ac:dyDescent="0.25">
      <c r="A2">
        <v>1</v>
      </c>
      <c r="B2" t="s">
        <v>0</v>
      </c>
      <c r="C2" t="s">
        <v>263</v>
      </c>
      <c r="D2" t="s">
        <v>100</v>
      </c>
      <c r="E2" t="s">
        <v>232</v>
      </c>
      <c r="G2">
        <v>2</v>
      </c>
      <c r="H2" t="s">
        <v>281</v>
      </c>
    </row>
    <row r="3" spans="1:8" x14ac:dyDescent="0.25">
      <c r="A3">
        <v>1</v>
      </c>
      <c r="B3" t="s">
        <v>1</v>
      </c>
      <c r="C3" t="s">
        <v>264</v>
      </c>
      <c r="D3" t="s">
        <v>181</v>
      </c>
      <c r="E3" t="s">
        <v>233</v>
      </c>
      <c r="G3">
        <v>2</v>
      </c>
      <c r="H3" t="s">
        <v>282</v>
      </c>
    </row>
    <row r="4" spans="1:8" x14ac:dyDescent="0.25">
      <c r="A4">
        <v>1</v>
      </c>
      <c r="B4" t="s">
        <v>2</v>
      </c>
      <c r="C4" t="s">
        <v>263</v>
      </c>
      <c r="D4" t="s">
        <v>267</v>
      </c>
      <c r="E4" t="s">
        <v>234</v>
      </c>
      <c r="G4">
        <v>3</v>
      </c>
      <c r="H4" t="s">
        <v>283</v>
      </c>
    </row>
    <row r="5" spans="1:8" x14ac:dyDescent="0.25">
      <c r="A5">
        <v>1</v>
      </c>
      <c r="B5" t="s">
        <v>3</v>
      </c>
      <c r="C5" t="s">
        <v>264</v>
      </c>
      <c r="D5" t="s">
        <v>268</v>
      </c>
      <c r="E5" t="s">
        <v>233</v>
      </c>
      <c r="G5">
        <v>3</v>
      </c>
      <c r="H5" t="s">
        <v>284</v>
      </c>
    </row>
    <row r="6" spans="1:8" x14ac:dyDescent="0.25">
      <c r="A6">
        <v>1</v>
      </c>
      <c r="B6" t="s">
        <v>4</v>
      </c>
      <c r="C6" t="s">
        <v>265</v>
      </c>
      <c r="D6" t="s">
        <v>269</v>
      </c>
      <c r="E6" t="s">
        <v>235</v>
      </c>
      <c r="G6">
        <v>2</v>
      </c>
      <c r="H6" t="s">
        <v>356</v>
      </c>
    </row>
    <row r="7" spans="1:8" x14ac:dyDescent="0.25">
      <c r="A7">
        <v>1</v>
      </c>
      <c r="B7" t="s">
        <v>5</v>
      </c>
      <c r="C7" t="s">
        <v>264</v>
      </c>
      <c r="D7" t="s">
        <v>270</v>
      </c>
      <c r="E7" t="s">
        <v>236</v>
      </c>
      <c r="G7">
        <v>2</v>
      </c>
      <c r="H7" t="s">
        <v>285</v>
      </c>
    </row>
    <row r="8" spans="1:8" x14ac:dyDescent="0.25">
      <c r="A8">
        <v>1</v>
      </c>
      <c r="B8" t="s">
        <v>6</v>
      </c>
      <c r="C8" t="s">
        <v>264</v>
      </c>
      <c r="D8" t="s">
        <v>271</v>
      </c>
      <c r="E8" t="s">
        <v>236</v>
      </c>
      <c r="G8">
        <v>2</v>
      </c>
      <c r="H8" t="s">
        <v>285</v>
      </c>
    </row>
    <row r="9" spans="1:8" x14ac:dyDescent="0.25">
      <c r="A9">
        <v>1</v>
      </c>
      <c r="B9" t="s">
        <v>7</v>
      </c>
      <c r="C9" t="s">
        <v>264</v>
      </c>
      <c r="D9" t="s">
        <v>270</v>
      </c>
      <c r="E9" t="s">
        <v>233</v>
      </c>
      <c r="G9">
        <v>3</v>
      </c>
      <c r="H9" t="s">
        <v>286</v>
      </c>
    </row>
    <row r="10" spans="1:8" x14ac:dyDescent="0.25">
      <c r="A10">
        <v>1</v>
      </c>
      <c r="B10" t="s">
        <v>8</v>
      </c>
      <c r="C10" t="s">
        <v>264</v>
      </c>
      <c r="D10" t="s">
        <v>271</v>
      </c>
      <c r="E10" t="s">
        <v>237</v>
      </c>
      <c r="G10">
        <v>2</v>
      </c>
      <c r="H10" t="s">
        <v>285</v>
      </c>
    </row>
    <row r="11" spans="1:8" x14ac:dyDescent="0.25">
      <c r="A11">
        <v>1</v>
      </c>
      <c r="B11" t="s">
        <v>9</v>
      </c>
      <c r="C11" t="s">
        <v>264</v>
      </c>
      <c r="D11" t="s">
        <v>270</v>
      </c>
      <c r="E11" t="s">
        <v>233</v>
      </c>
      <c r="G11">
        <v>3</v>
      </c>
      <c r="H11" t="s">
        <v>287</v>
      </c>
    </row>
    <row r="12" spans="1:8" x14ac:dyDescent="0.25">
      <c r="A12">
        <v>1</v>
      </c>
      <c r="B12" t="s">
        <v>10</v>
      </c>
      <c r="C12" t="s">
        <v>264</v>
      </c>
      <c r="D12" t="s">
        <v>270</v>
      </c>
      <c r="E12" t="s">
        <v>236</v>
      </c>
      <c r="G12">
        <v>3</v>
      </c>
      <c r="H12" t="s">
        <v>283</v>
      </c>
    </row>
    <row r="13" spans="1:8" x14ac:dyDescent="0.25">
      <c r="A13">
        <v>1</v>
      </c>
      <c r="B13" t="s">
        <v>11</v>
      </c>
      <c r="C13" t="s">
        <v>264</v>
      </c>
      <c r="D13" t="s">
        <v>181</v>
      </c>
      <c r="E13" t="s">
        <v>238</v>
      </c>
      <c r="G13">
        <v>2</v>
      </c>
      <c r="H13" t="s">
        <v>288</v>
      </c>
    </row>
    <row r="14" spans="1:8" x14ac:dyDescent="0.25">
      <c r="A14">
        <v>1</v>
      </c>
      <c r="B14" t="s">
        <v>12</v>
      </c>
      <c r="C14" t="s">
        <v>264</v>
      </c>
      <c r="D14" t="s">
        <v>270</v>
      </c>
      <c r="E14" t="s">
        <v>239</v>
      </c>
      <c r="G14">
        <v>3</v>
      </c>
      <c r="H14" t="s">
        <v>283</v>
      </c>
    </row>
    <row r="15" spans="1:8" x14ac:dyDescent="0.25">
      <c r="A15">
        <v>1</v>
      </c>
      <c r="B15" t="s">
        <v>13</v>
      </c>
      <c r="C15" t="s">
        <v>264</v>
      </c>
      <c r="D15" t="s">
        <v>270</v>
      </c>
      <c r="E15" t="s">
        <v>236</v>
      </c>
      <c r="G15">
        <v>2</v>
      </c>
      <c r="H15" t="s">
        <v>289</v>
      </c>
    </row>
    <row r="16" spans="1:8" x14ac:dyDescent="0.25">
      <c r="A16">
        <v>1</v>
      </c>
      <c r="B16" t="s">
        <v>14</v>
      </c>
      <c r="C16" t="s">
        <v>266</v>
      </c>
      <c r="D16" t="s">
        <v>94</v>
      </c>
      <c r="E16" t="s">
        <v>240</v>
      </c>
      <c r="G16">
        <v>2</v>
      </c>
      <c r="H16" t="s">
        <v>290</v>
      </c>
    </row>
    <row r="17" spans="1:8" x14ac:dyDescent="0.25">
      <c r="A17">
        <v>1</v>
      </c>
      <c r="B17" t="s">
        <v>15</v>
      </c>
      <c r="C17" t="s">
        <v>264</v>
      </c>
      <c r="D17" t="s">
        <v>271</v>
      </c>
      <c r="E17" t="s">
        <v>236</v>
      </c>
      <c r="G17">
        <v>2</v>
      </c>
      <c r="H17" t="s">
        <v>285</v>
      </c>
    </row>
    <row r="18" spans="1:8" x14ac:dyDescent="0.25">
      <c r="A18">
        <v>1</v>
      </c>
      <c r="B18" t="s">
        <v>16</v>
      </c>
      <c r="C18" t="s">
        <v>264</v>
      </c>
      <c r="D18" t="s">
        <v>270</v>
      </c>
      <c r="E18" t="s">
        <v>236</v>
      </c>
      <c r="G18">
        <v>4</v>
      </c>
      <c r="H18" t="s">
        <v>291</v>
      </c>
    </row>
    <row r="20" spans="1:8" x14ac:dyDescent="0.25">
      <c r="A20">
        <v>2</v>
      </c>
      <c r="B20" t="s">
        <v>18</v>
      </c>
      <c r="C20" t="s">
        <v>264</v>
      </c>
      <c r="D20" t="s">
        <v>94</v>
      </c>
      <c r="E20" t="s">
        <v>241</v>
      </c>
      <c r="G20">
        <v>2</v>
      </c>
      <c r="H20" t="s">
        <v>292</v>
      </c>
    </row>
    <row r="21" spans="1:8" x14ac:dyDescent="0.25">
      <c r="A21">
        <v>2</v>
      </c>
      <c r="B21" t="s">
        <v>19</v>
      </c>
      <c r="C21" t="s">
        <v>266</v>
      </c>
      <c r="D21" t="s">
        <v>100</v>
      </c>
      <c r="E21" t="s">
        <v>242</v>
      </c>
      <c r="G21">
        <v>2</v>
      </c>
      <c r="H21" t="s">
        <v>293</v>
      </c>
    </row>
    <row r="22" spans="1:8" x14ac:dyDescent="0.25">
      <c r="A22">
        <v>2</v>
      </c>
      <c r="B22" t="s">
        <v>20</v>
      </c>
      <c r="C22" t="s">
        <v>266</v>
      </c>
      <c r="D22" t="s">
        <v>94</v>
      </c>
      <c r="E22" t="s">
        <v>243</v>
      </c>
      <c r="G22">
        <v>2</v>
      </c>
      <c r="H22" t="s">
        <v>294</v>
      </c>
    </row>
    <row r="23" spans="1:8" x14ac:dyDescent="0.25">
      <c r="A23">
        <v>2</v>
      </c>
      <c r="B23" t="s">
        <v>21</v>
      </c>
      <c r="C23" t="s">
        <v>266</v>
      </c>
      <c r="D23" t="s">
        <v>99</v>
      </c>
      <c r="E23" t="s">
        <v>244</v>
      </c>
      <c r="G23">
        <v>4</v>
      </c>
      <c r="H23" t="s">
        <v>295</v>
      </c>
    </row>
    <row r="24" spans="1:8" x14ac:dyDescent="0.25">
      <c r="A24">
        <v>2</v>
      </c>
      <c r="B24" t="s">
        <v>28</v>
      </c>
      <c r="C24" t="s">
        <v>266</v>
      </c>
      <c r="D24" t="s">
        <v>94</v>
      </c>
      <c r="E24" t="s">
        <v>241</v>
      </c>
      <c r="G24">
        <v>2</v>
      </c>
      <c r="H24" t="s">
        <v>296</v>
      </c>
    </row>
    <row r="25" spans="1:8" x14ac:dyDescent="0.25">
      <c r="A25">
        <v>2</v>
      </c>
      <c r="B25" t="s">
        <v>29</v>
      </c>
      <c r="C25" t="s">
        <v>266</v>
      </c>
      <c r="D25" t="s">
        <v>274</v>
      </c>
      <c r="E25" t="s">
        <v>245</v>
      </c>
      <c r="G25">
        <v>2</v>
      </c>
      <c r="H25" t="s">
        <v>297</v>
      </c>
    </row>
    <row r="26" spans="1:8" x14ac:dyDescent="0.25">
      <c r="A26">
        <v>2</v>
      </c>
      <c r="B26" t="s">
        <v>30</v>
      </c>
      <c r="C26" t="s">
        <v>266</v>
      </c>
      <c r="D26" t="s">
        <v>273</v>
      </c>
      <c r="E26" t="s">
        <v>242</v>
      </c>
      <c r="G26">
        <v>1</v>
      </c>
      <c r="H26" t="s">
        <v>298</v>
      </c>
    </row>
    <row r="27" spans="1:8" x14ac:dyDescent="0.25">
      <c r="A27">
        <v>2</v>
      </c>
      <c r="B27" t="s">
        <v>31</v>
      </c>
      <c r="C27" t="s">
        <v>266</v>
      </c>
      <c r="D27" t="s">
        <v>94</v>
      </c>
      <c r="E27" t="s">
        <v>245</v>
      </c>
      <c r="G27">
        <v>2</v>
      </c>
      <c r="H27" t="s">
        <v>299</v>
      </c>
    </row>
    <row r="28" spans="1:8" x14ac:dyDescent="0.25">
      <c r="A28">
        <v>2</v>
      </c>
      <c r="B28" t="s">
        <v>32</v>
      </c>
      <c r="C28" t="s">
        <v>266</v>
      </c>
      <c r="D28" t="s">
        <v>274</v>
      </c>
      <c r="E28" t="s">
        <v>236</v>
      </c>
      <c r="G28">
        <v>3</v>
      </c>
      <c r="H28" t="s">
        <v>300</v>
      </c>
    </row>
    <row r="29" spans="1:8" x14ac:dyDescent="0.25">
      <c r="A29">
        <v>2</v>
      </c>
      <c r="B29" t="s">
        <v>33</v>
      </c>
      <c r="C29" t="s">
        <v>266</v>
      </c>
      <c r="D29" t="s">
        <v>271</v>
      </c>
      <c r="E29" t="s">
        <v>242</v>
      </c>
      <c r="G29">
        <v>2</v>
      </c>
      <c r="H29" t="s">
        <v>301</v>
      </c>
    </row>
    <row r="30" spans="1:8" x14ac:dyDescent="0.25">
      <c r="A30">
        <v>2</v>
      </c>
      <c r="B30" t="s">
        <v>34</v>
      </c>
      <c r="C30" t="s">
        <v>266</v>
      </c>
      <c r="D30" t="s">
        <v>183</v>
      </c>
      <c r="E30" t="s">
        <v>245</v>
      </c>
      <c r="G30">
        <v>3</v>
      </c>
      <c r="H30" t="s">
        <v>302</v>
      </c>
    </row>
    <row r="31" spans="1:8" x14ac:dyDescent="0.25">
      <c r="A31">
        <v>2</v>
      </c>
      <c r="B31" t="s">
        <v>35</v>
      </c>
      <c r="C31" t="s">
        <v>266</v>
      </c>
      <c r="D31" t="s">
        <v>270</v>
      </c>
      <c r="E31" t="s">
        <v>242</v>
      </c>
      <c r="G31">
        <v>2</v>
      </c>
      <c r="H31" t="s">
        <v>303</v>
      </c>
    </row>
    <row r="32" spans="1:8" x14ac:dyDescent="0.25">
      <c r="A32">
        <v>2</v>
      </c>
      <c r="B32" t="s">
        <v>36</v>
      </c>
      <c r="C32" t="s">
        <v>266</v>
      </c>
      <c r="D32" t="s">
        <v>94</v>
      </c>
      <c r="E32" t="s">
        <v>246</v>
      </c>
      <c r="G32">
        <v>3</v>
      </c>
      <c r="H32" t="s">
        <v>304</v>
      </c>
    </row>
    <row r="33" spans="1:8" x14ac:dyDescent="0.25">
      <c r="A33">
        <v>2</v>
      </c>
      <c r="B33" t="s">
        <v>37</v>
      </c>
      <c r="C33" t="s">
        <v>272</v>
      </c>
      <c r="D33" t="s">
        <v>94</v>
      </c>
      <c r="E33" t="s">
        <v>247</v>
      </c>
      <c r="G33">
        <v>3</v>
      </c>
      <c r="H33" t="s">
        <v>305</v>
      </c>
    </row>
    <row r="34" spans="1:8" x14ac:dyDescent="0.25">
      <c r="A34">
        <v>2</v>
      </c>
      <c r="B34" t="s">
        <v>38</v>
      </c>
      <c r="C34" t="s">
        <v>187</v>
      </c>
      <c r="D34" t="s">
        <v>94</v>
      </c>
      <c r="E34" t="s">
        <v>248</v>
      </c>
      <c r="G34">
        <v>2</v>
      </c>
      <c r="H34" t="s">
        <v>306</v>
      </c>
    </row>
    <row r="35" spans="1:8" x14ac:dyDescent="0.25">
      <c r="A35">
        <v>2</v>
      </c>
      <c r="B35" t="s">
        <v>39</v>
      </c>
      <c r="C35" t="s">
        <v>272</v>
      </c>
      <c r="D35" t="s">
        <v>181</v>
      </c>
      <c r="E35" t="s">
        <v>249</v>
      </c>
      <c r="G35">
        <v>3</v>
      </c>
      <c r="H35" t="s">
        <v>307</v>
      </c>
    </row>
    <row r="37" spans="1:8" x14ac:dyDescent="0.25">
      <c r="A37">
        <v>3</v>
      </c>
      <c r="B37" t="s">
        <v>50</v>
      </c>
      <c r="C37" t="s">
        <v>266</v>
      </c>
      <c r="D37" t="s">
        <v>99</v>
      </c>
      <c r="E37" t="s">
        <v>250</v>
      </c>
      <c r="G37">
        <v>4</v>
      </c>
      <c r="H37" t="s">
        <v>308</v>
      </c>
    </row>
    <row r="38" spans="1:8" x14ac:dyDescent="0.25">
      <c r="A38">
        <v>3</v>
      </c>
      <c r="B38" t="s">
        <v>41</v>
      </c>
      <c r="C38" t="s">
        <v>187</v>
      </c>
      <c r="D38" t="s">
        <v>94</v>
      </c>
      <c r="E38" t="s">
        <v>250</v>
      </c>
      <c r="G38">
        <v>2</v>
      </c>
      <c r="H38" t="s">
        <v>309</v>
      </c>
    </row>
    <row r="39" spans="1:8" x14ac:dyDescent="0.25">
      <c r="A39">
        <v>3</v>
      </c>
      <c r="B39" t="s">
        <v>42</v>
      </c>
      <c r="C39" t="s">
        <v>272</v>
      </c>
      <c r="D39" t="s">
        <v>99</v>
      </c>
      <c r="E39" t="s">
        <v>242</v>
      </c>
      <c r="G39">
        <v>2</v>
      </c>
      <c r="H39" t="s">
        <v>310</v>
      </c>
    </row>
    <row r="40" spans="1:8" x14ac:dyDescent="0.25">
      <c r="A40">
        <v>3</v>
      </c>
      <c r="B40" t="s">
        <v>43</v>
      </c>
      <c r="C40" t="s">
        <v>187</v>
      </c>
      <c r="D40" t="s">
        <v>94</v>
      </c>
      <c r="E40" t="s">
        <v>248</v>
      </c>
      <c r="G40">
        <v>2</v>
      </c>
      <c r="H40" t="s">
        <v>311</v>
      </c>
    </row>
    <row r="41" spans="1:8" x14ac:dyDescent="0.25">
      <c r="A41">
        <v>3</v>
      </c>
      <c r="B41" t="s">
        <v>45</v>
      </c>
      <c r="C41" t="s">
        <v>272</v>
      </c>
      <c r="D41" t="s">
        <v>94</v>
      </c>
      <c r="E41" t="s">
        <v>252</v>
      </c>
      <c r="G41">
        <v>2</v>
      </c>
      <c r="H41" t="s">
        <v>312</v>
      </c>
    </row>
    <row r="42" spans="1:8" x14ac:dyDescent="0.25">
      <c r="A42">
        <v>3</v>
      </c>
      <c r="B42" t="s">
        <v>46</v>
      </c>
      <c r="C42" t="s">
        <v>266</v>
      </c>
      <c r="D42" t="s">
        <v>181</v>
      </c>
      <c r="E42" t="s">
        <v>252</v>
      </c>
      <c r="G42">
        <v>3</v>
      </c>
      <c r="H42" t="s">
        <v>313</v>
      </c>
    </row>
    <row r="43" spans="1:8" x14ac:dyDescent="0.25">
      <c r="A43">
        <v>3</v>
      </c>
      <c r="B43" t="s">
        <v>47</v>
      </c>
      <c r="C43" t="s">
        <v>272</v>
      </c>
      <c r="D43" t="s">
        <v>181</v>
      </c>
      <c r="E43" t="s">
        <v>245</v>
      </c>
      <c r="G43">
        <v>2</v>
      </c>
      <c r="H43" t="s">
        <v>314</v>
      </c>
    </row>
    <row r="44" spans="1:8" x14ac:dyDescent="0.25">
      <c r="A44">
        <v>3</v>
      </c>
      <c r="B44" t="s">
        <v>17</v>
      </c>
      <c r="C44" t="s">
        <v>275</v>
      </c>
      <c r="D44" t="s">
        <v>94</v>
      </c>
      <c r="E44" t="s">
        <v>251</v>
      </c>
      <c r="G44">
        <v>1</v>
      </c>
      <c r="H44" t="s">
        <v>315</v>
      </c>
    </row>
    <row r="45" spans="1:8" x14ac:dyDescent="0.25">
      <c r="A45">
        <v>3</v>
      </c>
      <c r="B45" t="s">
        <v>112</v>
      </c>
      <c r="C45" t="s">
        <v>266</v>
      </c>
      <c r="D45" t="s">
        <v>94</v>
      </c>
      <c r="E45" t="s">
        <v>253</v>
      </c>
      <c r="G45">
        <v>1</v>
      </c>
      <c r="H45" t="s">
        <v>316</v>
      </c>
    </row>
    <row r="46" spans="1:8" x14ac:dyDescent="0.25">
      <c r="A46">
        <v>3</v>
      </c>
      <c r="B46" t="s">
        <v>22</v>
      </c>
      <c r="C46" t="s">
        <v>266</v>
      </c>
      <c r="D46" t="s">
        <v>100</v>
      </c>
      <c r="E46" t="s">
        <v>254</v>
      </c>
      <c r="G46">
        <v>2</v>
      </c>
      <c r="H46" t="s">
        <v>317</v>
      </c>
    </row>
    <row r="47" spans="1:8" x14ac:dyDescent="0.25">
      <c r="A47">
        <v>3</v>
      </c>
      <c r="B47" t="s">
        <v>23</v>
      </c>
      <c r="C47" t="s">
        <v>264</v>
      </c>
      <c r="D47" t="s">
        <v>271</v>
      </c>
      <c r="E47" t="s">
        <v>236</v>
      </c>
      <c r="G47">
        <v>2</v>
      </c>
      <c r="H47" t="s">
        <v>318</v>
      </c>
    </row>
    <row r="48" spans="1:8" x14ac:dyDescent="0.25">
      <c r="A48">
        <v>3</v>
      </c>
      <c r="B48" t="s">
        <v>24</v>
      </c>
      <c r="C48" t="s">
        <v>266</v>
      </c>
      <c r="D48" t="s">
        <v>100</v>
      </c>
      <c r="E48" t="s">
        <v>236</v>
      </c>
      <c r="G48">
        <v>3</v>
      </c>
      <c r="H48" t="s">
        <v>319</v>
      </c>
    </row>
    <row r="49" spans="1:8" x14ac:dyDescent="0.25">
      <c r="A49">
        <v>3</v>
      </c>
      <c r="B49" t="s">
        <v>25</v>
      </c>
      <c r="C49" t="s">
        <v>266</v>
      </c>
      <c r="D49" t="s">
        <v>99</v>
      </c>
      <c r="E49" t="s">
        <v>236</v>
      </c>
      <c r="G49">
        <v>3</v>
      </c>
      <c r="H49" t="s">
        <v>320</v>
      </c>
    </row>
    <row r="50" spans="1:8" x14ac:dyDescent="0.25">
      <c r="A50">
        <v>3</v>
      </c>
      <c r="B50" t="s">
        <v>26</v>
      </c>
      <c r="C50" t="s">
        <v>266</v>
      </c>
      <c r="D50" t="s">
        <v>100</v>
      </c>
      <c r="E50" t="s">
        <v>255</v>
      </c>
      <c r="G50">
        <v>2</v>
      </c>
      <c r="H50" t="s">
        <v>321</v>
      </c>
    </row>
    <row r="51" spans="1:8" x14ac:dyDescent="0.25">
      <c r="A51">
        <v>3</v>
      </c>
      <c r="B51" t="s">
        <v>27</v>
      </c>
      <c r="C51" t="s">
        <v>266</v>
      </c>
      <c r="D51" t="s">
        <v>277</v>
      </c>
      <c r="E51" t="s">
        <v>256</v>
      </c>
      <c r="G51">
        <v>1</v>
      </c>
      <c r="H51" t="s">
        <v>316</v>
      </c>
    </row>
    <row r="52" spans="1:8" x14ac:dyDescent="0.25">
      <c r="A52">
        <v>3</v>
      </c>
      <c r="B52" t="s">
        <v>40</v>
      </c>
      <c r="C52" t="s">
        <v>276</v>
      </c>
      <c r="D52" t="s">
        <v>278</v>
      </c>
      <c r="E52" t="s">
        <v>255</v>
      </c>
      <c r="G52">
        <v>2</v>
      </c>
      <c r="H52" t="s">
        <v>322</v>
      </c>
    </row>
    <row r="53" spans="1:8" x14ac:dyDescent="0.25">
      <c r="A53">
        <v>3</v>
      </c>
      <c r="B53" t="s">
        <v>44</v>
      </c>
      <c r="C53" t="s">
        <v>276</v>
      </c>
      <c r="D53" t="s">
        <v>94</v>
      </c>
      <c r="E53" t="s">
        <v>257</v>
      </c>
      <c r="G53">
        <v>3</v>
      </c>
      <c r="H53" t="s">
        <v>323</v>
      </c>
    </row>
    <row r="55" spans="1:8" x14ac:dyDescent="0.25">
      <c r="A55">
        <v>4</v>
      </c>
      <c r="B55" t="s">
        <v>69</v>
      </c>
      <c r="C55" t="s">
        <v>266</v>
      </c>
      <c r="D55" t="s">
        <v>279</v>
      </c>
      <c r="E55" t="s">
        <v>242</v>
      </c>
      <c r="G55">
        <v>3</v>
      </c>
      <c r="H55" t="s">
        <v>324</v>
      </c>
    </row>
    <row r="56" spans="1:8" x14ac:dyDescent="0.25">
      <c r="A56">
        <v>4</v>
      </c>
      <c r="B56" t="s">
        <v>70</v>
      </c>
      <c r="C56" t="s">
        <v>266</v>
      </c>
      <c r="D56" t="s">
        <v>279</v>
      </c>
      <c r="E56" t="s">
        <v>242</v>
      </c>
      <c r="G56">
        <v>2</v>
      </c>
      <c r="H56" t="s">
        <v>325</v>
      </c>
    </row>
    <row r="57" spans="1:8" x14ac:dyDescent="0.25">
      <c r="A57">
        <v>4</v>
      </c>
      <c r="B57" t="s">
        <v>66</v>
      </c>
      <c r="C57" t="s">
        <v>266</v>
      </c>
      <c r="D57" t="s">
        <v>100</v>
      </c>
      <c r="E57" t="s">
        <v>242</v>
      </c>
      <c r="G57">
        <v>3</v>
      </c>
      <c r="H57" t="s">
        <v>326</v>
      </c>
    </row>
    <row r="58" spans="1:8" x14ac:dyDescent="0.25">
      <c r="A58">
        <v>4</v>
      </c>
      <c r="B58" t="s">
        <v>53</v>
      </c>
      <c r="C58" t="s">
        <v>266</v>
      </c>
      <c r="D58" t="s">
        <v>94</v>
      </c>
      <c r="E58" t="s">
        <v>257</v>
      </c>
      <c r="G58">
        <v>2</v>
      </c>
      <c r="H58" t="s">
        <v>327</v>
      </c>
    </row>
    <row r="59" spans="1:8" x14ac:dyDescent="0.25">
      <c r="A59">
        <v>4</v>
      </c>
      <c r="B59" t="s">
        <v>54</v>
      </c>
      <c r="C59" t="s">
        <v>266</v>
      </c>
      <c r="D59" t="s">
        <v>100</v>
      </c>
      <c r="E59" t="s">
        <v>242</v>
      </c>
      <c r="G59">
        <v>3</v>
      </c>
      <c r="H59" t="s">
        <v>328</v>
      </c>
    </row>
    <row r="60" spans="1:8" x14ac:dyDescent="0.25">
      <c r="A60">
        <v>4</v>
      </c>
      <c r="B60" t="s">
        <v>55</v>
      </c>
      <c r="C60" t="s">
        <v>276</v>
      </c>
      <c r="D60" t="s">
        <v>94</v>
      </c>
      <c r="E60" t="s">
        <v>242</v>
      </c>
      <c r="G60">
        <v>2</v>
      </c>
      <c r="H60" t="s">
        <v>329</v>
      </c>
    </row>
    <row r="61" spans="1:8" x14ac:dyDescent="0.25">
      <c r="A61">
        <v>4</v>
      </c>
      <c r="B61" t="s">
        <v>56</v>
      </c>
      <c r="C61" t="s">
        <v>266</v>
      </c>
      <c r="D61" t="s">
        <v>100</v>
      </c>
      <c r="E61" t="s">
        <v>245</v>
      </c>
      <c r="G61">
        <v>4</v>
      </c>
      <c r="H61" t="s">
        <v>330</v>
      </c>
    </row>
    <row r="62" spans="1:8" x14ac:dyDescent="0.25">
      <c r="A62">
        <v>4</v>
      </c>
      <c r="B62" t="s">
        <v>57</v>
      </c>
      <c r="C62" t="s">
        <v>266</v>
      </c>
      <c r="D62" t="s">
        <v>94</v>
      </c>
      <c r="E62" t="s">
        <v>251</v>
      </c>
      <c r="G62">
        <v>1</v>
      </c>
      <c r="H62" t="s">
        <v>331</v>
      </c>
    </row>
    <row r="63" spans="1:8" x14ac:dyDescent="0.25">
      <c r="A63">
        <v>4</v>
      </c>
      <c r="B63" t="s">
        <v>58</v>
      </c>
      <c r="C63" t="s">
        <v>266</v>
      </c>
      <c r="D63" t="s">
        <v>100</v>
      </c>
      <c r="E63" t="s">
        <v>242</v>
      </c>
      <c r="G63">
        <v>2</v>
      </c>
      <c r="H63" t="s">
        <v>332</v>
      </c>
    </row>
    <row r="64" spans="1:8" x14ac:dyDescent="0.25">
      <c r="A64">
        <v>4</v>
      </c>
      <c r="B64" t="s">
        <v>59</v>
      </c>
      <c r="C64" t="s">
        <v>266</v>
      </c>
      <c r="D64" t="s">
        <v>94</v>
      </c>
      <c r="E64" t="s">
        <v>258</v>
      </c>
      <c r="G64">
        <v>1</v>
      </c>
      <c r="H64" t="s">
        <v>333</v>
      </c>
    </row>
    <row r="65" spans="1:8" x14ac:dyDescent="0.25">
      <c r="A65">
        <v>4</v>
      </c>
      <c r="B65" t="s">
        <v>60</v>
      </c>
      <c r="C65" t="s">
        <v>266</v>
      </c>
      <c r="D65" t="s">
        <v>100</v>
      </c>
      <c r="E65" t="s">
        <v>255</v>
      </c>
      <c r="G65">
        <v>3</v>
      </c>
      <c r="H65" t="s">
        <v>334</v>
      </c>
    </row>
    <row r="66" spans="1:8" x14ac:dyDescent="0.25">
      <c r="A66">
        <v>4</v>
      </c>
      <c r="B66" t="s">
        <v>61</v>
      </c>
      <c r="C66" t="s">
        <v>266</v>
      </c>
      <c r="D66" t="s">
        <v>94</v>
      </c>
      <c r="E66" t="s">
        <v>251</v>
      </c>
      <c r="G66">
        <v>4</v>
      </c>
      <c r="H66" t="s">
        <v>335</v>
      </c>
    </row>
    <row r="67" spans="1:8" x14ac:dyDescent="0.25">
      <c r="A67">
        <v>4</v>
      </c>
      <c r="B67" t="s">
        <v>62</v>
      </c>
      <c r="C67" t="s">
        <v>266</v>
      </c>
      <c r="D67" t="s">
        <v>100</v>
      </c>
      <c r="E67" t="s">
        <v>242</v>
      </c>
      <c r="G67">
        <v>3</v>
      </c>
      <c r="H67" t="s">
        <v>336</v>
      </c>
    </row>
    <row r="68" spans="1:8" x14ac:dyDescent="0.25">
      <c r="A68">
        <v>4</v>
      </c>
      <c r="B68" t="s">
        <v>63</v>
      </c>
      <c r="C68" t="s">
        <v>266</v>
      </c>
      <c r="D68" t="s">
        <v>100</v>
      </c>
      <c r="E68" t="s">
        <v>242</v>
      </c>
      <c r="G68">
        <v>2</v>
      </c>
      <c r="H68" t="s">
        <v>337</v>
      </c>
    </row>
    <row r="69" spans="1:8" x14ac:dyDescent="0.25">
      <c r="A69">
        <v>4</v>
      </c>
      <c r="B69" t="s">
        <v>64</v>
      </c>
      <c r="C69" t="s">
        <v>266</v>
      </c>
      <c r="D69" t="s">
        <v>100</v>
      </c>
      <c r="E69" t="s">
        <v>245</v>
      </c>
      <c r="G69">
        <v>2</v>
      </c>
      <c r="H69" t="s">
        <v>338</v>
      </c>
    </row>
    <row r="70" spans="1:8" x14ac:dyDescent="0.25">
      <c r="A70">
        <v>4</v>
      </c>
      <c r="B70" t="s">
        <v>65</v>
      </c>
      <c r="C70" t="s">
        <v>266</v>
      </c>
      <c r="D70" t="s">
        <v>100</v>
      </c>
      <c r="E70" t="s">
        <v>250</v>
      </c>
      <c r="G70">
        <v>2</v>
      </c>
      <c r="H70" t="s">
        <v>339</v>
      </c>
    </row>
    <row r="72" spans="1:8" x14ac:dyDescent="0.25">
      <c r="A72">
        <v>5</v>
      </c>
      <c r="B72" t="s">
        <v>67</v>
      </c>
      <c r="C72" t="s">
        <v>266</v>
      </c>
      <c r="D72" t="s">
        <v>181</v>
      </c>
      <c r="E72" t="s">
        <v>255</v>
      </c>
      <c r="G72">
        <v>3</v>
      </c>
      <c r="H72" t="s">
        <v>340</v>
      </c>
    </row>
    <row r="73" spans="1:8" x14ac:dyDescent="0.25">
      <c r="A73">
        <v>5</v>
      </c>
      <c r="B73" t="s">
        <v>68</v>
      </c>
      <c r="C73" t="s">
        <v>266</v>
      </c>
      <c r="D73" t="s">
        <v>181</v>
      </c>
      <c r="E73" t="s">
        <v>236</v>
      </c>
      <c r="G73">
        <v>1</v>
      </c>
      <c r="H73" t="s">
        <v>341</v>
      </c>
    </row>
    <row r="74" spans="1:8" x14ac:dyDescent="0.25">
      <c r="A74">
        <v>5</v>
      </c>
      <c r="B74" t="s">
        <v>71</v>
      </c>
      <c r="C74" t="s">
        <v>266</v>
      </c>
      <c r="D74" t="s">
        <v>99</v>
      </c>
      <c r="E74" t="s">
        <v>255</v>
      </c>
      <c r="G74">
        <v>2</v>
      </c>
      <c r="H74" t="s">
        <v>342</v>
      </c>
    </row>
    <row r="75" spans="1:8" x14ac:dyDescent="0.25">
      <c r="A75">
        <v>5</v>
      </c>
      <c r="B75" t="s">
        <v>72</v>
      </c>
      <c r="C75" t="s">
        <v>266</v>
      </c>
      <c r="D75" t="s">
        <v>99</v>
      </c>
      <c r="E75" t="s">
        <v>248</v>
      </c>
      <c r="G75">
        <v>1</v>
      </c>
      <c r="H75" t="s">
        <v>343</v>
      </c>
    </row>
    <row r="76" spans="1:8" x14ac:dyDescent="0.25">
      <c r="A76">
        <v>5</v>
      </c>
      <c r="B76" t="s">
        <v>73</v>
      </c>
      <c r="C76" t="s">
        <v>266</v>
      </c>
      <c r="D76" t="s">
        <v>188</v>
      </c>
      <c r="E76" t="s">
        <v>242</v>
      </c>
      <c r="G76">
        <v>1</v>
      </c>
      <c r="H76" t="s">
        <v>344</v>
      </c>
    </row>
    <row r="77" spans="1:8" x14ac:dyDescent="0.25">
      <c r="A77">
        <v>5</v>
      </c>
      <c r="B77" t="s">
        <v>74</v>
      </c>
      <c r="C77" t="s">
        <v>266</v>
      </c>
      <c r="D77" t="s">
        <v>94</v>
      </c>
      <c r="E77" t="s">
        <v>248</v>
      </c>
      <c r="G77">
        <v>1</v>
      </c>
      <c r="H77" t="s">
        <v>345</v>
      </c>
    </row>
    <row r="78" spans="1:8" x14ac:dyDescent="0.25">
      <c r="A78">
        <v>5</v>
      </c>
      <c r="B78" t="s">
        <v>86</v>
      </c>
      <c r="C78" t="s">
        <v>266</v>
      </c>
      <c r="D78" t="s">
        <v>94</v>
      </c>
      <c r="E78" t="s">
        <v>236</v>
      </c>
      <c r="G78">
        <v>2</v>
      </c>
      <c r="H78" t="s">
        <v>346</v>
      </c>
    </row>
    <row r="79" spans="1:8" x14ac:dyDescent="0.25">
      <c r="A79">
        <v>5</v>
      </c>
      <c r="B79" t="s">
        <v>85</v>
      </c>
      <c r="C79" t="s">
        <v>266</v>
      </c>
      <c r="D79" t="s">
        <v>100</v>
      </c>
      <c r="E79" t="s">
        <v>251</v>
      </c>
      <c r="G79">
        <v>2</v>
      </c>
      <c r="H79" t="s">
        <v>347</v>
      </c>
    </row>
    <row r="80" spans="1:8" x14ac:dyDescent="0.25">
      <c r="A80">
        <v>5</v>
      </c>
      <c r="B80" t="s">
        <v>84</v>
      </c>
      <c r="C80" t="s">
        <v>266</v>
      </c>
      <c r="D80" t="s">
        <v>100</v>
      </c>
      <c r="E80" t="s">
        <v>236</v>
      </c>
      <c r="G80">
        <v>2</v>
      </c>
      <c r="H80" t="s">
        <v>348</v>
      </c>
    </row>
    <row r="81" spans="1:8" x14ac:dyDescent="0.25">
      <c r="A81">
        <v>5</v>
      </c>
      <c r="B81" t="s">
        <v>83</v>
      </c>
      <c r="C81" t="s">
        <v>187</v>
      </c>
      <c r="D81" t="s">
        <v>94</v>
      </c>
      <c r="E81" t="s">
        <v>236</v>
      </c>
      <c r="G81">
        <v>2</v>
      </c>
      <c r="H81" t="s">
        <v>349</v>
      </c>
    </row>
    <row r="82" spans="1:8" x14ac:dyDescent="0.25">
      <c r="A82">
        <v>5</v>
      </c>
      <c r="B82" t="s">
        <v>75</v>
      </c>
      <c r="C82" t="s">
        <v>266</v>
      </c>
      <c r="D82" t="s">
        <v>94</v>
      </c>
      <c r="E82" t="s">
        <v>259</v>
      </c>
      <c r="G82">
        <v>2</v>
      </c>
      <c r="H82" t="s">
        <v>350</v>
      </c>
    </row>
    <row r="83" spans="1:8" x14ac:dyDescent="0.25">
      <c r="A83">
        <v>5</v>
      </c>
      <c r="B83" t="s">
        <v>76</v>
      </c>
      <c r="C83" t="s">
        <v>266</v>
      </c>
      <c r="D83" t="s">
        <v>100</v>
      </c>
      <c r="E83" t="s">
        <v>261</v>
      </c>
      <c r="G83">
        <v>3</v>
      </c>
      <c r="H83" t="s">
        <v>351</v>
      </c>
    </row>
    <row r="84" spans="1:8" x14ac:dyDescent="0.25">
      <c r="A84">
        <v>5</v>
      </c>
      <c r="B84" t="s">
        <v>77</v>
      </c>
      <c r="C84" t="s">
        <v>266</v>
      </c>
      <c r="D84" t="s">
        <v>100</v>
      </c>
      <c r="E84" t="s">
        <v>253</v>
      </c>
      <c r="G84">
        <v>3</v>
      </c>
      <c r="H84" t="s">
        <v>351</v>
      </c>
    </row>
    <row r="85" spans="1:8" x14ac:dyDescent="0.25">
      <c r="A85">
        <v>5</v>
      </c>
      <c r="B85" t="s">
        <v>78</v>
      </c>
      <c r="C85" t="s">
        <v>266</v>
      </c>
      <c r="D85" t="s">
        <v>100</v>
      </c>
      <c r="E85" t="s">
        <v>236</v>
      </c>
      <c r="G85">
        <v>3</v>
      </c>
      <c r="H85" t="s">
        <v>352</v>
      </c>
    </row>
    <row r="86" spans="1:8" x14ac:dyDescent="0.25">
      <c r="A86">
        <v>5</v>
      </c>
      <c r="B86" t="s">
        <v>79</v>
      </c>
      <c r="C86" t="s">
        <v>266</v>
      </c>
      <c r="D86" t="s">
        <v>99</v>
      </c>
      <c r="E86" t="s">
        <v>260</v>
      </c>
      <c r="G86">
        <v>2</v>
      </c>
      <c r="H86" t="s">
        <v>353</v>
      </c>
    </row>
    <row r="87" spans="1:8" x14ac:dyDescent="0.25">
      <c r="A87">
        <v>5</v>
      </c>
      <c r="B87" t="s">
        <v>80</v>
      </c>
      <c r="C87" t="s">
        <v>266</v>
      </c>
      <c r="D87" t="s">
        <v>100</v>
      </c>
      <c r="E87" t="s">
        <v>261</v>
      </c>
      <c r="G87">
        <v>2</v>
      </c>
      <c r="H87" t="s">
        <v>354</v>
      </c>
    </row>
    <row r="88" spans="1:8" x14ac:dyDescent="0.25">
      <c r="A88">
        <v>5</v>
      </c>
      <c r="B88" t="s">
        <v>81</v>
      </c>
      <c r="C88" t="s">
        <v>266</v>
      </c>
      <c r="D88" t="s">
        <v>100</v>
      </c>
      <c r="E88" t="s">
        <v>261</v>
      </c>
      <c r="G88">
        <v>2</v>
      </c>
      <c r="H88" t="s">
        <v>354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DD0F5-3FA2-4E01-8C23-4FCA32EF789C}">
  <dimension ref="A1:BA90"/>
  <sheetViews>
    <sheetView workbookViewId="0">
      <pane xSplit="2" ySplit="3" topLeftCell="AD4" activePane="bottomRight" state="frozen"/>
      <selection pane="topRight" activeCell="C1" sqref="C1"/>
      <selection pane="bottomLeft" activeCell="A4" sqref="A4"/>
      <selection pane="bottomRight" activeCell="BA4" sqref="BA4"/>
    </sheetView>
  </sheetViews>
  <sheetFormatPr defaultRowHeight="15.75" x14ac:dyDescent="0.25"/>
  <cols>
    <col min="2" max="2" width="17.375" bestFit="1" customWidth="1"/>
    <col min="3" max="52" width="6.875" customWidth="1"/>
  </cols>
  <sheetData>
    <row r="1" spans="1:53" ht="31.5" customHeight="1" x14ac:dyDescent="0.25">
      <c r="C1" s="67" t="s">
        <v>222</v>
      </c>
      <c r="D1" s="67"/>
      <c r="E1" s="67"/>
      <c r="F1" s="67"/>
      <c r="G1" s="35"/>
      <c r="H1" s="67" t="s">
        <v>223</v>
      </c>
      <c r="I1" s="67"/>
      <c r="J1" s="67"/>
      <c r="K1" s="67"/>
      <c r="L1" s="35"/>
      <c r="M1" s="67" t="s">
        <v>224</v>
      </c>
      <c r="N1" s="67"/>
      <c r="O1" s="67"/>
      <c r="P1" s="67"/>
      <c r="Q1" s="35"/>
      <c r="R1" s="67" t="s">
        <v>225</v>
      </c>
      <c r="S1" s="67"/>
      <c r="T1" s="67"/>
      <c r="U1" s="67"/>
      <c r="V1" s="35"/>
      <c r="W1" s="67" t="s">
        <v>226</v>
      </c>
      <c r="X1" s="67"/>
      <c r="Y1" s="67"/>
      <c r="Z1" s="67"/>
      <c r="AA1" s="35"/>
      <c r="AB1" s="67" t="s">
        <v>227</v>
      </c>
      <c r="AC1" s="67"/>
      <c r="AD1" s="67"/>
      <c r="AE1" s="67"/>
      <c r="AF1" s="35"/>
      <c r="AG1" s="67" t="s">
        <v>228</v>
      </c>
      <c r="AH1" s="67"/>
      <c r="AI1" s="67"/>
      <c r="AJ1" s="67"/>
      <c r="AK1" s="35"/>
      <c r="AL1" s="67" t="s">
        <v>229</v>
      </c>
      <c r="AM1" s="67"/>
      <c r="AN1" s="67"/>
      <c r="AO1" s="67"/>
      <c r="AP1" s="35"/>
      <c r="AQ1" s="67" t="s">
        <v>369</v>
      </c>
      <c r="AR1" s="67"/>
      <c r="AS1" s="67"/>
      <c r="AT1" s="67"/>
      <c r="AV1" s="67" t="s">
        <v>370</v>
      </c>
      <c r="AW1" s="67"/>
      <c r="AX1" s="67"/>
      <c r="AY1" s="67"/>
      <c r="AZ1" s="36"/>
    </row>
    <row r="2" spans="1:53" x14ac:dyDescent="0.25">
      <c r="C2" s="48" t="s">
        <v>371</v>
      </c>
      <c r="D2" s="48"/>
      <c r="E2" s="48" t="s">
        <v>372</v>
      </c>
      <c r="F2" s="48"/>
      <c r="G2" s="35"/>
      <c r="H2" s="48" t="s">
        <v>371</v>
      </c>
      <c r="I2" s="48"/>
      <c r="J2" s="48" t="s">
        <v>372</v>
      </c>
      <c r="K2" s="48"/>
      <c r="L2" s="35"/>
      <c r="M2" s="48" t="s">
        <v>371</v>
      </c>
      <c r="N2" s="48"/>
      <c r="O2" s="48" t="s">
        <v>372</v>
      </c>
      <c r="P2" s="48"/>
      <c r="Q2" s="35"/>
      <c r="R2" s="48" t="s">
        <v>371</v>
      </c>
      <c r="S2" s="48"/>
      <c r="T2" s="48" t="s">
        <v>372</v>
      </c>
      <c r="U2" s="48"/>
      <c r="V2" s="35"/>
      <c r="W2" s="48" t="s">
        <v>371</v>
      </c>
      <c r="X2" s="48"/>
      <c r="Y2" s="48" t="s">
        <v>372</v>
      </c>
      <c r="Z2" s="48"/>
      <c r="AA2" s="35"/>
      <c r="AB2" s="48" t="s">
        <v>371</v>
      </c>
      <c r="AC2" s="48"/>
      <c r="AD2" s="48" t="s">
        <v>372</v>
      </c>
      <c r="AE2" s="48"/>
      <c r="AF2" s="35"/>
      <c r="AG2" s="48" t="s">
        <v>371</v>
      </c>
      <c r="AH2" s="48"/>
      <c r="AI2" s="48" t="s">
        <v>372</v>
      </c>
      <c r="AJ2" s="48"/>
      <c r="AK2" s="35"/>
      <c r="AL2" s="48" t="s">
        <v>371</v>
      </c>
      <c r="AM2" s="48"/>
      <c r="AN2" s="48" t="s">
        <v>372</v>
      </c>
      <c r="AO2" s="48"/>
      <c r="AP2" s="35"/>
      <c r="AQ2" s="48" t="s">
        <v>371</v>
      </c>
      <c r="AR2" s="48"/>
      <c r="AS2" s="48" t="s">
        <v>372</v>
      </c>
      <c r="AT2" s="48"/>
      <c r="AV2" s="48" t="s">
        <v>371</v>
      </c>
      <c r="AW2" s="48"/>
      <c r="AX2" s="48" t="s">
        <v>372</v>
      </c>
      <c r="AY2" s="48"/>
      <c r="AZ2" s="34"/>
    </row>
    <row r="3" spans="1:53" x14ac:dyDescent="0.25">
      <c r="A3" s="4" t="s">
        <v>164</v>
      </c>
      <c r="B3" s="4" t="s">
        <v>168</v>
      </c>
      <c r="C3" s="34" t="s">
        <v>169</v>
      </c>
      <c r="D3" s="34" t="s">
        <v>170</v>
      </c>
      <c r="E3" s="34" t="s">
        <v>169</v>
      </c>
      <c r="F3" s="34" t="s">
        <v>170</v>
      </c>
      <c r="G3" s="35"/>
      <c r="H3" s="34" t="s">
        <v>169</v>
      </c>
      <c r="I3" s="34" t="s">
        <v>170</v>
      </c>
      <c r="J3" s="34" t="s">
        <v>169</v>
      </c>
      <c r="K3" s="34" t="s">
        <v>170</v>
      </c>
      <c r="L3" s="35"/>
      <c r="M3" s="34" t="s">
        <v>169</v>
      </c>
      <c r="N3" s="34" t="s">
        <v>170</v>
      </c>
      <c r="O3" s="34" t="s">
        <v>169</v>
      </c>
      <c r="P3" s="34" t="s">
        <v>170</v>
      </c>
      <c r="Q3" s="35"/>
      <c r="R3" s="34" t="s">
        <v>169</v>
      </c>
      <c r="S3" s="34" t="s">
        <v>170</v>
      </c>
      <c r="T3" s="34" t="s">
        <v>169</v>
      </c>
      <c r="U3" s="34" t="s">
        <v>170</v>
      </c>
      <c r="V3" s="35"/>
      <c r="W3" s="34" t="s">
        <v>169</v>
      </c>
      <c r="X3" s="34" t="s">
        <v>170</v>
      </c>
      <c r="Y3" s="34" t="s">
        <v>169</v>
      </c>
      <c r="Z3" s="34" t="s">
        <v>170</v>
      </c>
      <c r="AA3" s="35"/>
      <c r="AB3" s="34" t="s">
        <v>169</v>
      </c>
      <c r="AC3" s="34" t="s">
        <v>170</v>
      </c>
      <c r="AD3" s="34" t="s">
        <v>169</v>
      </c>
      <c r="AE3" s="34" t="s">
        <v>170</v>
      </c>
      <c r="AF3" s="35"/>
      <c r="AG3" s="34" t="s">
        <v>169</v>
      </c>
      <c r="AH3" s="34" t="s">
        <v>170</v>
      </c>
      <c r="AI3" s="34" t="s">
        <v>169</v>
      </c>
      <c r="AJ3" s="34" t="s">
        <v>170</v>
      </c>
      <c r="AK3" s="35"/>
      <c r="AL3" s="34" t="s">
        <v>169</v>
      </c>
      <c r="AM3" s="34" t="s">
        <v>170</v>
      </c>
      <c r="AN3" s="34" t="s">
        <v>169</v>
      </c>
      <c r="AO3" s="34" t="s">
        <v>170</v>
      </c>
      <c r="AP3" s="35"/>
      <c r="AQ3" s="34" t="s">
        <v>169</v>
      </c>
      <c r="AR3" s="34" t="s">
        <v>170</v>
      </c>
      <c r="AS3" s="34" t="s">
        <v>169</v>
      </c>
      <c r="AT3" s="34" t="s">
        <v>170</v>
      </c>
      <c r="AU3" s="35"/>
      <c r="AV3" s="34" t="s">
        <v>169</v>
      </c>
      <c r="AW3" s="34" t="s">
        <v>170</v>
      </c>
      <c r="AX3" s="34" t="s">
        <v>169</v>
      </c>
      <c r="AY3" s="34" t="s">
        <v>170</v>
      </c>
      <c r="AZ3" s="34"/>
    </row>
    <row r="4" spans="1:53" x14ac:dyDescent="0.25">
      <c r="A4">
        <v>1</v>
      </c>
      <c r="B4" t="s">
        <v>0</v>
      </c>
      <c r="C4" s="37">
        <v>22</v>
      </c>
      <c r="D4" s="37">
        <v>0.76</v>
      </c>
      <c r="E4" s="37">
        <v>34</v>
      </c>
      <c r="F4" s="37">
        <v>1.1399999999999999</v>
      </c>
      <c r="G4" s="35"/>
      <c r="H4" s="37">
        <v>94</v>
      </c>
      <c r="I4" s="37">
        <v>2.34</v>
      </c>
      <c r="J4" s="37">
        <v>26</v>
      </c>
      <c r="K4" s="37">
        <v>0.62</v>
      </c>
      <c r="L4" s="35"/>
      <c r="M4" s="37">
        <v>76</v>
      </c>
      <c r="N4" s="37">
        <v>1.86</v>
      </c>
      <c r="O4" s="37">
        <v>16</v>
      </c>
      <c r="P4" s="37">
        <v>0.35</v>
      </c>
      <c r="Q4" s="35"/>
      <c r="R4" s="37" t="s">
        <v>230</v>
      </c>
      <c r="S4" s="37">
        <v>3.46</v>
      </c>
      <c r="T4" s="37" t="s">
        <v>230</v>
      </c>
      <c r="U4" s="37">
        <v>0.68</v>
      </c>
      <c r="V4" s="35"/>
      <c r="W4" s="37" t="s">
        <v>230</v>
      </c>
      <c r="X4" s="37">
        <v>1.88</v>
      </c>
      <c r="Y4" s="37" t="s">
        <v>230</v>
      </c>
      <c r="Z4" s="37">
        <v>0.57999999999999996</v>
      </c>
      <c r="AA4" s="35"/>
      <c r="AB4" s="37" t="s">
        <v>230</v>
      </c>
      <c r="AC4" s="37">
        <v>5.51</v>
      </c>
      <c r="AD4" s="37" t="s">
        <v>230</v>
      </c>
      <c r="AE4" s="37">
        <v>0.45</v>
      </c>
      <c r="AF4" s="35"/>
      <c r="AG4" s="37" t="s">
        <v>230</v>
      </c>
      <c r="AH4" s="37">
        <v>3.63</v>
      </c>
      <c r="AI4" s="37" t="s">
        <v>230</v>
      </c>
      <c r="AJ4" s="37">
        <v>0.49</v>
      </c>
      <c r="AK4" s="35"/>
      <c r="AL4" s="37" t="s">
        <v>230</v>
      </c>
      <c r="AM4" s="37">
        <v>2.46</v>
      </c>
      <c r="AN4" s="37" t="s">
        <v>230</v>
      </c>
      <c r="AO4" s="37">
        <v>0.12</v>
      </c>
      <c r="AP4" s="35"/>
      <c r="AQ4" s="37" t="s">
        <v>230</v>
      </c>
      <c r="AR4" s="37">
        <v>3.65</v>
      </c>
      <c r="AS4" s="37" t="s">
        <v>230</v>
      </c>
      <c r="AT4" s="37">
        <v>1.68</v>
      </c>
      <c r="AU4" s="35"/>
      <c r="AV4" s="37" t="s">
        <v>230</v>
      </c>
      <c r="AW4" s="37">
        <v>1.72</v>
      </c>
      <c r="AX4" s="37" t="s">
        <v>230</v>
      </c>
      <c r="AY4" s="37">
        <v>2.63</v>
      </c>
      <c r="AZ4" s="35"/>
      <c r="BA4" t="s">
        <v>373</v>
      </c>
    </row>
    <row r="5" spans="1:53" x14ac:dyDescent="0.25">
      <c r="A5">
        <v>1</v>
      </c>
      <c r="B5" t="s">
        <v>1</v>
      </c>
      <c r="C5" s="37">
        <v>22</v>
      </c>
      <c r="D5" s="37">
        <v>1.33</v>
      </c>
      <c r="E5" s="37">
        <v>1</v>
      </c>
      <c r="F5" s="37">
        <v>0.06</v>
      </c>
      <c r="G5" s="35"/>
      <c r="H5" s="37">
        <v>32</v>
      </c>
      <c r="I5" s="37">
        <v>4.87</v>
      </c>
      <c r="J5" s="37">
        <v>40</v>
      </c>
      <c r="K5" s="37">
        <v>2.68</v>
      </c>
      <c r="L5" s="35"/>
      <c r="M5" s="37">
        <v>92</v>
      </c>
      <c r="N5" s="37">
        <v>3.66</v>
      </c>
      <c r="O5" s="37">
        <v>16</v>
      </c>
      <c r="P5" s="37">
        <v>0.62</v>
      </c>
      <c r="Q5" s="35"/>
      <c r="R5" s="37" t="s">
        <v>230</v>
      </c>
      <c r="S5" s="37">
        <v>3.61</v>
      </c>
      <c r="T5" s="37" t="s">
        <v>230</v>
      </c>
      <c r="U5" s="37">
        <v>0.92</v>
      </c>
      <c r="V5" s="35"/>
      <c r="W5" s="37" t="s">
        <v>230</v>
      </c>
      <c r="X5" s="37">
        <v>1.03</v>
      </c>
      <c r="Y5" s="37" t="s">
        <v>230</v>
      </c>
      <c r="Z5" s="37">
        <v>0.94</v>
      </c>
      <c r="AA5" s="35"/>
      <c r="AB5" s="37" t="s">
        <v>230</v>
      </c>
      <c r="AC5" s="37">
        <v>3.33</v>
      </c>
      <c r="AD5" s="37" t="s">
        <v>230</v>
      </c>
      <c r="AE5" s="37">
        <v>1.1299999999999999</v>
      </c>
      <c r="AF5" s="35"/>
      <c r="AG5" s="37" t="s">
        <v>230</v>
      </c>
      <c r="AH5" s="37">
        <v>2.15</v>
      </c>
      <c r="AI5" s="37" t="s">
        <v>230</v>
      </c>
      <c r="AJ5" s="37">
        <v>0.94</v>
      </c>
      <c r="AK5" s="35"/>
      <c r="AL5" s="37" t="s">
        <v>230</v>
      </c>
      <c r="AM5" s="37">
        <v>0.95</v>
      </c>
      <c r="AN5" s="37" t="s">
        <v>230</v>
      </c>
      <c r="AO5" s="37">
        <v>0.24</v>
      </c>
      <c r="AP5" s="35"/>
      <c r="AQ5" s="37" t="s">
        <v>230</v>
      </c>
      <c r="AR5" s="37">
        <v>0.79</v>
      </c>
      <c r="AS5" s="37" t="s">
        <v>230</v>
      </c>
      <c r="AT5" s="37">
        <v>1.63</v>
      </c>
      <c r="AU5" s="35"/>
      <c r="AV5" s="37" t="s">
        <v>230</v>
      </c>
      <c r="AW5" s="37">
        <v>1.1399999999999999</v>
      </c>
      <c r="AX5" s="37" t="s">
        <v>230</v>
      </c>
      <c r="AY5" s="37">
        <v>1.49</v>
      </c>
      <c r="AZ5" s="35"/>
    </row>
    <row r="6" spans="1:53" x14ac:dyDescent="0.25">
      <c r="A6">
        <v>1</v>
      </c>
      <c r="B6" t="s">
        <v>2</v>
      </c>
      <c r="C6" s="37">
        <v>31</v>
      </c>
      <c r="D6" s="37">
        <v>1.1599999999999999</v>
      </c>
      <c r="E6" s="37">
        <v>11</v>
      </c>
      <c r="F6" s="37">
        <v>0.39</v>
      </c>
      <c r="G6" s="35"/>
      <c r="H6" s="37">
        <v>62</v>
      </c>
      <c r="I6" s="37">
        <v>2.65</v>
      </c>
      <c r="J6" s="37">
        <v>24</v>
      </c>
      <c r="K6" s="37">
        <v>0.71</v>
      </c>
      <c r="L6" s="35"/>
      <c r="M6" s="37">
        <v>60</v>
      </c>
      <c r="N6" s="37">
        <v>1.65</v>
      </c>
      <c r="O6" s="37">
        <v>7</v>
      </c>
      <c r="P6" s="37">
        <v>0.17</v>
      </c>
      <c r="Q6" s="35"/>
      <c r="R6" s="37" t="s">
        <v>230</v>
      </c>
      <c r="S6" s="37">
        <v>6.23</v>
      </c>
      <c r="T6" s="37" t="s">
        <v>230</v>
      </c>
      <c r="U6" s="37">
        <v>0.62</v>
      </c>
      <c r="V6" s="35"/>
      <c r="W6" s="37" t="s">
        <v>230</v>
      </c>
      <c r="X6" s="37">
        <v>2.86</v>
      </c>
      <c r="Y6" s="37" t="s">
        <v>230</v>
      </c>
      <c r="Z6" s="37">
        <v>0.74</v>
      </c>
      <c r="AA6" s="35"/>
      <c r="AB6" s="37" t="s">
        <v>230</v>
      </c>
      <c r="AC6" s="37">
        <v>5.36</v>
      </c>
      <c r="AD6" s="37" t="s">
        <v>230</v>
      </c>
      <c r="AE6" s="37">
        <v>0.41</v>
      </c>
      <c r="AF6" s="35"/>
      <c r="AG6" s="37" t="s">
        <v>230</v>
      </c>
      <c r="AH6" s="37">
        <v>3.74</v>
      </c>
      <c r="AI6" s="37" t="s">
        <v>230</v>
      </c>
      <c r="AJ6" s="37">
        <v>0.59</v>
      </c>
      <c r="AK6" s="35"/>
      <c r="AL6" s="37" t="s">
        <v>230</v>
      </c>
      <c r="AM6" s="37">
        <v>2.08</v>
      </c>
      <c r="AN6" s="37" t="s">
        <v>230</v>
      </c>
      <c r="AO6" s="37">
        <v>0.31</v>
      </c>
      <c r="AP6" s="35"/>
      <c r="AQ6" s="37" t="s">
        <v>230</v>
      </c>
      <c r="AR6" s="37">
        <v>2.83</v>
      </c>
      <c r="AS6" s="37" t="s">
        <v>230</v>
      </c>
      <c r="AT6" s="37">
        <v>1.32</v>
      </c>
      <c r="AU6" s="35"/>
      <c r="AV6" s="37" t="s">
        <v>230</v>
      </c>
      <c r="AW6" s="37">
        <v>2.11</v>
      </c>
      <c r="AX6" s="37" t="s">
        <v>230</v>
      </c>
      <c r="AY6" s="37">
        <v>0.56000000000000005</v>
      </c>
      <c r="AZ6" s="35"/>
    </row>
    <row r="7" spans="1:53" x14ac:dyDescent="0.25">
      <c r="A7">
        <v>1</v>
      </c>
      <c r="B7" t="s">
        <v>3</v>
      </c>
      <c r="C7" s="37">
        <v>23</v>
      </c>
      <c r="D7" s="37">
        <v>1.34</v>
      </c>
      <c r="E7" s="37">
        <v>7</v>
      </c>
      <c r="F7" s="37">
        <v>0.4</v>
      </c>
      <c r="G7" s="35"/>
      <c r="H7" s="37">
        <v>45</v>
      </c>
      <c r="I7" s="37">
        <v>2.5</v>
      </c>
      <c r="J7" s="37">
        <v>33</v>
      </c>
      <c r="K7" s="37">
        <v>1.72</v>
      </c>
      <c r="L7" s="35"/>
      <c r="M7" s="37">
        <v>114</v>
      </c>
      <c r="N7" s="37">
        <v>4.3600000000000003</v>
      </c>
      <c r="O7" s="37">
        <v>9</v>
      </c>
      <c r="P7" s="37">
        <v>0.32</v>
      </c>
      <c r="Q7" s="35"/>
      <c r="R7" s="37" t="s">
        <v>230</v>
      </c>
      <c r="S7" s="37">
        <v>6.09</v>
      </c>
      <c r="T7" s="37" t="s">
        <v>230</v>
      </c>
      <c r="U7" s="37">
        <v>0.38</v>
      </c>
      <c r="V7" s="35"/>
      <c r="W7" s="37" t="s">
        <v>230</v>
      </c>
      <c r="X7" s="37">
        <v>1.1299999999999999</v>
      </c>
      <c r="Y7" s="37" t="s">
        <v>230</v>
      </c>
      <c r="Z7" s="37">
        <v>0.15</v>
      </c>
      <c r="AA7" s="35"/>
      <c r="AB7" s="37" t="s">
        <v>230</v>
      </c>
      <c r="AC7" s="37">
        <v>5.31</v>
      </c>
      <c r="AD7" s="37" t="s">
        <v>230</v>
      </c>
      <c r="AE7" s="37">
        <v>0.37</v>
      </c>
      <c r="AF7" s="35"/>
      <c r="AG7" s="37" t="s">
        <v>230</v>
      </c>
      <c r="AH7" s="37">
        <v>3.39</v>
      </c>
      <c r="AI7" s="37" t="s">
        <v>230</v>
      </c>
      <c r="AJ7" s="37">
        <v>0.49</v>
      </c>
      <c r="AK7" s="35"/>
      <c r="AL7" s="37"/>
      <c r="AM7" s="37">
        <v>0.5</v>
      </c>
      <c r="AN7" s="37" t="s">
        <v>230</v>
      </c>
      <c r="AO7" s="37">
        <v>0.11</v>
      </c>
      <c r="AP7" s="35"/>
      <c r="AQ7" s="37" t="s">
        <v>230</v>
      </c>
      <c r="AR7" s="37">
        <v>1.84</v>
      </c>
      <c r="AS7" s="37" t="s">
        <v>230</v>
      </c>
      <c r="AT7" s="37">
        <v>1.83</v>
      </c>
      <c r="AU7" s="35"/>
      <c r="AV7" s="37" t="s">
        <v>230</v>
      </c>
      <c r="AW7" s="37">
        <v>1.63</v>
      </c>
      <c r="AX7" s="37" t="s">
        <v>230</v>
      </c>
      <c r="AY7" s="37">
        <v>1.26</v>
      </c>
      <c r="AZ7" s="35"/>
    </row>
    <row r="8" spans="1:53" x14ac:dyDescent="0.25">
      <c r="A8">
        <v>1</v>
      </c>
      <c r="B8" t="s">
        <v>4</v>
      </c>
      <c r="C8" s="37">
        <v>7</v>
      </c>
      <c r="D8" s="37">
        <v>0.42</v>
      </c>
      <c r="E8" s="37">
        <v>6</v>
      </c>
      <c r="F8" s="37">
        <v>0.37</v>
      </c>
      <c r="G8" s="35"/>
      <c r="H8" s="37">
        <v>36</v>
      </c>
      <c r="I8" s="37">
        <v>1.73</v>
      </c>
      <c r="J8" s="37">
        <v>35</v>
      </c>
      <c r="K8" s="37">
        <v>1.64</v>
      </c>
      <c r="L8" s="35"/>
      <c r="M8" s="37">
        <v>55</v>
      </c>
      <c r="N8" s="37">
        <v>2.0499999999999998</v>
      </c>
      <c r="O8" s="37">
        <v>22</v>
      </c>
      <c r="P8" s="37">
        <v>0.67</v>
      </c>
      <c r="Q8" s="35"/>
      <c r="R8" s="37" t="s">
        <v>230</v>
      </c>
      <c r="S8" s="37">
        <v>4.21</v>
      </c>
      <c r="T8" s="37" t="s">
        <v>230</v>
      </c>
      <c r="U8" s="37">
        <v>0.89</v>
      </c>
      <c r="V8" s="35"/>
      <c r="W8" s="37" t="s">
        <v>230</v>
      </c>
      <c r="X8" s="37">
        <v>4.84</v>
      </c>
      <c r="Y8" s="37" t="s">
        <v>230</v>
      </c>
      <c r="Z8" s="37">
        <v>0.8</v>
      </c>
      <c r="AA8" s="35"/>
      <c r="AB8" s="37" t="s">
        <v>230</v>
      </c>
      <c r="AC8" s="37">
        <v>3.51</v>
      </c>
      <c r="AD8" s="37" t="s">
        <v>230</v>
      </c>
      <c r="AE8" s="37">
        <v>0.09</v>
      </c>
      <c r="AF8" s="35"/>
      <c r="AG8" s="37" t="s">
        <v>230</v>
      </c>
      <c r="AH8" s="37">
        <v>6.06</v>
      </c>
      <c r="AI8" s="37" t="s">
        <v>230</v>
      </c>
      <c r="AJ8" s="37">
        <v>0.28999999999999998</v>
      </c>
      <c r="AK8" s="35"/>
      <c r="AL8" s="37" t="s">
        <v>230</v>
      </c>
      <c r="AM8" s="37">
        <v>2.59</v>
      </c>
      <c r="AN8" s="37" t="s">
        <v>230</v>
      </c>
      <c r="AO8" s="37">
        <v>0.13</v>
      </c>
      <c r="AP8" s="35"/>
      <c r="AQ8" s="37" t="s">
        <v>230</v>
      </c>
      <c r="AR8" s="37">
        <v>3.71</v>
      </c>
      <c r="AS8" s="37" t="s">
        <v>230</v>
      </c>
      <c r="AT8" s="37">
        <v>0.16</v>
      </c>
      <c r="AU8" s="35"/>
      <c r="AV8" s="37" t="s">
        <v>230</v>
      </c>
      <c r="AW8" s="37">
        <v>6.64</v>
      </c>
      <c r="AX8" s="37" t="s">
        <v>230</v>
      </c>
      <c r="AY8" s="37">
        <v>0.25</v>
      </c>
      <c r="AZ8" s="35"/>
    </row>
    <row r="9" spans="1:53" x14ac:dyDescent="0.25">
      <c r="A9">
        <v>1</v>
      </c>
      <c r="B9" t="s">
        <v>5</v>
      </c>
      <c r="C9" s="37">
        <v>26</v>
      </c>
      <c r="D9" s="37">
        <v>1.36</v>
      </c>
      <c r="E9" s="37">
        <v>0</v>
      </c>
      <c r="F9" s="37">
        <v>0</v>
      </c>
      <c r="G9" s="35"/>
      <c r="H9" s="37">
        <v>52</v>
      </c>
      <c r="I9" s="37">
        <v>2.78</v>
      </c>
      <c r="J9" s="37">
        <v>29</v>
      </c>
      <c r="K9" s="37">
        <v>1.37</v>
      </c>
      <c r="L9" s="35"/>
      <c r="M9" s="37">
        <v>140</v>
      </c>
      <c r="N9" s="37">
        <v>5.88</v>
      </c>
      <c r="O9" s="37">
        <v>28</v>
      </c>
      <c r="P9" s="37">
        <v>1.03</v>
      </c>
      <c r="Q9" s="35"/>
      <c r="R9" s="37" t="s">
        <v>230</v>
      </c>
      <c r="S9" s="37">
        <v>4.13</v>
      </c>
      <c r="T9" s="37" t="s">
        <v>230</v>
      </c>
      <c r="U9" s="37">
        <v>0.57999999999999996</v>
      </c>
      <c r="V9" s="35"/>
      <c r="W9" s="37" t="s">
        <v>230</v>
      </c>
      <c r="X9" s="37">
        <v>1.55</v>
      </c>
      <c r="Y9" s="37" t="s">
        <v>230</v>
      </c>
      <c r="Z9" s="37">
        <v>0.53</v>
      </c>
      <c r="AA9" s="35"/>
      <c r="AB9" s="37" t="s">
        <v>230</v>
      </c>
      <c r="AC9" s="37">
        <v>2.54</v>
      </c>
      <c r="AD9" s="37" t="s">
        <v>230</v>
      </c>
      <c r="AE9" s="37">
        <v>0.3</v>
      </c>
      <c r="AF9" s="35"/>
      <c r="AG9" s="37" t="s">
        <v>230</v>
      </c>
      <c r="AH9" s="37">
        <v>3.92</v>
      </c>
      <c r="AI9" s="37" t="s">
        <v>230</v>
      </c>
      <c r="AJ9" s="37">
        <v>0.12</v>
      </c>
      <c r="AK9" s="35"/>
      <c r="AL9" s="37" t="s">
        <v>230</v>
      </c>
      <c r="AM9" s="37">
        <v>1.01</v>
      </c>
      <c r="AN9" s="37" t="s">
        <v>230</v>
      </c>
      <c r="AO9" s="37">
        <v>0.31</v>
      </c>
      <c r="AP9" s="35"/>
      <c r="AQ9" s="37" t="s">
        <v>230</v>
      </c>
      <c r="AR9" s="37">
        <v>3.69</v>
      </c>
      <c r="AS9" s="37" t="s">
        <v>230</v>
      </c>
      <c r="AT9" s="37">
        <v>1.89</v>
      </c>
      <c r="AU9" s="35"/>
      <c r="AV9" s="37" t="s">
        <v>230</v>
      </c>
      <c r="AW9" s="37">
        <v>2.78</v>
      </c>
      <c r="AX9" s="37" t="s">
        <v>230</v>
      </c>
      <c r="AY9" s="37">
        <v>0.83</v>
      </c>
      <c r="AZ9" s="35"/>
    </row>
    <row r="10" spans="1:53" x14ac:dyDescent="0.25">
      <c r="A10">
        <v>1</v>
      </c>
      <c r="B10" t="s">
        <v>6</v>
      </c>
      <c r="C10" s="37">
        <v>36</v>
      </c>
      <c r="D10" s="37">
        <v>2.35</v>
      </c>
      <c r="E10" s="37">
        <v>0</v>
      </c>
      <c r="F10" s="37">
        <v>0</v>
      </c>
      <c r="G10" s="35"/>
      <c r="H10" s="37">
        <v>81</v>
      </c>
      <c r="I10" s="37">
        <v>5.13</v>
      </c>
      <c r="J10" s="37">
        <v>28</v>
      </c>
      <c r="K10" s="37">
        <v>1.56</v>
      </c>
      <c r="L10" s="35"/>
      <c r="M10" s="37">
        <v>115</v>
      </c>
      <c r="N10" s="37">
        <v>5.08</v>
      </c>
      <c r="O10" s="37">
        <v>5</v>
      </c>
      <c r="P10" s="37">
        <v>0.19</v>
      </c>
      <c r="Q10" s="35"/>
      <c r="R10" s="37" t="s">
        <v>230</v>
      </c>
      <c r="S10" s="37">
        <v>3.9</v>
      </c>
      <c r="T10" s="37" t="s">
        <v>230</v>
      </c>
      <c r="U10" s="37">
        <v>0.08</v>
      </c>
      <c r="V10" s="35"/>
      <c r="W10" s="37" t="s">
        <v>230</v>
      </c>
      <c r="X10" s="37">
        <v>1.35</v>
      </c>
      <c r="Y10" s="37" t="s">
        <v>230</v>
      </c>
      <c r="Z10" s="37">
        <v>0.23</v>
      </c>
      <c r="AA10" s="35"/>
      <c r="AB10" s="37" t="s">
        <v>230</v>
      </c>
      <c r="AC10" s="37">
        <v>5.18</v>
      </c>
      <c r="AD10" s="37" t="s">
        <v>230</v>
      </c>
      <c r="AE10" s="37">
        <v>0.38</v>
      </c>
      <c r="AF10" s="35"/>
      <c r="AG10" s="37" t="s">
        <v>230</v>
      </c>
      <c r="AH10" s="37">
        <v>3.52</v>
      </c>
      <c r="AI10" s="37" t="s">
        <v>230</v>
      </c>
      <c r="AJ10" s="37">
        <v>0.81</v>
      </c>
      <c r="AK10" s="35"/>
      <c r="AL10" s="37" t="s">
        <v>230</v>
      </c>
      <c r="AM10" s="37">
        <v>1.54</v>
      </c>
      <c r="AN10" s="37" t="s">
        <v>230</v>
      </c>
      <c r="AO10" s="37">
        <v>0.56999999999999995</v>
      </c>
      <c r="AP10" s="35"/>
      <c r="AQ10" s="37" t="s">
        <v>230</v>
      </c>
      <c r="AR10" s="37">
        <v>2.04</v>
      </c>
      <c r="AS10" s="37" t="s">
        <v>230</v>
      </c>
      <c r="AT10" s="37">
        <v>2.42</v>
      </c>
      <c r="AU10" s="35"/>
      <c r="AV10" s="37" t="s">
        <v>230</v>
      </c>
      <c r="AW10" s="37">
        <v>3.19</v>
      </c>
      <c r="AX10" s="37" t="s">
        <v>230</v>
      </c>
      <c r="AY10" s="37">
        <v>0.9</v>
      </c>
      <c r="AZ10" s="35"/>
    </row>
    <row r="11" spans="1:53" x14ac:dyDescent="0.25">
      <c r="A11">
        <v>1</v>
      </c>
      <c r="B11" t="s">
        <v>7</v>
      </c>
      <c r="C11" s="37">
        <v>18</v>
      </c>
      <c r="D11" s="37">
        <v>1.25</v>
      </c>
      <c r="E11" s="37">
        <v>5</v>
      </c>
      <c r="F11" s="37">
        <v>0.32</v>
      </c>
      <c r="G11" s="35"/>
      <c r="H11" s="37">
        <v>56</v>
      </c>
      <c r="I11" s="37">
        <v>3.48</v>
      </c>
      <c r="J11" s="37">
        <v>29</v>
      </c>
      <c r="K11" s="37">
        <v>1.81</v>
      </c>
      <c r="L11" s="35"/>
      <c r="M11" s="37">
        <v>47</v>
      </c>
      <c r="N11" s="37">
        <v>2.1</v>
      </c>
      <c r="O11" s="37">
        <v>5</v>
      </c>
      <c r="P11" s="37">
        <v>0.23</v>
      </c>
      <c r="Q11" s="35"/>
      <c r="R11" s="37" t="s">
        <v>230</v>
      </c>
      <c r="S11" s="37">
        <v>4.4400000000000004</v>
      </c>
      <c r="T11" s="37" t="s">
        <v>230</v>
      </c>
      <c r="U11" s="37">
        <v>1.19</v>
      </c>
      <c r="V11" s="35"/>
      <c r="W11" s="37" t="s">
        <v>230</v>
      </c>
      <c r="X11" s="37">
        <v>0.75</v>
      </c>
      <c r="Y11" s="37" t="s">
        <v>230</v>
      </c>
      <c r="Z11" s="37">
        <v>1.1399999999999999</v>
      </c>
      <c r="AA11" s="35"/>
      <c r="AB11" s="37" t="s">
        <v>230</v>
      </c>
      <c r="AC11" s="37">
        <v>1.85</v>
      </c>
      <c r="AD11" s="37" t="s">
        <v>230</v>
      </c>
      <c r="AE11" s="37">
        <v>0.71</v>
      </c>
      <c r="AF11" s="35"/>
      <c r="AG11" s="37" t="s">
        <v>230</v>
      </c>
      <c r="AH11" s="37">
        <v>2.88</v>
      </c>
      <c r="AI11" s="37" t="s">
        <v>230</v>
      </c>
      <c r="AJ11" s="37">
        <v>2.33</v>
      </c>
      <c r="AK11" s="35"/>
      <c r="AL11" s="37" t="s">
        <v>230</v>
      </c>
      <c r="AM11" s="37">
        <v>0.77</v>
      </c>
      <c r="AN11" s="37" t="s">
        <v>230</v>
      </c>
      <c r="AO11" s="37">
        <v>0.28999999999999998</v>
      </c>
      <c r="AP11" s="35"/>
      <c r="AQ11" s="37" t="s">
        <v>230</v>
      </c>
      <c r="AR11" s="37">
        <v>2.08</v>
      </c>
      <c r="AS11" s="37" t="s">
        <v>230</v>
      </c>
      <c r="AT11" s="37">
        <v>2.4500000000000002</v>
      </c>
      <c r="AU11" s="35"/>
      <c r="AV11" s="37" t="s">
        <v>230</v>
      </c>
      <c r="AW11" s="37">
        <v>0.98</v>
      </c>
      <c r="AX11" s="37" t="s">
        <v>230</v>
      </c>
      <c r="AY11" s="37">
        <v>1.71</v>
      </c>
      <c r="AZ11" s="35"/>
    </row>
    <row r="12" spans="1:53" x14ac:dyDescent="0.25">
      <c r="A12">
        <v>1</v>
      </c>
      <c r="B12" t="s">
        <v>8</v>
      </c>
      <c r="C12" s="37">
        <v>24</v>
      </c>
      <c r="D12" s="37">
        <v>1.45</v>
      </c>
      <c r="E12" s="37">
        <v>3</v>
      </c>
      <c r="F12" s="37">
        <v>0.11</v>
      </c>
      <c r="G12" s="35"/>
      <c r="H12" s="37">
        <v>90</v>
      </c>
      <c r="I12" s="37">
        <v>4.9000000000000004</v>
      </c>
      <c r="J12" s="37">
        <v>25</v>
      </c>
      <c r="K12" s="37">
        <v>1.24</v>
      </c>
      <c r="L12" s="35"/>
      <c r="M12" s="37">
        <v>49</v>
      </c>
      <c r="N12" s="37">
        <v>2.0299999999999998</v>
      </c>
      <c r="O12" s="37">
        <v>11</v>
      </c>
      <c r="P12" s="37">
        <v>0.48</v>
      </c>
      <c r="Q12" s="35"/>
      <c r="R12" s="37" t="s">
        <v>230</v>
      </c>
      <c r="S12" s="37">
        <v>4.59</v>
      </c>
      <c r="T12" s="37" t="s">
        <v>230</v>
      </c>
      <c r="U12" s="37">
        <v>0.61</v>
      </c>
      <c r="V12" s="35"/>
      <c r="W12" s="37" t="s">
        <v>230</v>
      </c>
      <c r="X12" s="37">
        <v>1.44</v>
      </c>
      <c r="Y12" s="37" t="s">
        <v>230</v>
      </c>
      <c r="Z12" s="37">
        <v>0.37</v>
      </c>
      <c r="AA12" s="35"/>
      <c r="AB12" s="37" t="s">
        <v>230</v>
      </c>
      <c r="AC12" s="37">
        <v>4.3499999999999996</v>
      </c>
      <c r="AD12" s="37" t="s">
        <v>230</v>
      </c>
      <c r="AE12" s="37">
        <v>1.26</v>
      </c>
      <c r="AF12" s="35"/>
      <c r="AG12" s="37" t="s">
        <v>230</v>
      </c>
      <c r="AH12" s="37">
        <v>1.03</v>
      </c>
      <c r="AI12" s="37" t="s">
        <v>230</v>
      </c>
      <c r="AJ12" s="37">
        <v>0.69</v>
      </c>
      <c r="AK12" s="35"/>
      <c r="AL12" s="37" t="s">
        <v>230</v>
      </c>
      <c r="AM12" s="37">
        <v>0</v>
      </c>
      <c r="AN12" s="37" t="s">
        <v>230</v>
      </c>
      <c r="AO12" s="37">
        <v>0</v>
      </c>
      <c r="AP12" s="35"/>
      <c r="AQ12" s="37" t="s">
        <v>230</v>
      </c>
      <c r="AR12" s="37">
        <v>3.14</v>
      </c>
      <c r="AS12" s="37" t="s">
        <v>230</v>
      </c>
      <c r="AT12" s="37">
        <v>2.14</v>
      </c>
      <c r="AU12" s="35"/>
      <c r="AV12" s="37" t="s">
        <v>230</v>
      </c>
      <c r="AW12" s="37">
        <v>1.27</v>
      </c>
      <c r="AX12" s="37" t="s">
        <v>230</v>
      </c>
      <c r="AY12" s="37">
        <v>0.95</v>
      </c>
      <c r="AZ12" s="35"/>
    </row>
    <row r="13" spans="1:53" x14ac:dyDescent="0.25">
      <c r="A13">
        <v>1</v>
      </c>
      <c r="B13" t="s">
        <v>9</v>
      </c>
      <c r="C13" s="37">
        <v>29</v>
      </c>
      <c r="D13" s="37">
        <v>1.63</v>
      </c>
      <c r="E13" s="37">
        <v>8</v>
      </c>
      <c r="F13" s="37">
        <v>0.4</v>
      </c>
      <c r="G13" s="35"/>
      <c r="H13" s="37">
        <v>29</v>
      </c>
      <c r="I13" s="37">
        <v>1.48</v>
      </c>
      <c r="J13" s="37">
        <v>45</v>
      </c>
      <c r="K13" s="37">
        <v>2.44</v>
      </c>
      <c r="L13" s="35"/>
      <c r="M13" s="37">
        <v>58</v>
      </c>
      <c r="N13" s="37">
        <v>2.96</v>
      </c>
      <c r="O13" s="37">
        <v>13</v>
      </c>
      <c r="P13" s="37">
        <v>0.35</v>
      </c>
      <c r="Q13" s="35"/>
      <c r="R13" s="37" t="s">
        <v>230</v>
      </c>
      <c r="S13" s="37">
        <v>5.21</v>
      </c>
      <c r="T13" s="37" t="s">
        <v>230</v>
      </c>
      <c r="U13" s="37">
        <v>1.34</v>
      </c>
      <c r="V13" s="35"/>
      <c r="W13" s="37" t="s">
        <v>230</v>
      </c>
      <c r="X13" s="37">
        <v>1.1000000000000001</v>
      </c>
      <c r="Y13" s="37" t="s">
        <v>230</v>
      </c>
      <c r="Z13" s="37">
        <v>1.1399999999999999</v>
      </c>
      <c r="AA13" s="35"/>
      <c r="AB13" s="37" t="s">
        <v>230</v>
      </c>
      <c r="AC13" s="37">
        <v>0.69</v>
      </c>
      <c r="AD13" s="37" t="s">
        <v>230</v>
      </c>
      <c r="AE13" s="37">
        <v>0.69</v>
      </c>
      <c r="AF13" s="35"/>
      <c r="AG13" s="37" t="s">
        <v>230</v>
      </c>
      <c r="AH13" s="37">
        <v>2</v>
      </c>
      <c r="AI13" s="37" t="s">
        <v>230</v>
      </c>
      <c r="AJ13" s="37">
        <v>1.1599999999999999</v>
      </c>
      <c r="AK13" s="35"/>
      <c r="AL13" s="37" t="s">
        <v>230</v>
      </c>
      <c r="AM13" s="37">
        <v>0.57999999999999996</v>
      </c>
      <c r="AN13" s="37" t="s">
        <v>230</v>
      </c>
      <c r="AO13" s="37">
        <v>0.78</v>
      </c>
      <c r="AP13" s="35"/>
      <c r="AQ13" s="37" t="s">
        <v>230</v>
      </c>
      <c r="AR13" s="37">
        <v>1.2</v>
      </c>
      <c r="AS13" s="37"/>
      <c r="AT13" s="37">
        <v>1.64</v>
      </c>
      <c r="AU13" s="35"/>
      <c r="AV13" s="37" t="s">
        <v>230</v>
      </c>
      <c r="AW13" s="37">
        <v>2.17</v>
      </c>
      <c r="AX13" s="37" t="s">
        <v>230</v>
      </c>
      <c r="AY13" s="37">
        <v>2.1</v>
      </c>
      <c r="AZ13" s="35"/>
    </row>
    <row r="14" spans="1:53" x14ac:dyDescent="0.25">
      <c r="A14">
        <v>1</v>
      </c>
      <c r="B14" t="s">
        <v>10</v>
      </c>
      <c r="C14" s="37">
        <v>40</v>
      </c>
      <c r="D14" s="37">
        <v>2.13</v>
      </c>
      <c r="E14" s="37">
        <v>7</v>
      </c>
      <c r="F14" s="37">
        <v>0.27</v>
      </c>
      <c r="G14" s="35"/>
      <c r="H14" s="37">
        <v>49</v>
      </c>
      <c r="I14" s="37">
        <v>2.65</v>
      </c>
      <c r="J14" s="37">
        <v>34</v>
      </c>
      <c r="K14" s="37">
        <v>1.34</v>
      </c>
      <c r="L14" s="35"/>
      <c r="M14" s="37">
        <v>51</v>
      </c>
      <c r="N14" s="37">
        <v>2.63</v>
      </c>
      <c r="O14" s="37">
        <v>20</v>
      </c>
      <c r="P14" s="37">
        <v>0.54</v>
      </c>
      <c r="Q14" s="35"/>
      <c r="R14" s="37" t="s">
        <v>230</v>
      </c>
      <c r="S14" s="37">
        <v>4.84</v>
      </c>
      <c r="T14" s="37" t="s">
        <v>230</v>
      </c>
      <c r="U14" s="37">
        <v>1.71</v>
      </c>
      <c r="V14" s="35"/>
      <c r="W14" s="37" t="s">
        <v>230</v>
      </c>
      <c r="X14" s="37">
        <v>1.1599999999999999</v>
      </c>
      <c r="Y14" s="37" t="s">
        <v>230</v>
      </c>
      <c r="Z14" s="37">
        <v>1.01</v>
      </c>
      <c r="AA14" s="35"/>
      <c r="AB14" s="37" t="s">
        <v>230</v>
      </c>
      <c r="AC14" s="37">
        <v>1.18</v>
      </c>
      <c r="AD14" s="37" t="s">
        <v>230</v>
      </c>
      <c r="AE14" s="37">
        <v>0.68</v>
      </c>
      <c r="AF14" s="35"/>
      <c r="AG14" s="37" t="s">
        <v>230</v>
      </c>
      <c r="AH14" s="37">
        <v>1.22</v>
      </c>
      <c r="AI14" s="37" t="s">
        <v>230</v>
      </c>
      <c r="AJ14" s="37">
        <v>1.34</v>
      </c>
      <c r="AK14" s="35"/>
      <c r="AL14" s="37" t="s">
        <v>230</v>
      </c>
      <c r="AM14" s="37">
        <v>0.62</v>
      </c>
      <c r="AN14" s="37" t="s">
        <v>230</v>
      </c>
      <c r="AO14" s="37">
        <v>0.18</v>
      </c>
      <c r="AP14" s="35"/>
      <c r="AQ14" s="37" t="s">
        <v>230</v>
      </c>
      <c r="AR14" s="37">
        <v>1.74</v>
      </c>
      <c r="AS14" s="37" t="s">
        <v>230</v>
      </c>
      <c r="AT14" s="37">
        <v>1.33</v>
      </c>
      <c r="AU14" s="35"/>
      <c r="AV14" s="37" t="s">
        <v>230</v>
      </c>
      <c r="AW14" s="37">
        <v>2.41</v>
      </c>
      <c r="AX14" s="37" t="s">
        <v>230</v>
      </c>
      <c r="AY14" s="37">
        <v>2.41</v>
      </c>
      <c r="AZ14" s="35"/>
    </row>
    <row r="15" spans="1:53" x14ac:dyDescent="0.25">
      <c r="A15">
        <v>1</v>
      </c>
      <c r="B15" t="s">
        <v>11</v>
      </c>
      <c r="C15" s="37">
        <v>12</v>
      </c>
      <c r="D15" s="37">
        <v>0.79</v>
      </c>
      <c r="E15" s="37">
        <v>0</v>
      </c>
      <c r="F15" s="37">
        <v>0</v>
      </c>
      <c r="G15" s="35"/>
      <c r="H15" s="37">
        <v>104</v>
      </c>
      <c r="I15" s="37">
        <v>5.36</v>
      </c>
      <c r="J15" s="37">
        <v>9</v>
      </c>
      <c r="K15" s="37">
        <v>0.44</v>
      </c>
      <c r="L15" s="35"/>
      <c r="M15" s="37">
        <v>110</v>
      </c>
      <c r="N15" s="37">
        <v>3.58</v>
      </c>
      <c r="O15" s="37">
        <v>3</v>
      </c>
      <c r="P15" s="37">
        <v>0.09</v>
      </c>
      <c r="Q15" s="35"/>
      <c r="R15" s="37" t="s">
        <v>230</v>
      </c>
      <c r="S15" s="37">
        <v>4.8600000000000003</v>
      </c>
      <c r="T15" s="37" t="s">
        <v>230</v>
      </c>
      <c r="U15" s="37">
        <v>0.01</v>
      </c>
      <c r="V15" s="35"/>
      <c r="W15" s="37" t="s">
        <v>230</v>
      </c>
      <c r="X15" s="37">
        <v>8.5500000000000007</v>
      </c>
      <c r="Y15" s="37" t="s">
        <v>230</v>
      </c>
      <c r="Z15" s="37">
        <v>0.26</v>
      </c>
      <c r="AA15" s="35"/>
      <c r="AB15" s="37" t="s">
        <v>230</v>
      </c>
      <c r="AC15" s="37">
        <v>5.13</v>
      </c>
      <c r="AD15" s="37" t="s">
        <v>230</v>
      </c>
      <c r="AE15" s="37">
        <v>0.16</v>
      </c>
      <c r="AF15" s="35"/>
      <c r="AG15" s="37" t="s">
        <v>230</v>
      </c>
      <c r="AH15" s="37">
        <v>1.69</v>
      </c>
      <c r="AI15" s="37" t="s">
        <v>230</v>
      </c>
      <c r="AJ15" s="37">
        <v>1.71</v>
      </c>
      <c r="AK15" s="35"/>
      <c r="AL15" s="37" t="s">
        <v>230</v>
      </c>
      <c r="AM15" s="37">
        <v>0.91</v>
      </c>
      <c r="AN15" s="37" t="s">
        <v>230</v>
      </c>
      <c r="AO15" s="37">
        <v>0.2</v>
      </c>
      <c r="AP15" s="35"/>
      <c r="AQ15" s="37" t="s">
        <v>230</v>
      </c>
      <c r="AR15" s="37">
        <v>2.62</v>
      </c>
      <c r="AS15" s="37" t="s">
        <v>230</v>
      </c>
      <c r="AT15" s="37">
        <v>2.5099999999999998</v>
      </c>
      <c r="AU15" s="35"/>
      <c r="AV15" s="37"/>
      <c r="AW15" s="37">
        <v>3.35</v>
      </c>
      <c r="AX15" s="37" t="s">
        <v>230</v>
      </c>
      <c r="AY15" s="37">
        <v>2.1800000000000002</v>
      </c>
      <c r="AZ15" s="35"/>
    </row>
    <row r="16" spans="1:53" x14ac:dyDescent="0.25">
      <c r="A16">
        <v>1</v>
      </c>
      <c r="B16" t="s">
        <v>12</v>
      </c>
      <c r="C16" s="37">
        <v>30</v>
      </c>
      <c r="D16" s="37">
        <v>1.63</v>
      </c>
      <c r="E16" s="37">
        <v>7</v>
      </c>
      <c r="F16" s="37">
        <v>0.31</v>
      </c>
      <c r="G16" s="35"/>
      <c r="H16" s="37">
        <v>127</v>
      </c>
      <c r="I16" s="37">
        <v>6.11</v>
      </c>
      <c r="J16" s="37">
        <v>23</v>
      </c>
      <c r="K16" s="37">
        <v>0.98</v>
      </c>
      <c r="L16" s="35"/>
      <c r="M16" s="37">
        <v>119</v>
      </c>
      <c r="N16" s="37">
        <v>3.61</v>
      </c>
      <c r="O16" s="37">
        <v>8</v>
      </c>
      <c r="P16" s="37">
        <v>0.27</v>
      </c>
      <c r="Q16" s="35"/>
      <c r="R16" s="37" t="s">
        <v>230</v>
      </c>
      <c r="S16" s="37">
        <v>5.62</v>
      </c>
      <c r="T16" s="37" t="s">
        <v>230</v>
      </c>
      <c r="U16" s="37">
        <v>0.18</v>
      </c>
      <c r="V16" s="35"/>
      <c r="W16" s="37" t="s">
        <v>230</v>
      </c>
      <c r="X16" s="37">
        <v>0.98</v>
      </c>
      <c r="Y16" s="37" t="s">
        <v>230</v>
      </c>
      <c r="Z16" s="37">
        <v>0.24</v>
      </c>
      <c r="AA16" s="35"/>
      <c r="AB16" s="37" t="s">
        <v>230</v>
      </c>
      <c r="AC16" s="37">
        <v>6.13</v>
      </c>
      <c r="AD16" s="37" t="s">
        <v>230</v>
      </c>
      <c r="AE16" s="37">
        <v>0.3</v>
      </c>
      <c r="AF16" s="35"/>
      <c r="AG16" s="37" t="s">
        <v>230</v>
      </c>
      <c r="AH16" s="37">
        <v>3.71</v>
      </c>
      <c r="AI16" s="37" t="s">
        <v>230</v>
      </c>
      <c r="AJ16" s="37">
        <v>0.38</v>
      </c>
      <c r="AK16" s="35"/>
      <c r="AL16" s="37" t="s">
        <v>230</v>
      </c>
      <c r="AM16" s="37">
        <v>0.66</v>
      </c>
      <c r="AN16" s="37" t="s">
        <v>230</v>
      </c>
      <c r="AO16" s="37">
        <v>0.12</v>
      </c>
      <c r="AP16" s="35"/>
      <c r="AQ16" s="37" t="s">
        <v>230</v>
      </c>
      <c r="AR16" s="37">
        <v>3.63</v>
      </c>
      <c r="AS16" s="37" t="s">
        <v>230</v>
      </c>
      <c r="AT16" s="37">
        <v>3.44</v>
      </c>
      <c r="AU16" s="35"/>
      <c r="AV16" s="37" t="s">
        <v>230</v>
      </c>
      <c r="AW16" s="37">
        <v>1.76</v>
      </c>
      <c r="AX16" s="37" t="s">
        <v>230</v>
      </c>
      <c r="AY16" s="37">
        <v>0.8</v>
      </c>
      <c r="AZ16" s="35"/>
    </row>
    <row r="17" spans="1:52" x14ac:dyDescent="0.25">
      <c r="A17">
        <v>1</v>
      </c>
      <c r="B17" t="s">
        <v>13</v>
      </c>
      <c r="C17" s="37">
        <v>40</v>
      </c>
      <c r="D17" s="37">
        <v>2.2400000000000002</v>
      </c>
      <c r="E17" s="37">
        <v>7</v>
      </c>
      <c r="F17" s="37">
        <v>0.31</v>
      </c>
      <c r="G17" s="35"/>
      <c r="H17" s="37">
        <v>176</v>
      </c>
      <c r="I17" s="37">
        <v>6.48</v>
      </c>
      <c r="J17" s="37">
        <v>9</v>
      </c>
      <c r="K17" s="37">
        <v>0.34</v>
      </c>
      <c r="L17" s="35"/>
      <c r="M17" s="37">
        <v>78</v>
      </c>
      <c r="N17" s="37">
        <v>2.86</v>
      </c>
      <c r="O17" s="37">
        <v>9</v>
      </c>
      <c r="P17" s="37">
        <v>0.33</v>
      </c>
      <c r="Q17" s="35"/>
      <c r="R17" s="37" t="s">
        <v>230</v>
      </c>
      <c r="S17" s="37">
        <v>6.89</v>
      </c>
      <c r="T17" s="37" t="s">
        <v>230</v>
      </c>
      <c r="U17" s="37">
        <v>1.78</v>
      </c>
      <c r="V17" s="35"/>
      <c r="W17" s="37" t="s">
        <v>230</v>
      </c>
      <c r="X17" s="37">
        <v>1.56</v>
      </c>
      <c r="Y17" s="37" t="s">
        <v>230</v>
      </c>
      <c r="Z17" s="37">
        <v>0.49</v>
      </c>
      <c r="AA17" s="35"/>
      <c r="AB17" s="37" t="s">
        <v>230</v>
      </c>
      <c r="AC17" s="37">
        <v>4.16</v>
      </c>
      <c r="AD17" s="37" t="s">
        <v>230</v>
      </c>
      <c r="AE17" s="37">
        <v>2.31</v>
      </c>
      <c r="AF17" s="35"/>
      <c r="AG17" s="37" t="s">
        <v>230</v>
      </c>
      <c r="AH17" s="37">
        <v>2.78</v>
      </c>
      <c r="AI17" s="37" t="s">
        <v>230</v>
      </c>
      <c r="AJ17" s="37">
        <v>1.1000000000000001</v>
      </c>
      <c r="AK17" s="35"/>
      <c r="AL17" s="37" t="s">
        <v>230</v>
      </c>
      <c r="AM17" s="37">
        <v>1.36</v>
      </c>
      <c r="AN17" s="37" t="s">
        <v>230</v>
      </c>
      <c r="AO17" s="37">
        <v>0.5</v>
      </c>
      <c r="AP17" s="35"/>
      <c r="AQ17" s="37" t="s">
        <v>230</v>
      </c>
      <c r="AR17" s="37">
        <v>3.33</v>
      </c>
      <c r="AS17" s="37" t="s">
        <v>230</v>
      </c>
      <c r="AT17" s="37">
        <v>2.93</v>
      </c>
      <c r="AU17" s="35"/>
      <c r="AV17" s="37" t="s">
        <v>230</v>
      </c>
      <c r="AW17" s="37">
        <v>1.6</v>
      </c>
      <c r="AX17" s="37" t="s">
        <v>230</v>
      </c>
      <c r="AY17" s="37">
        <v>1.54</v>
      </c>
      <c r="AZ17" s="35"/>
    </row>
    <row r="18" spans="1:52" x14ac:dyDescent="0.25">
      <c r="A18">
        <v>1</v>
      </c>
      <c r="B18" t="s">
        <v>14</v>
      </c>
      <c r="C18" s="35" t="s">
        <v>230</v>
      </c>
      <c r="D18" s="35" t="s">
        <v>230</v>
      </c>
      <c r="E18" s="35" t="s">
        <v>230</v>
      </c>
      <c r="F18" s="35" t="s">
        <v>230</v>
      </c>
      <c r="G18" s="35"/>
      <c r="H18" s="35">
        <v>2</v>
      </c>
      <c r="I18" s="35">
        <v>1.95</v>
      </c>
      <c r="J18" s="35">
        <v>8</v>
      </c>
      <c r="K18" s="35">
        <v>5.45</v>
      </c>
      <c r="L18" s="35"/>
      <c r="M18" s="35">
        <v>4</v>
      </c>
      <c r="N18" s="35">
        <v>1.65</v>
      </c>
      <c r="O18" s="35">
        <v>3</v>
      </c>
      <c r="P18" s="35">
        <v>2.2000000000000002</v>
      </c>
      <c r="Q18" s="35"/>
      <c r="R18" s="35">
        <v>1</v>
      </c>
      <c r="S18" s="35">
        <v>0.61</v>
      </c>
      <c r="T18" s="35">
        <v>1</v>
      </c>
      <c r="U18" s="35">
        <v>0.48</v>
      </c>
      <c r="V18" s="35"/>
      <c r="W18" s="35">
        <v>0</v>
      </c>
      <c r="X18" s="35">
        <v>0</v>
      </c>
      <c r="Y18" s="35">
        <v>6</v>
      </c>
      <c r="Z18" s="35">
        <v>1.95</v>
      </c>
      <c r="AA18" s="35"/>
      <c r="AB18" s="35">
        <v>0</v>
      </c>
      <c r="AC18" s="35">
        <v>0</v>
      </c>
      <c r="AD18" s="35">
        <v>1</v>
      </c>
      <c r="AE18" s="35">
        <v>0.35</v>
      </c>
      <c r="AF18" s="35"/>
      <c r="AG18" s="35">
        <v>0</v>
      </c>
      <c r="AH18" s="35">
        <v>0</v>
      </c>
      <c r="AI18" s="35">
        <v>0</v>
      </c>
      <c r="AJ18" s="35">
        <v>0</v>
      </c>
      <c r="AK18" s="35"/>
      <c r="AL18" s="35">
        <v>3</v>
      </c>
      <c r="AM18" s="35">
        <v>1.35</v>
      </c>
      <c r="AN18" s="35">
        <v>1</v>
      </c>
      <c r="AO18" s="35">
        <v>0.9</v>
      </c>
      <c r="AP18" s="35"/>
      <c r="AQ18" s="35">
        <v>5</v>
      </c>
      <c r="AR18" s="35">
        <v>3.5</v>
      </c>
      <c r="AS18" s="35">
        <v>3</v>
      </c>
      <c r="AT18" s="35">
        <v>1.8</v>
      </c>
      <c r="AU18" s="35"/>
      <c r="AV18" s="35">
        <v>0</v>
      </c>
      <c r="AW18" s="35">
        <v>0</v>
      </c>
      <c r="AX18" s="35">
        <v>2</v>
      </c>
      <c r="AY18" s="35">
        <v>0.35</v>
      </c>
      <c r="AZ18" s="35"/>
    </row>
    <row r="19" spans="1:52" x14ac:dyDescent="0.25">
      <c r="A19">
        <v>1</v>
      </c>
      <c r="B19" t="s">
        <v>15</v>
      </c>
      <c r="C19" s="37">
        <v>1</v>
      </c>
      <c r="D19" s="37">
        <v>0.03</v>
      </c>
      <c r="E19" s="37">
        <v>7</v>
      </c>
      <c r="F19" s="37">
        <v>0.22</v>
      </c>
      <c r="G19" s="35"/>
      <c r="H19" s="37">
        <v>24</v>
      </c>
      <c r="I19" s="37">
        <v>0.69</v>
      </c>
      <c r="J19" s="37">
        <v>9</v>
      </c>
      <c r="K19" s="37">
        <v>0.31</v>
      </c>
      <c r="L19" s="35"/>
      <c r="M19" s="37">
        <v>17</v>
      </c>
      <c r="N19" s="37">
        <v>0.34</v>
      </c>
      <c r="O19" s="37">
        <v>3</v>
      </c>
      <c r="P19" s="37">
        <v>0.04</v>
      </c>
      <c r="Q19" s="35"/>
      <c r="R19" s="37" t="s">
        <v>230</v>
      </c>
      <c r="S19" s="37">
        <v>0.76</v>
      </c>
      <c r="T19" s="37" t="s">
        <v>230</v>
      </c>
      <c r="U19" s="37">
        <v>0.17</v>
      </c>
      <c r="V19" s="35"/>
      <c r="W19" s="37" t="s">
        <v>230</v>
      </c>
      <c r="X19" s="37">
        <v>0.16</v>
      </c>
      <c r="Y19" s="37" t="s">
        <v>230</v>
      </c>
      <c r="Z19" s="37">
        <v>0.03</v>
      </c>
      <c r="AA19" s="35"/>
      <c r="AB19" s="37" t="s">
        <v>230</v>
      </c>
      <c r="AC19" s="37">
        <v>0.31</v>
      </c>
      <c r="AD19" s="37" t="s">
        <v>230</v>
      </c>
      <c r="AE19" s="37">
        <v>0.31</v>
      </c>
      <c r="AF19" s="35"/>
      <c r="AG19" s="37" t="s">
        <v>230</v>
      </c>
      <c r="AH19" s="37">
        <v>1.1299999999999999</v>
      </c>
      <c r="AI19" s="37" t="s">
        <v>230</v>
      </c>
      <c r="AJ19" s="37">
        <v>0.16</v>
      </c>
      <c r="AK19" s="35"/>
      <c r="AL19" s="37" t="s">
        <v>230</v>
      </c>
      <c r="AM19" s="37">
        <v>0.21</v>
      </c>
      <c r="AN19" s="37" t="s">
        <v>230</v>
      </c>
      <c r="AO19" s="37">
        <v>0.04</v>
      </c>
      <c r="AP19" s="35"/>
      <c r="AQ19" s="37" t="s">
        <v>230</v>
      </c>
      <c r="AR19" s="37">
        <v>0.89</v>
      </c>
      <c r="AS19" s="37" t="s">
        <v>230</v>
      </c>
      <c r="AT19" s="37">
        <v>0.64</v>
      </c>
      <c r="AU19" s="35"/>
      <c r="AV19" s="37" t="s">
        <v>230</v>
      </c>
      <c r="AW19" s="37">
        <v>4.6100000000000003</v>
      </c>
      <c r="AX19" s="37" t="s">
        <v>230</v>
      </c>
      <c r="AY19" s="37">
        <v>0.94</v>
      </c>
      <c r="AZ19" s="35"/>
    </row>
    <row r="20" spans="1:52" x14ac:dyDescent="0.25">
      <c r="A20">
        <v>1</v>
      </c>
      <c r="B20" t="s">
        <v>16</v>
      </c>
      <c r="C20" s="37">
        <v>18</v>
      </c>
      <c r="D20" s="37">
        <v>1.28</v>
      </c>
      <c r="E20" s="37">
        <v>7</v>
      </c>
      <c r="F20" s="37">
        <v>0.39</v>
      </c>
      <c r="G20" s="35"/>
      <c r="H20" s="37">
        <v>77</v>
      </c>
      <c r="I20" s="37">
        <v>5.36</v>
      </c>
      <c r="J20" s="37">
        <v>20</v>
      </c>
      <c r="K20" s="37">
        <v>1.0900000000000001</v>
      </c>
      <c r="L20" s="35"/>
      <c r="M20" s="37">
        <v>26</v>
      </c>
      <c r="N20" s="37">
        <v>0.89</v>
      </c>
      <c r="O20" s="37">
        <v>0</v>
      </c>
      <c r="P20" s="37">
        <v>0</v>
      </c>
      <c r="Q20" s="35"/>
      <c r="R20" s="37" t="s">
        <v>230</v>
      </c>
      <c r="S20" s="37">
        <v>7.29</v>
      </c>
      <c r="T20" s="37" t="s">
        <v>230</v>
      </c>
      <c r="U20" s="37">
        <v>0.81</v>
      </c>
      <c r="V20" s="35"/>
      <c r="W20" s="37" t="s">
        <v>230</v>
      </c>
      <c r="X20" s="37">
        <v>3</v>
      </c>
      <c r="Y20" s="37" t="s">
        <v>230</v>
      </c>
      <c r="Z20" s="37">
        <v>0.85</v>
      </c>
      <c r="AA20" s="35"/>
      <c r="AB20" s="37" t="s">
        <v>230</v>
      </c>
      <c r="AC20" s="37">
        <v>2.0499999999999998</v>
      </c>
      <c r="AD20" s="37" t="s">
        <v>230</v>
      </c>
      <c r="AE20" s="37">
        <v>1.61</v>
      </c>
      <c r="AF20" s="35"/>
      <c r="AG20" s="37" t="s">
        <v>230</v>
      </c>
      <c r="AH20" s="37">
        <v>3.31</v>
      </c>
      <c r="AI20" s="37" t="s">
        <v>230</v>
      </c>
      <c r="AJ20" s="37">
        <v>0.62</v>
      </c>
      <c r="AK20" s="35"/>
      <c r="AL20" s="37" t="s">
        <v>230</v>
      </c>
      <c r="AM20" s="37">
        <v>2.08</v>
      </c>
      <c r="AN20" s="37" t="s">
        <v>230</v>
      </c>
      <c r="AO20" s="37">
        <v>0.18</v>
      </c>
      <c r="AP20" s="35"/>
      <c r="AQ20" s="37" t="s">
        <v>230</v>
      </c>
      <c r="AR20" s="37">
        <v>4.28</v>
      </c>
      <c r="AS20" s="37" t="s">
        <v>230</v>
      </c>
      <c r="AT20" s="37">
        <v>2.09</v>
      </c>
      <c r="AU20" s="35"/>
      <c r="AV20" s="37" t="s">
        <v>230</v>
      </c>
      <c r="AW20" s="37">
        <v>3.93</v>
      </c>
      <c r="AX20" s="37" t="s">
        <v>230</v>
      </c>
      <c r="AY20" s="37">
        <v>1.69</v>
      </c>
      <c r="AZ20" s="35"/>
    </row>
    <row r="21" spans="1:52" x14ac:dyDescent="0.25"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</row>
    <row r="22" spans="1:52" x14ac:dyDescent="0.25">
      <c r="A22">
        <v>2</v>
      </c>
      <c r="B22" t="s">
        <v>18</v>
      </c>
      <c r="C22" s="37">
        <v>39</v>
      </c>
      <c r="D22" s="37">
        <v>1.95</v>
      </c>
      <c r="E22" s="37">
        <v>11</v>
      </c>
      <c r="F22" s="37">
        <v>0.55000000000000004</v>
      </c>
      <c r="G22" s="35"/>
      <c r="H22" s="37">
        <v>151</v>
      </c>
      <c r="I22" s="37">
        <v>6.63</v>
      </c>
      <c r="J22" s="37">
        <v>37</v>
      </c>
      <c r="K22" s="37">
        <v>1.58</v>
      </c>
      <c r="L22" s="35"/>
      <c r="M22" s="37">
        <v>108</v>
      </c>
      <c r="N22" s="37">
        <v>3.41</v>
      </c>
      <c r="O22" s="37">
        <v>7</v>
      </c>
      <c r="P22" s="37">
        <v>2.12</v>
      </c>
      <c r="Q22" s="35"/>
      <c r="R22" s="37" t="s">
        <v>230</v>
      </c>
      <c r="S22" s="37">
        <v>1.54</v>
      </c>
      <c r="T22" s="37" t="s">
        <v>230</v>
      </c>
      <c r="U22" s="37">
        <v>2.61</v>
      </c>
      <c r="V22" s="35"/>
      <c r="W22" s="37" t="s">
        <v>230</v>
      </c>
      <c r="X22" s="37">
        <v>0.56000000000000005</v>
      </c>
      <c r="Y22" s="37" t="s">
        <v>230</v>
      </c>
      <c r="Z22" s="37">
        <v>0.26</v>
      </c>
      <c r="AA22" s="35"/>
      <c r="AB22" s="37" t="s">
        <v>230</v>
      </c>
      <c r="AC22" s="37">
        <v>1.19</v>
      </c>
      <c r="AD22" s="37" t="s">
        <v>230</v>
      </c>
      <c r="AE22" s="37">
        <v>0.55000000000000004</v>
      </c>
      <c r="AF22" s="35"/>
      <c r="AG22" s="37" t="s">
        <v>230</v>
      </c>
      <c r="AH22" s="37">
        <v>0.55000000000000004</v>
      </c>
      <c r="AI22" s="37" t="s">
        <v>230</v>
      </c>
      <c r="AJ22" s="37">
        <v>1.01</v>
      </c>
      <c r="AK22" s="35"/>
      <c r="AL22" s="37" t="s">
        <v>230</v>
      </c>
      <c r="AM22" s="37">
        <v>0.89</v>
      </c>
      <c r="AN22" s="37" t="s">
        <v>230</v>
      </c>
      <c r="AO22" s="37">
        <v>0.16</v>
      </c>
      <c r="AP22" s="35"/>
      <c r="AQ22" s="37" t="s">
        <v>230</v>
      </c>
      <c r="AR22" s="37">
        <v>0.38</v>
      </c>
      <c r="AS22" s="37" t="s">
        <v>230</v>
      </c>
      <c r="AT22" s="37">
        <v>0.28000000000000003</v>
      </c>
      <c r="AU22" s="35"/>
      <c r="AV22" s="37" t="s">
        <v>230</v>
      </c>
      <c r="AW22" s="37">
        <v>1.86</v>
      </c>
      <c r="AX22" s="37" t="s">
        <v>230</v>
      </c>
      <c r="AY22" s="37">
        <v>0.26</v>
      </c>
      <c r="AZ22" s="35"/>
    </row>
    <row r="23" spans="1:52" x14ac:dyDescent="0.25">
      <c r="A23">
        <v>2</v>
      </c>
      <c r="B23" t="s">
        <v>19</v>
      </c>
      <c r="C23" s="35">
        <v>0</v>
      </c>
      <c r="D23" s="35">
        <v>0</v>
      </c>
      <c r="E23" s="35">
        <v>3</v>
      </c>
      <c r="F23" s="35">
        <v>3</v>
      </c>
      <c r="G23" s="35"/>
      <c r="H23" s="35">
        <v>2</v>
      </c>
      <c r="I23" s="35">
        <v>1.35</v>
      </c>
      <c r="J23" s="35">
        <v>12</v>
      </c>
      <c r="K23" s="35">
        <v>11.2</v>
      </c>
      <c r="L23" s="35"/>
      <c r="M23" s="35">
        <v>1</v>
      </c>
      <c r="N23" s="35">
        <v>0.65</v>
      </c>
      <c r="O23" s="35">
        <v>5</v>
      </c>
      <c r="P23" s="35">
        <v>3.9</v>
      </c>
      <c r="Q23" s="35"/>
      <c r="R23" s="35">
        <v>6</v>
      </c>
      <c r="S23" s="35">
        <v>2.16</v>
      </c>
      <c r="T23" s="35">
        <v>6</v>
      </c>
      <c r="U23" s="35">
        <v>2.08</v>
      </c>
      <c r="V23" s="35"/>
      <c r="W23" s="35">
        <v>1</v>
      </c>
      <c r="X23" s="35">
        <v>0.85</v>
      </c>
      <c r="Y23" s="35">
        <v>5</v>
      </c>
      <c r="Z23" s="35">
        <v>3.1</v>
      </c>
      <c r="AA23" s="35"/>
      <c r="AB23" s="35">
        <v>1</v>
      </c>
      <c r="AC23" s="35">
        <v>0.85</v>
      </c>
      <c r="AD23" s="35">
        <v>0</v>
      </c>
      <c r="AE23" s="35">
        <v>0</v>
      </c>
      <c r="AF23" s="35"/>
      <c r="AG23" s="35">
        <v>0</v>
      </c>
      <c r="AH23" s="35">
        <v>0</v>
      </c>
      <c r="AI23" s="35">
        <v>1</v>
      </c>
      <c r="AJ23" s="35">
        <v>0.5</v>
      </c>
      <c r="AK23" s="35"/>
      <c r="AL23" s="35">
        <v>5</v>
      </c>
      <c r="AM23" s="35">
        <v>3.05</v>
      </c>
      <c r="AN23" s="35">
        <v>7</v>
      </c>
      <c r="AO23" s="35">
        <v>4</v>
      </c>
      <c r="AP23" s="35"/>
      <c r="AQ23" s="35">
        <v>0</v>
      </c>
      <c r="AR23" s="35">
        <v>0</v>
      </c>
      <c r="AS23" s="35">
        <v>2</v>
      </c>
      <c r="AT23" s="35">
        <v>0.9</v>
      </c>
      <c r="AU23" s="35"/>
      <c r="AV23" s="35">
        <v>2</v>
      </c>
      <c r="AW23" s="35">
        <v>0.35</v>
      </c>
      <c r="AX23" s="35">
        <v>5</v>
      </c>
      <c r="AY23" s="35">
        <v>1.75</v>
      </c>
      <c r="AZ23" s="35"/>
    </row>
    <row r="24" spans="1:52" x14ac:dyDescent="0.25">
      <c r="A24">
        <v>2</v>
      </c>
      <c r="B24" t="s">
        <v>20</v>
      </c>
      <c r="C24" s="35">
        <v>3</v>
      </c>
      <c r="D24" s="35">
        <v>3.35</v>
      </c>
      <c r="E24" s="35">
        <v>6</v>
      </c>
      <c r="F24" s="35">
        <v>4.4000000000000004</v>
      </c>
      <c r="G24" s="35"/>
      <c r="H24" s="35">
        <v>0</v>
      </c>
      <c r="I24" s="35">
        <v>0</v>
      </c>
      <c r="J24" s="35">
        <v>8</v>
      </c>
      <c r="K24" s="35">
        <v>8.15</v>
      </c>
      <c r="L24" s="35"/>
      <c r="M24" s="35">
        <v>2</v>
      </c>
      <c r="N24" s="35">
        <v>1.5</v>
      </c>
      <c r="O24" s="35">
        <v>4</v>
      </c>
      <c r="P24" s="35">
        <v>3.35</v>
      </c>
      <c r="Q24" s="35"/>
      <c r="R24" s="35">
        <v>8</v>
      </c>
      <c r="S24" s="35">
        <v>2.44</v>
      </c>
      <c r="T24" s="35">
        <v>8</v>
      </c>
      <c r="U24" s="35">
        <v>2.76</v>
      </c>
      <c r="V24" s="35"/>
      <c r="W24" s="35">
        <v>2</v>
      </c>
      <c r="X24" s="35">
        <v>1.75</v>
      </c>
      <c r="Y24" s="35">
        <v>3</v>
      </c>
      <c r="Z24" s="35">
        <v>2.35</v>
      </c>
      <c r="AA24" s="35"/>
      <c r="AB24" s="35">
        <v>1</v>
      </c>
      <c r="AC24" s="35">
        <v>0.7</v>
      </c>
      <c r="AD24" s="35">
        <v>1</v>
      </c>
      <c r="AE24" s="35">
        <v>0.7</v>
      </c>
      <c r="AF24" s="35"/>
      <c r="AG24" s="35">
        <v>0</v>
      </c>
      <c r="AH24" s="35">
        <v>0</v>
      </c>
      <c r="AI24" s="35">
        <v>0</v>
      </c>
      <c r="AJ24" s="35">
        <v>0</v>
      </c>
      <c r="AK24" s="35"/>
      <c r="AL24" s="35">
        <v>1</v>
      </c>
      <c r="AM24" s="35">
        <v>0.15</v>
      </c>
      <c r="AN24" s="35">
        <v>2</v>
      </c>
      <c r="AO24" s="35">
        <v>1.25</v>
      </c>
      <c r="AP24" s="35"/>
      <c r="AQ24" s="35">
        <v>3</v>
      </c>
      <c r="AR24" s="35">
        <v>1.55</v>
      </c>
      <c r="AS24" s="35">
        <v>0</v>
      </c>
      <c r="AT24" s="35">
        <v>0</v>
      </c>
      <c r="AU24" s="35"/>
      <c r="AV24" s="35">
        <v>4</v>
      </c>
      <c r="AW24" s="35">
        <v>2.4</v>
      </c>
      <c r="AX24" s="35">
        <v>2</v>
      </c>
      <c r="AY24" s="35">
        <v>0.8</v>
      </c>
      <c r="AZ24" s="35"/>
    </row>
    <row r="25" spans="1:52" x14ac:dyDescent="0.25">
      <c r="A25">
        <v>2</v>
      </c>
      <c r="B25" t="s">
        <v>21</v>
      </c>
      <c r="C25" s="35">
        <v>1</v>
      </c>
      <c r="D25" s="35">
        <v>1.05</v>
      </c>
      <c r="E25" s="35">
        <v>0</v>
      </c>
      <c r="F25" s="35">
        <v>0</v>
      </c>
      <c r="G25" s="35"/>
      <c r="H25" s="35">
        <v>3</v>
      </c>
      <c r="I25" s="35">
        <v>2.4</v>
      </c>
      <c r="J25" s="35">
        <v>7</v>
      </c>
      <c r="K25" s="35">
        <v>6.25</v>
      </c>
      <c r="L25" s="35"/>
      <c r="M25" s="35">
        <v>1</v>
      </c>
      <c r="N25" s="35">
        <v>0.65</v>
      </c>
      <c r="O25" s="35">
        <v>2</v>
      </c>
      <c r="P25" s="35">
        <v>1.3</v>
      </c>
      <c r="Q25" s="35"/>
      <c r="R25" s="35">
        <v>1</v>
      </c>
      <c r="S25" s="35">
        <v>0.38</v>
      </c>
      <c r="T25" s="35">
        <v>9</v>
      </c>
      <c r="U25" s="35">
        <v>2.58</v>
      </c>
      <c r="V25" s="35"/>
      <c r="W25" s="35">
        <v>6</v>
      </c>
      <c r="X25" s="35">
        <v>3.9</v>
      </c>
      <c r="Y25" s="35">
        <v>4</v>
      </c>
      <c r="Z25" s="35">
        <v>1.85</v>
      </c>
      <c r="AA25" s="35"/>
      <c r="AB25" s="35">
        <v>12</v>
      </c>
      <c r="AC25" s="35" t="s">
        <v>367</v>
      </c>
      <c r="AD25" s="35">
        <v>0</v>
      </c>
      <c r="AE25" s="35">
        <v>0</v>
      </c>
      <c r="AF25" s="35"/>
      <c r="AG25" s="35">
        <v>2</v>
      </c>
      <c r="AH25" s="35">
        <v>0.75</v>
      </c>
      <c r="AI25" s="35">
        <v>1</v>
      </c>
      <c r="AJ25" s="35">
        <v>0.5</v>
      </c>
      <c r="AK25" s="35"/>
      <c r="AL25" s="35">
        <v>5</v>
      </c>
      <c r="AM25" s="35">
        <v>1.85</v>
      </c>
      <c r="AN25" s="35">
        <v>2</v>
      </c>
      <c r="AO25" s="35">
        <v>0.9</v>
      </c>
      <c r="AP25" s="35"/>
      <c r="AQ25" s="35">
        <v>17</v>
      </c>
      <c r="AR25" s="35">
        <v>6.85</v>
      </c>
      <c r="AS25" s="35">
        <v>9</v>
      </c>
      <c r="AT25" s="35">
        <v>3.6</v>
      </c>
      <c r="AU25" s="35"/>
      <c r="AV25" s="35">
        <v>10</v>
      </c>
      <c r="AW25" s="35">
        <v>3.75</v>
      </c>
      <c r="AX25" s="35">
        <v>7</v>
      </c>
      <c r="AY25" s="35">
        <v>1.8</v>
      </c>
      <c r="AZ25" s="35"/>
    </row>
    <row r="26" spans="1:52" x14ac:dyDescent="0.25">
      <c r="A26">
        <v>2</v>
      </c>
      <c r="B26" t="s">
        <v>28</v>
      </c>
      <c r="C26" s="35" t="s">
        <v>230</v>
      </c>
      <c r="D26" s="35" t="s">
        <v>230</v>
      </c>
      <c r="E26" s="35" t="s">
        <v>230</v>
      </c>
      <c r="F26" s="35" t="s">
        <v>230</v>
      </c>
      <c r="G26" s="35"/>
      <c r="H26" s="35">
        <v>1</v>
      </c>
      <c r="I26" s="35">
        <v>1.05</v>
      </c>
      <c r="J26" s="35">
        <v>7</v>
      </c>
      <c r="K26" s="35">
        <v>5.5</v>
      </c>
      <c r="L26" s="35"/>
      <c r="M26" s="35">
        <v>3</v>
      </c>
      <c r="N26" s="35">
        <v>1.65</v>
      </c>
      <c r="O26" s="35">
        <v>2</v>
      </c>
      <c r="P26" s="35">
        <v>1.85</v>
      </c>
      <c r="Q26" s="35"/>
      <c r="R26" s="35">
        <v>18</v>
      </c>
      <c r="S26" s="35">
        <v>6.48</v>
      </c>
      <c r="T26" s="35">
        <v>12</v>
      </c>
      <c r="U26" s="35">
        <v>4.12</v>
      </c>
      <c r="V26" s="35"/>
      <c r="W26" s="35">
        <v>0</v>
      </c>
      <c r="X26" s="35">
        <v>0</v>
      </c>
      <c r="Y26" s="35">
        <v>5</v>
      </c>
      <c r="Z26" s="35">
        <v>2.8</v>
      </c>
      <c r="AA26" s="35"/>
      <c r="AB26" s="35">
        <v>0</v>
      </c>
      <c r="AC26" s="35">
        <v>0</v>
      </c>
      <c r="AD26" s="35">
        <v>0</v>
      </c>
      <c r="AE26" s="35">
        <v>0</v>
      </c>
      <c r="AF26" s="35"/>
      <c r="AG26" s="35">
        <v>0</v>
      </c>
      <c r="AH26" s="35">
        <v>0</v>
      </c>
      <c r="AI26" s="35">
        <v>1</v>
      </c>
      <c r="AJ26" s="35">
        <v>0.15</v>
      </c>
      <c r="AK26" s="35"/>
      <c r="AL26" s="35">
        <v>0</v>
      </c>
      <c r="AM26" s="35">
        <v>0</v>
      </c>
      <c r="AN26" s="35">
        <v>0</v>
      </c>
      <c r="AO26" s="35">
        <v>0</v>
      </c>
      <c r="AP26" s="35"/>
      <c r="AQ26" s="35">
        <v>4</v>
      </c>
      <c r="AR26" s="35">
        <v>2.85</v>
      </c>
      <c r="AS26" s="35">
        <v>4</v>
      </c>
      <c r="AT26" s="35">
        <v>1.45</v>
      </c>
      <c r="AU26" s="35"/>
      <c r="AV26" s="35">
        <v>0</v>
      </c>
      <c r="AW26" s="35">
        <v>0</v>
      </c>
      <c r="AX26" s="35">
        <v>3</v>
      </c>
      <c r="AY26" s="35">
        <v>0.85</v>
      </c>
      <c r="AZ26" s="35"/>
    </row>
    <row r="27" spans="1:52" x14ac:dyDescent="0.25">
      <c r="A27">
        <v>2</v>
      </c>
      <c r="B27" t="s">
        <v>29</v>
      </c>
      <c r="C27" s="35">
        <v>0</v>
      </c>
      <c r="D27" s="35">
        <v>0</v>
      </c>
      <c r="E27" s="35">
        <v>2</v>
      </c>
      <c r="F27" s="35">
        <v>1.4</v>
      </c>
      <c r="G27" s="35"/>
      <c r="H27" s="35">
        <v>2</v>
      </c>
      <c r="I27" s="35">
        <v>0.85</v>
      </c>
      <c r="J27" s="35">
        <v>8</v>
      </c>
      <c r="K27" s="35">
        <v>6.9</v>
      </c>
      <c r="L27" s="35"/>
      <c r="M27" s="35">
        <v>5</v>
      </c>
      <c r="N27" s="35">
        <v>4.8499999999999996</v>
      </c>
      <c r="O27" s="35">
        <v>1</v>
      </c>
      <c r="P27" s="35">
        <v>1</v>
      </c>
      <c r="Q27" s="35"/>
      <c r="R27" s="35">
        <v>14</v>
      </c>
      <c r="S27" s="35">
        <v>3.75</v>
      </c>
      <c r="T27" s="35">
        <v>13</v>
      </c>
      <c r="U27" s="35">
        <v>4.66</v>
      </c>
      <c r="V27" s="35"/>
      <c r="W27" s="35">
        <v>2</v>
      </c>
      <c r="X27" s="35">
        <v>1.45</v>
      </c>
      <c r="Y27" s="35">
        <v>3</v>
      </c>
      <c r="Z27" s="35">
        <v>2.25</v>
      </c>
      <c r="AA27" s="35"/>
      <c r="AB27" s="35">
        <v>0</v>
      </c>
      <c r="AC27" s="35">
        <v>0</v>
      </c>
      <c r="AD27" s="35">
        <v>2</v>
      </c>
      <c r="AE27" s="35">
        <v>1.1000000000000001</v>
      </c>
      <c r="AF27" s="35"/>
      <c r="AG27" s="35">
        <v>0</v>
      </c>
      <c r="AH27" s="35">
        <v>0</v>
      </c>
      <c r="AI27" s="35">
        <v>0</v>
      </c>
      <c r="AJ27" s="35">
        <v>0</v>
      </c>
      <c r="AK27" s="35"/>
      <c r="AL27" s="35">
        <v>0</v>
      </c>
      <c r="AM27" s="35">
        <v>0</v>
      </c>
      <c r="AN27" s="35">
        <v>2</v>
      </c>
      <c r="AO27" s="35">
        <v>1.55</v>
      </c>
      <c r="AP27" s="35"/>
      <c r="AQ27" s="35">
        <v>2</v>
      </c>
      <c r="AR27" s="35">
        <v>1.55</v>
      </c>
      <c r="AS27" s="35">
        <v>4</v>
      </c>
      <c r="AT27" s="35">
        <v>1.5</v>
      </c>
      <c r="AU27" s="35"/>
      <c r="AV27" s="35">
        <v>0</v>
      </c>
      <c r="AW27" s="35">
        <v>0</v>
      </c>
      <c r="AX27" s="35">
        <v>6</v>
      </c>
      <c r="AY27" s="35">
        <v>2.0499999999999998</v>
      </c>
      <c r="AZ27" s="35"/>
    </row>
    <row r="28" spans="1:52" x14ac:dyDescent="0.25">
      <c r="A28">
        <v>2</v>
      </c>
      <c r="B28" t="s">
        <v>30</v>
      </c>
      <c r="C28" s="35" t="s">
        <v>230</v>
      </c>
      <c r="D28" s="35" t="s">
        <v>230</v>
      </c>
      <c r="E28" s="35" t="s">
        <v>230</v>
      </c>
      <c r="F28" s="35" t="s">
        <v>230</v>
      </c>
      <c r="G28" s="35"/>
      <c r="H28" s="35">
        <v>0</v>
      </c>
      <c r="I28" s="35">
        <v>0</v>
      </c>
      <c r="J28" s="35">
        <v>8</v>
      </c>
      <c r="K28" s="35">
        <v>5.45</v>
      </c>
      <c r="L28" s="35"/>
      <c r="M28" s="35">
        <v>4</v>
      </c>
      <c r="N28" s="35">
        <v>2.75</v>
      </c>
      <c r="O28" s="35">
        <v>2</v>
      </c>
      <c r="P28" s="35">
        <v>1.2</v>
      </c>
      <c r="Q28" s="35"/>
      <c r="R28" s="35">
        <v>1</v>
      </c>
      <c r="S28" s="35">
        <v>0.2</v>
      </c>
      <c r="T28" s="35">
        <v>2</v>
      </c>
      <c r="U28" s="35">
        <v>0.52</v>
      </c>
      <c r="V28" s="35"/>
      <c r="W28" s="35">
        <v>1</v>
      </c>
      <c r="X28" s="35">
        <v>0.65</v>
      </c>
      <c r="Y28" s="35">
        <v>3</v>
      </c>
      <c r="Z28" s="35">
        <v>1.55</v>
      </c>
      <c r="AA28" s="35"/>
      <c r="AB28" s="35">
        <v>0</v>
      </c>
      <c r="AC28" s="35">
        <v>0</v>
      </c>
      <c r="AD28" s="35">
        <v>4</v>
      </c>
      <c r="AE28" s="35">
        <v>1.55</v>
      </c>
      <c r="AF28" s="35"/>
      <c r="AG28" s="35">
        <v>0</v>
      </c>
      <c r="AH28" s="35">
        <v>0</v>
      </c>
      <c r="AI28" s="35">
        <v>1</v>
      </c>
      <c r="AJ28" s="35">
        <v>0.45</v>
      </c>
      <c r="AK28" s="35"/>
      <c r="AL28" s="35">
        <v>7</v>
      </c>
      <c r="AM28" s="35">
        <v>2.85</v>
      </c>
      <c r="AN28" s="35">
        <v>3</v>
      </c>
      <c r="AO28" s="35">
        <v>1.45</v>
      </c>
      <c r="AP28" s="35"/>
      <c r="AQ28" s="35">
        <v>8</v>
      </c>
      <c r="AR28" s="35">
        <v>3.1</v>
      </c>
      <c r="AS28" s="35">
        <v>12</v>
      </c>
      <c r="AT28" s="35">
        <v>4</v>
      </c>
      <c r="AU28" s="35"/>
      <c r="AV28" s="35">
        <v>0</v>
      </c>
      <c r="AW28" s="35">
        <v>0</v>
      </c>
      <c r="AX28" s="35">
        <v>8</v>
      </c>
      <c r="AY28" s="35">
        <v>3</v>
      </c>
      <c r="AZ28" s="35"/>
    </row>
    <row r="29" spans="1:52" x14ac:dyDescent="0.25">
      <c r="A29">
        <v>2</v>
      </c>
      <c r="B29" t="s">
        <v>31</v>
      </c>
      <c r="C29" s="35">
        <v>1</v>
      </c>
      <c r="D29" s="35">
        <v>0.8</v>
      </c>
      <c r="E29" s="35">
        <v>1</v>
      </c>
      <c r="F29" s="35">
        <v>1.25</v>
      </c>
      <c r="G29" s="35"/>
      <c r="H29" s="35">
        <v>6</v>
      </c>
      <c r="I29" s="35">
        <v>4.1500000000000004</v>
      </c>
      <c r="J29" s="35">
        <v>10</v>
      </c>
      <c r="K29" s="35">
        <v>7.65</v>
      </c>
      <c r="L29" s="35"/>
      <c r="M29" s="35">
        <v>9</v>
      </c>
      <c r="N29" s="35">
        <v>5.65</v>
      </c>
      <c r="O29" s="35">
        <v>2</v>
      </c>
      <c r="P29" s="35">
        <v>1.4</v>
      </c>
      <c r="Q29" s="35"/>
      <c r="R29" s="35">
        <v>24</v>
      </c>
      <c r="S29" s="35">
        <v>6.8</v>
      </c>
      <c r="T29" s="35">
        <v>7</v>
      </c>
      <c r="U29" s="35">
        <v>1.75</v>
      </c>
      <c r="V29" s="35"/>
      <c r="W29" s="35">
        <v>5</v>
      </c>
      <c r="X29" s="35">
        <v>3.25</v>
      </c>
      <c r="Y29" s="35">
        <v>2</v>
      </c>
      <c r="Z29" s="35">
        <v>1.1000000000000001</v>
      </c>
      <c r="AA29" s="35"/>
      <c r="AB29" s="35">
        <v>0</v>
      </c>
      <c r="AC29" s="35">
        <v>0</v>
      </c>
      <c r="AD29" s="35">
        <v>0</v>
      </c>
      <c r="AE29" s="35">
        <v>0</v>
      </c>
      <c r="AF29" s="35"/>
      <c r="AG29" s="35">
        <v>2</v>
      </c>
      <c r="AH29" s="35">
        <v>0.7</v>
      </c>
      <c r="AI29" s="35">
        <v>0</v>
      </c>
      <c r="AJ29" s="35">
        <v>0</v>
      </c>
      <c r="AK29" s="35"/>
      <c r="AL29" s="35">
        <v>5</v>
      </c>
      <c r="AM29" s="35">
        <v>1.8</v>
      </c>
      <c r="AN29" s="35">
        <v>6</v>
      </c>
      <c r="AO29" s="35">
        <v>2.2999999999999998</v>
      </c>
      <c r="AP29" s="35"/>
      <c r="AQ29" s="35">
        <v>13</v>
      </c>
      <c r="AR29" s="35">
        <v>5.2</v>
      </c>
      <c r="AS29" s="35">
        <v>8</v>
      </c>
      <c r="AT29" s="35">
        <v>2.9</v>
      </c>
      <c r="AU29" s="35"/>
      <c r="AV29" s="35">
        <v>4</v>
      </c>
      <c r="AW29" s="35">
        <v>1.25</v>
      </c>
      <c r="AX29" s="35">
        <v>5</v>
      </c>
      <c r="AY29" s="35">
        <v>1.45</v>
      </c>
      <c r="AZ29" s="35"/>
    </row>
    <row r="30" spans="1:52" x14ac:dyDescent="0.25">
      <c r="A30">
        <v>2</v>
      </c>
      <c r="B30" t="s">
        <v>32</v>
      </c>
      <c r="C30" s="35" t="s">
        <v>230</v>
      </c>
      <c r="D30" s="35" t="s">
        <v>230</v>
      </c>
      <c r="E30" s="35" t="s">
        <v>230</v>
      </c>
      <c r="F30" s="35" t="s">
        <v>230</v>
      </c>
      <c r="G30" s="35"/>
      <c r="H30" s="35">
        <v>1</v>
      </c>
      <c r="I30" s="35">
        <v>0.65</v>
      </c>
      <c r="J30" s="35">
        <v>12</v>
      </c>
      <c r="K30" s="35">
        <v>8.9</v>
      </c>
      <c r="L30" s="35"/>
      <c r="M30" s="35">
        <v>1</v>
      </c>
      <c r="N30" s="35">
        <v>0.8</v>
      </c>
      <c r="O30" s="35">
        <v>6</v>
      </c>
      <c r="P30" s="35">
        <v>5</v>
      </c>
      <c r="Q30" s="35"/>
      <c r="R30" s="35" t="s">
        <v>368</v>
      </c>
      <c r="S30" s="35" t="s">
        <v>230</v>
      </c>
      <c r="T30" s="35">
        <v>15</v>
      </c>
      <c r="U30" s="35">
        <v>4.8</v>
      </c>
      <c r="V30" s="35"/>
      <c r="W30" s="35">
        <v>1</v>
      </c>
      <c r="X30" s="35">
        <v>1.25</v>
      </c>
      <c r="Y30" s="35">
        <v>0</v>
      </c>
      <c r="Z30" s="35">
        <v>0</v>
      </c>
      <c r="AA30" s="35"/>
      <c r="AB30" s="35">
        <v>0</v>
      </c>
      <c r="AC30" s="35">
        <v>0</v>
      </c>
      <c r="AD30" s="35">
        <v>1</v>
      </c>
      <c r="AE30" s="35">
        <v>0.55000000000000004</v>
      </c>
      <c r="AF30" s="35"/>
      <c r="AG30" s="35">
        <v>0</v>
      </c>
      <c r="AH30" s="35">
        <v>0</v>
      </c>
      <c r="AI30" s="35">
        <v>1</v>
      </c>
      <c r="AJ30" s="35">
        <v>0.6</v>
      </c>
      <c r="AK30" s="35"/>
      <c r="AL30" s="35">
        <v>0</v>
      </c>
      <c r="AM30" s="35">
        <v>0</v>
      </c>
      <c r="AN30" s="35">
        <v>6</v>
      </c>
      <c r="AO30" s="35">
        <v>3.5</v>
      </c>
      <c r="AP30" s="35"/>
      <c r="AQ30" s="35">
        <v>0</v>
      </c>
      <c r="AR30" s="35">
        <v>0</v>
      </c>
      <c r="AS30" s="35">
        <v>7</v>
      </c>
      <c r="AT30" s="35">
        <v>2.85</v>
      </c>
      <c r="AU30" s="35"/>
      <c r="AV30" s="35">
        <v>0</v>
      </c>
      <c r="AW30" s="35">
        <v>0</v>
      </c>
      <c r="AX30" s="35">
        <v>25</v>
      </c>
      <c r="AY30" s="35">
        <v>9</v>
      </c>
      <c r="AZ30" s="35"/>
    </row>
    <row r="31" spans="1:52" x14ac:dyDescent="0.25">
      <c r="A31">
        <v>2</v>
      </c>
      <c r="B31" t="s">
        <v>33</v>
      </c>
      <c r="C31" s="35" t="s">
        <v>230</v>
      </c>
      <c r="D31" s="35" t="s">
        <v>230</v>
      </c>
      <c r="E31" s="35" t="s">
        <v>230</v>
      </c>
      <c r="F31" s="35" t="s">
        <v>230</v>
      </c>
      <c r="G31" s="35"/>
      <c r="H31" s="35">
        <v>0</v>
      </c>
      <c r="I31" s="35">
        <v>0</v>
      </c>
      <c r="J31" s="35">
        <v>7</v>
      </c>
      <c r="K31" s="35">
        <v>6.35</v>
      </c>
      <c r="L31" s="35"/>
      <c r="M31" s="35">
        <v>1</v>
      </c>
      <c r="N31" s="35">
        <v>0.95</v>
      </c>
      <c r="O31" s="35">
        <v>2</v>
      </c>
      <c r="P31" s="35">
        <v>1.9</v>
      </c>
      <c r="Q31" s="35"/>
      <c r="R31" s="35">
        <v>7</v>
      </c>
      <c r="S31" s="35">
        <v>5.35</v>
      </c>
      <c r="T31" s="35">
        <v>9</v>
      </c>
      <c r="U31" s="35">
        <v>6.5</v>
      </c>
      <c r="V31" s="35"/>
      <c r="W31" s="35">
        <v>3</v>
      </c>
      <c r="X31" s="35">
        <v>0.95</v>
      </c>
      <c r="Y31" s="35">
        <v>33</v>
      </c>
      <c r="Z31" s="35">
        <v>0</v>
      </c>
      <c r="AA31" s="35"/>
      <c r="AB31" s="35">
        <v>0</v>
      </c>
      <c r="AC31" s="35">
        <v>0</v>
      </c>
      <c r="AD31" s="35">
        <v>1</v>
      </c>
      <c r="AE31" s="35">
        <v>0.65</v>
      </c>
      <c r="AF31" s="35"/>
      <c r="AG31" s="35">
        <v>3</v>
      </c>
      <c r="AH31" s="35">
        <v>0.85</v>
      </c>
      <c r="AI31" s="35">
        <v>1</v>
      </c>
      <c r="AJ31" s="35">
        <v>0.2</v>
      </c>
      <c r="AK31" s="35"/>
      <c r="AL31" s="35">
        <v>12</v>
      </c>
      <c r="AM31" s="35">
        <v>5.2</v>
      </c>
      <c r="AN31" s="35">
        <v>10</v>
      </c>
      <c r="AO31" s="35">
        <v>4.25</v>
      </c>
      <c r="AP31" s="35"/>
      <c r="AQ31" s="35">
        <v>12</v>
      </c>
      <c r="AR31" s="35">
        <v>4.45</v>
      </c>
      <c r="AS31" s="35">
        <v>6</v>
      </c>
      <c r="AT31" s="35">
        <v>2.6</v>
      </c>
      <c r="AU31" s="35"/>
      <c r="AV31" s="35">
        <v>0</v>
      </c>
      <c r="AW31" s="35">
        <v>0</v>
      </c>
      <c r="AX31" s="35">
        <v>3</v>
      </c>
      <c r="AY31" s="35">
        <v>1.2</v>
      </c>
      <c r="AZ31" s="35"/>
    </row>
    <row r="32" spans="1:52" x14ac:dyDescent="0.25">
      <c r="A32">
        <v>2</v>
      </c>
      <c r="B32" t="s">
        <v>34</v>
      </c>
      <c r="C32" s="35">
        <v>0</v>
      </c>
      <c r="D32" s="35">
        <v>0</v>
      </c>
      <c r="E32" s="35">
        <v>2</v>
      </c>
      <c r="F32" s="35">
        <v>2.1</v>
      </c>
      <c r="G32" s="35"/>
      <c r="H32" s="35">
        <v>0</v>
      </c>
      <c r="I32" s="35">
        <v>0</v>
      </c>
      <c r="J32" s="35">
        <v>5</v>
      </c>
      <c r="K32" s="35">
        <v>3.55</v>
      </c>
      <c r="L32" s="35"/>
      <c r="M32" s="35">
        <v>4</v>
      </c>
      <c r="N32" s="35">
        <v>3.2</v>
      </c>
      <c r="O32" s="35">
        <v>6</v>
      </c>
      <c r="P32" s="35">
        <v>5.25</v>
      </c>
      <c r="Q32" s="35"/>
      <c r="R32" s="35">
        <v>3</v>
      </c>
      <c r="S32" s="35">
        <v>2.0499999999999998</v>
      </c>
      <c r="T32" s="35">
        <v>15</v>
      </c>
      <c r="U32" s="35">
        <v>12.35</v>
      </c>
      <c r="V32" s="35"/>
      <c r="W32" s="35">
        <v>0</v>
      </c>
      <c r="X32" s="35">
        <v>0</v>
      </c>
      <c r="Y32" s="35">
        <v>5</v>
      </c>
      <c r="Z32" s="35">
        <v>2.4</v>
      </c>
      <c r="AA32" s="35"/>
      <c r="AB32" s="35">
        <v>0</v>
      </c>
      <c r="AC32" s="35">
        <v>0</v>
      </c>
      <c r="AD32" s="35">
        <v>2</v>
      </c>
      <c r="AE32" s="35">
        <v>1.4</v>
      </c>
      <c r="AF32" s="35"/>
      <c r="AG32" s="35">
        <v>0</v>
      </c>
      <c r="AH32" s="35">
        <v>0</v>
      </c>
      <c r="AI32" s="35">
        <v>1</v>
      </c>
      <c r="AJ32" s="35">
        <v>0.4</v>
      </c>
      <c r="AK32" s="35"/>
      <c r="AL32" s="35">
        <v>1</v>
      </c>
      <c r="AM32" s="35">
        <v>0.45</v>
      </c>
      <c r="AN32" s="35">
        <v>4</v>
      </c>
      <c r="AO32" s="35">
        <v>1.6</v>
      </c>
      <c r="AP32" s="35"/>
      <c r="AQ32" s="35">
        <v>0</v>
      </c>
      <c r="AR32" s="35">
        <v>0</v>
      </c>
      <c r="AS32" s="35">
        <v>11</v>
      </c>
      <c r="AT32" s="35">
        <v>5</v>
      </c>
      <c r="AU32" s="35"/>
      <c r="AV32" s="35">
        <v>0</v>
      </c>
      <c r="AW32" s="35">
        <v>0</v>
      </c>
      <c r="AX32" s="35">
        <v>4</v>
      </c>
      <c r="AY32" s="35">
        <v>1.1000000000000001</v>
      </c>
      <c r="AZ32" s="35"/>
    </row>
    <row r="33" spans="1:52" x14ac:dyDescent="0.25">
      <c r="A33">
        <v>2</v>
      </c>
      <c r="B33" t="s">
        <v>35</v>
      </c>
      <c r="C33" s="35" t="s">
        <v>230</v>
      </c>
      <c r="D33" s="35" t="s">
        <v>230</v>
      </c>
      <c r="E33" s="35" t="s">
        <v>230</v>
      </c>
      <c r="F33" s="35" t="s">
        <v>230</v>
      </c>
      <c r="G33" s="35"/>
      <c r="H33" s="35">
        <v>0</v>
      </c>
      <c r="I33" s="35">
        <v>0</v>
      </c>
      <c r="J33" s="35">
        <v>6</v>
      </c>
      <c r="K33" s="35">
        <v>6.85</v>
      </c>
      <c r="L33" s="35"/>
      <c r="M33" s="35">
        <v>9</v>
      </c>
      <c r="N33" s="35">
        <v>9.65</v>
      </c>
      <c r="O33" s="35">
        <v>2</v>
      </c>
      <c r="P33" s="35">
        <v>1.7</v>
      </c>
      <c r="Q33" s="35"/>
      <c r="R33" s="35">
        <v>12</v>
      </c>
      <c r="S33" s="35">
        <v>9.0500000000000007</v>
      </c>
      <c r="T33" s="35">
        <v>12</v>
      </c>
      <c r="U33" s="35">
        <v>8.4</v>
      </c>
      <c r="V33" s="35"/>
      <c r="W33" s="35">
        <v>4</v>
      </c>
      <c r="X33" s="35">
        <v>3.3</v>
      </c>
      <c r="Y33" s="35">
        <v>2</v>
      </c>
      <c r="Z33" s="35">
        <v>2.0499999999999998</v>
      </c>
      <c r="AA33" s="35"/>
      <c r="AB33" s="35">
        <v>1</v>
      </c>
      <c r="AC33" s="35">
        <v>0.85</v>
      </c>
      <c r="AD33" s="35">
        <v>0</v>
      </c>
      <c r="AE33" s="35">
        <v>0</v>
      </c>
      <c r="AF33" s="35"/>
      <c r="AG33" s="35">
        <v>1</v>
      </c>
      <c r="AH33" s="35">
        <v>0.8</v>
      </c>
      <c r="AI33" s="35">
        <v>0</v>
      </c>
      <c r="AJ33" s="35">
        <v>0</v>
      </c>
      <c r="AK33" s="35"/>
      <c r="AL33" s="35">
        <v>3</v>
      </c>
      <c r="AM33" s="35">
        <v>1.35</v>
      </c>
      <c r="AN33" s="35">
        <v>0</v>
      </c>
      <c r="AO33" s="35">
        <v>0</v>
      </c>
      <c r="AP33" s="35"/>
      <c r="AQ33" s="35">
        <v>2</v>
      </c>
      <c r="AR33" s="35">
        <v>1.1000000000000001</v>
      </c>
      <c r="AS33" s="35">
        <v>4</v>
      </c>
      <c r="AT33" s="35">
        <v>1.95</v>
      </c>
      <c r="AU33" s="35"/>
      <c r="AV33" s="35">
        <v>3</v>
      </c>
      <c r="AW33" s="35">
        <v>1.2</v>
      </c>
      <c r="AX33" s="35">
        <v>9</v>
      </c>
      <c r="AY33" s="35">
        <v>4.4000000000000004</v>
      </c>
      <c r="AZ33" s="35"/>
    </row>
    <row r="34" spans="1:52" x14ac:dyDescent="0.25">
      <c r="A34">
        <v>2</v>
      </c>
      <c r="B34" t="s">
        <v>36</v>
      </c>
      <c r="C34" s="35">
        <v>3</v>
      </c>
      <c r="D34" s="35">
        <v>2.2000000000000002</v>
      </c>
      <c r="E34" s="35">
        <v>1</v>
      </c>
      <c r="F34" s="35">
        <v>0.5</v>
      </c>
      <c r="G34" s="35"/>
      <c r="H34" s="35">
        <v>8</v>
      </c>
      <c r="I34" s="35">
        <v>5.6</v>
      </c>
      <c r="J34" s="35">
        <v>5</v>
      </c>
      <c r="K34" s="35">
        <v>3.9</v>
      </c>
      <c r="L34" s="35"/>
      <c r="M34" s="35">
        <v>4</v>
      </c>
      <c r="N34" s="35">
        <v>1.65</v>
      </c>
      <c r="O34" s="35">
        <v>1</v>
      </c>
      <c r="P34" s="35">
        <v>0.5</v>
      </c>
      <c r="Q34" s="35"/>
      <c r="R34" s="35">
        <v>16</v>
      </c>
      <c r="S34" s="35">
        <v>8.9499999999999993</v>
      </c>
      <c r="T34" s="35">
        <v>15</v>
      </c>
      <c r="U34" s="35">
        <v>6.4</v>
      </c>
      <c r="V34" s="35"/>
      <c r="W34" s="35">
        <v>4</v>
      </c>
      <c r="X34" s="35">
        <v>1.75</v>
      </c>
      <c r="Y34" s="35">
        <v>3</v>
      </c>
      <c r="Z34" s="35">
        <v>1.75</v>
      </c>
      <c r="AA34" s="35"/>
      <c r="AB34" s="35">
        <v>3</v>
      </c>
      <c r="AC34" s="35">
        <v>2.25</v>
      </c>
      <c r="AD34" s="35">
        <v>0</v>
      </c>
      <c r="AE34" s="35">
        <v>0</v>
      </c>
      <c r="AF34" s="35"/>
      <c r="AG34" s="35">
        <v>0</v>
      </c>
      <c r="AH34" s="35">
        <v>0</v>
      </c>
      <c r="AI34" s="35">
        <v>1</v>
      </c>
      <c r="AJ34" s="35">
        <v>0.4</v>
      </c>
      <c r="AK34" s="35"/>
      <c r="AL34" s="35">
        <v>4</v>
      </c>
      <c r="AM34" s="35">
        <v>1.7</v>
      </c>
      <c r="AN34" s="35">
        <v>1</v>
      </c>
      <c r="AO34" s="35">
        <v>0.35</v>
      </c>
      <c r="AP34" s="35"/>
      <c r="AQ34" s="35">
        <v>6</v>
      </c>
      <c r="AR34" s="35">
        <v>2.2999999999999998</v>
      </c>
      <c r="AS34" s="35">
        <v>5</v>
      </c>
      <c r="AT34" s="35">
        <v>1.9</v>
      </c>
      <c r="AU34" s="35"/>
      <c r="AV34" s="35">
        <v>8</v>
      </c>
      <c r="AW34" s="35">
        <v>3.85</v>
      </c>
      <c r="AX34" s="35">
        <v>5</v>
      </c>
      <c r="AY34" s="35">
        <v>1.6</v>
      </c>
      <c r="AZ34" s="35"/>
    </row>
    <row r="35" spans="1:52" x14ac:dyDescent="0.25">
      <c r="A35">
        <v>2</v>
      </c>
      <c r="B35" t="s">
        <v>37</v>
      </c>
      <c r="C35" s="35">
        <v>1</v>
      </c>
      <c r="D35" s="35">
        <v>0.5</v>
      </c>
      <c r="E35" s="35">
        <v>2</v>
      </c>
      <c r="F35" s="35">
        <v>1</v>
      </c>
      <c r="G35" s="35"/>
      <c r="H35" s="35">
        <v>9</v>
      </c>
      <c r="I35" s="35">
        <v>3.15</v>
      </c>
      <c r="J35" s="35">
        <v>5</v>
      </c>
      <c r="K35" s="35">
        <v>2.4500000000000002</v>
      </c>
      <c r="L35" s="35"/>
      <c r="M35" s="35">
        <v>7</v>
      </c>
      <c r="N35" s="35">
        <v>2.9</v>
      </c>
      <c r="O35" s="35">
        <v>1</v>
      </c>
      <c r="P35" s="35">
        <v>0.5</v>
      </c>
      <c r="Q35" s="35"/>
      <c r="R35" s="35">
        <v>42</v>
      </c>
      <c r="S35" s="35">
        <v>14.75</v>
      </c>
      <c r="T35" s="35">
        <v>16</v>
      </c>
      <c r="U35" s="35">
        <v>5.4</v>
      </c>
      <c r="V35" s="35"/>
      <c r="W35" s="35">
        <v>26</v>
      </c>
      <c r="X35" s="35">
        <v>8.6999999999999993</v>
      </c>
      <c r="Y35" s="35">
        <v>6</v>
      </c>
      <c r="Z35" s="35">
        <v>2.0499999999999998</v>
      </c>
      <c r="AA35" s="35"/>
      <c r="AB35" s="35">
        <v>11</v>
      </c>
      <c r="AC35" s="35">
        <v>2.8</v>
      </c>
      <c r="AD35" s="35">
        <v>0</v>
      </c>
      <c r="AE35" s="35">
        <v>0</v>
      </c>
      <c r="AF35" s="35"/>
      <c r="AG35" s="35">
        <v>5</v>
      </c>
      <c r="AH35" s="35">
        <v>1.35</v>
      </c>
      <c r="AI35" s="35">
        <v>2</v>
      </c>
      <c r="AJ35" s="35">
        <v>0.55000000000000004</v>
      </c>
      <c r="AK35" s="35"/>
      <c r="AL35" s="35">
        <v>8</v>
      </c>
      <c r="AM35" s="35">
        <v>2.25</v>
      </c>
      <c r="AN35" s="35">
        <v>25</v>
      </c>
      <c r="AO35" s="35">
        <v>5.3</v>
      </c>
      <c r="AP35" s="35"/>
      <c r="AQ35" s="35">
        <v>16</v>
      </c>
      <c r="AR35" s="35">
        <v>3.65</v>
      </c>
      <c r="AS35" s="35">
        <v>27</v>
      </c>
      <c r="AT35" s="35">
        <v>5</v>
      </c>
      <c r="AU35" s="35"/>
      <c r="AV35" s="35">
        <v>7</v>
      </c>
      <c r="AW35" s="35">
        <v>1.7</v>
      </c>
      <c r="AX35" s="35">
        <v>9</v>
      </c>
      <c r="AY35" s="35">
        <v>1.35</v>
      </c>
      <c r="AZ35" s="35"/>
    </row>
    <row r="36" spans="1:52" x14ac:dyDescent="0.25">
      <c r="A36">
        <v>2</v>
      </c>
      <c r="B36" t="s">
        <v>38</v>
      </c>
      <c r="C36" s="35">
        <v>1</v>
      </c>
      <c r="D36" s="35">
        <v>0.3</v>
      </c>
      <c r="E36" s="35">
        <v>7</v>
      </c>
      <c r="F36" s="35">
        <v>1.7</v>
      </c>
      <c r="G36" s="35"/>
      <c r="H36" s="35">
        <v>8</v>
      </c>
      <c r="I36" s="35">
        <v>1.85</v>
      </c>
      <c r="J36" s="35">
        <v>9</v>
      </c>
      <c r="K36" s="35">
        <v>2.6</v>
      </c>
      <c r="L36" s="35"/>
      <c r="M36" s="35">
        <v>21</v>
      </c>
      <c r="N36" s="35">
        <v>4.3499999999999996</v>
      </c>
      <c r="O36" s="35">
        <v>1</v>
      </c>
      <c r="P36" s="35">
        <v>0.2</v>
      </c>
      <c r="Q36" s="35"/>
      <c r="R36" s="35">
        <v>37</v>
      </c>
      <c r="S36" s="35">
        <v>8.25</v>
      </c>
      <c r="T36" s="35">
        <v>34</v>
      </c>
      <c r="U36" s="35">
        <v>6.5</v>
      </c>
      <c r="V36" s="35"/>
      <c r="W36" s="35">
        <v>27</v>
      </c>
      <c r="X36" s="35">
        <v>4.9000000000000004</v>
      </c>
      <c r="Y36" s="35">
        <v>3</v>
      </c>
      <c r="Z36" s="35">
        <v>0.55000000000000004</v>
      </c>
      <c r="AA36" s="35"/>
      <c r="AB36" s="35">
        <v>6</v>
      </c>
      <c r="AC36" s="35">
        <v>0.9</v>
      </c>
      <c r="AD36" s="35">
        <v>4</v>
      </c>
      <c r="AE36" s="35">
        <v>0.5</v>
      </c>
      <c r="AF36" s="35"/>
      <c r="AG36" s="35">
        <v>3</v>
      </c>
      <c r="AH36" s="35">
        <v>0.45</v>
      </c>
      <c r="AI36" s="35">
        <v>21</v>
      </c>
      <c r="AJ36" s="35">
        <v>1.9</v>
      </c>
      <c r="AK36" s="35"/>
      <c r="AL36" s="35">
        <v>0</v>
      </c>
      <c r="AM36" s="35">
        <v>0</v>
      </c>
      <c r="AN36" s="35">
        <v>15</v>
      </c>
      <c r="AO36" s="35">
        <v>2</v>
      </c>
      <c r="AP36" s="35"/>
      <c r="AQ36" s="35">
        <v>3</v>
      </c>
      <c r="AR36" s="35">
        <v>0.5</v>
      </c>
      <c r="AS36" s="35">
        <v>24</v>
      </c>
      <c r="AT36" s="35">
        <v>2.5499999999999998</v>
      </c>
      <c r="AU36" s="35"/>
      <c r="AV36" s="35">
        <v>0</v>
      </c>
      <c r="AW36" s="35">
        <v>0</v>
      </c>
      <c r="AX36" s="35">
        <v>16</v>
      </c>
      <c r="AY36" s="35">
        <v>1.1499999999999999</v>
      </c>
      <c r="AZ36" s="35"/>
    </row>
    <row r="37" spans="1:52" x14ac:dyDescent="0.25">
      <c r="A37">
        <v>2</v>
      </c>
      <c r="B37" t="s">
        <v>39</v>
      </c>
      <c r="C37" s="35">
        <v>2</v>
      </c>
      <c r="D37" s="35">
        <v>0.85</v>
      </c>
      <c r="E37" s="35">
        <v>3</v>
      </c>
      <c r="F37" s="35">
        <v>1.3</v>
      </c>
      <c r="G37" s="35"/>
      <c r="H37" s="35">
        <v>5</v>
      </c>
      <c r="I37" s="35">
        <v>2.1</v>
      </c>
      <c r="J37" s="35">
        <v>11</v>
      </c>
      <c r="K37" s="35">
        <v>4.75</v>
      </c>
      <c r="L37" s="35"/>
      <c r="M37" s="35">
        <v>23</v>
      </c>
      <c r="N37" s="35">
        <v>9.5500000000000007</v>
      </c>
      <c r="O37" s="35">
        <v>1</v>
      </c>
      <c r="P37" s="35">
        <v>0.35</v>
      </c>
      <c r="Q37" s="35"/>
      <c r="R37" s="35">
        <v>15</v>
      </c>
      <c r="S37" s="35">
        <v>6.1</v>
      </c>
      <c r="T37" s="35">
        <v>22</v>
      </c>
      <c r="U37" s="35">
        <v>7.2</v>
      </c>
      <c r="V37" s="35"/>
      <c r="W37" s="35">
        <v>13</v>
      </c>
      <c r="X37" s="35">
        <v>5.0999999999999996</v>
      </c>
      <c r="Y37" s="35">
        <v>5</v>
      </c>
      <c r="Z37" s="35">
        <v>1.55</v>
      </c>
      <c r="AA37" s="35"/>
      <c r="AB37" s="35">
        <v>7</v>
      </c>
      <c r="AC37" s="35">
        <v>1.95</v>
      </c>
      <c r="AD37" s="35">
        <v>4</v>
      </c>
      <c r="AE37" s="35">
        <v>0.75</v>
      </c>
      <c r="AF37" s="35"/>
      <c r="AG37" s="35">
        <v>7</v>
      </c>
      <c r="AH37" s="35">
        <v>1.95</v>
      </c>
      <c r="AI37" s="35">
        <v>5</v>
      </c>
      <c r="AJ37" s="35">
        <v>1.05</v>
      </c>
      <c r="AK37" s="35"/>
      <c r="AL37" s="35">
        <v>3</v>
      </c>
      <c r="AM37" s="35">
        <v>0.95</v>
      </c>
      <c r="AN37" s="35">
        <v>25</v>
      </c>
      <c r="AO37" s="35">
        <v>4.6500000000000004</v>
      </c>
      <c r="AP37" s="35"/>
      <c r="AQ37" s="35">
        <v>1</v>
      </c>
      <c r="AR37" s="35">
        <v>0.1</v>
      </c>
      <c r="AS37" s="35">
        <v>13</v>
      </c>
      <c r="AT37" s="35">
        <v>2.65</v>
      </c>
      <c r="AU37" s="35"/>
      <c r="AV37" s="35">
        <v>18</v>
      </c>
      <c r="AW37" s="35">
        <v>3.1</v>
      </c>
      <c r="AX37" s="35">
        <v>42</v>
      </c>
      <c r="AY37" s="35">
        <v>6.2</v>
      </c>
      <c r="AZ37" s="35"/>
    </row>
    <row r="38" spans="1:52" x14ac:dyDescent="0.25"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</row>
    <row r="39" spans="1:52" x14ac:dyDescent="0.25">
      <c r="A39">
        <v>3</v>
      </c>
      <c r="B39" t="s">
        <v>50</v>
      </c>
      <c r="C39" s="35">
        <v>2</v>
      </c>
      <c r="D39" s="35">
        <v>1.35</v>
      </c>
      <c r="E39" s="35">
        <v>3</v>
      </c>
      <c r="F39" s="35">
        <v>2.5</v>
      </c>
      <c r="G39" s="35"/>
      <c r="H39" s="35">
        <v>2</v>
      </c>
      <c r="I39" s="35">
        <v>0.9</v>
      </c>
      <c r="J39" s="35">
        <v>6</v>
      </c>
      <c r="K39" s="35">
        <v>3.9</v>
      </c>
      <c r="L39" s="35"/>
      <c r="M39" s="35">
        <v>2</v>
      </c>
      <c r="N39" s="35">
        <v>1.1499999999999999</v>
      </c>
      <c r="O39" s="35">
        <v>2</v>
      </c>
      <c r="P39" s="35">
        <v>1.5</v>
      </c>
      <c r="Q39" s="35"/>
      <c r="R39" s="35">
        <v>1</v>
      </c>
      <c r="S39" s="35">
        <v>0.26</v>
      </c>
      <c r="T39" s="35">
        <v>7</v>
      </c>
      <c r="U39" s="35">
        <v>2.08</v>
      </c>
      <c r="V39" s="35"/>
      <c r="W39" s="35">
        <v>0</v>
      </c>
      <c r="X39" s="35">
        <v>0</v>
      </c>
      <c r="Y39" s="35">
        <v>3</v>
      </c>
      <c r="Z39" s="35">
        <v>1.5</v>
      </c>
      <c r="AA39" s="35"/>
      <c r="AB39" s="35">
        <v>0</v>
      </c>
      <c r="AC39" s="35">
        <v>0</v>
      </c>
      <c r="AD39" s="35">
        <v>0</v>
      </c>
      <c r="AE39" s="35">
        <v>0</v>
      </c>
      <c r="AF39" s="35"/>
      <c r="AG39" s="35">
        <v>0</v>
      </c>
      <c r="AH39" s="35">
        <v>0</v>
      </c>
      <c r="AI39" s="35">
        <v>1</v>
      </c>
      <c r="AJ39" s="35">
        <v>0.55000000000000004</v>
      </c>
      <c r="AK39" s="35"/>
      <c r="AL39" s="35">
        <v>0</v>
      </c>
      <c r="AM39" s="35">
        <v>0</v>
      </c>
      <c r="AN39" s="35">
        <v>2</v>
      </c>
      <c r="AO39" s="35">
        <v>1.35</v>
      </c>
      <c r="AP39" s="35"/>
      <c r="AQ39" s="35">
        <v>0</v>
      </c>
      <c r="AR39" s="35">
        <v>0</v>
      </c>
      <c r="AS39" s="35">
        <v>15</v>
      </c>
      <c r="AT39" s="35">
        <v>8.1</v>
      </c>
      <c r="AU39" s="35"/>
      <c r="AV39" s="35">
        <v>0</v>
      </c>
      <c r="AW39" s="35">
        <v>0</v>
      </c>
      <c r="AX39" s="35">
        <v>28</v>
      </c>
      <c r="AY39" s="35">
        <v>14.1</v>
      </c>
      <c r="AZ39" s="35"/>
    </row>
    <row r="40" spans="1:52" x14ac:dyDescent="0.25">
      <c r="A40">
        <v>3</v>
      </c>
      <c r="B40" t="s">
        <v>41</v>
      </c>
      <c r="C40" s="35">
        <v>3</v>
      </c>
      <c r="D40" s="35">
        <v>1.45</v>
      </c>
      <c r="E40" s="35">
        <v>0</v>
      </c>
      <c r="F40" s="35">
        <v>0</v>
      </c>
      <c r="G40" s="35"/>
      <c r="H40" s="35">
        <v>38</v>
      </c>
      <c r="I40" s="35">
        <v>9.75</v>
      </c>
      <c r="J40" s="35">
        <v>14</v>
      </c>
      <c r="K40" s="35">
        <v>3.55</v>
      </c>
      <c r="L40" s="35"/>
      <c r="M40" s="35">
        <v>19</v>
      </c>
      <c r="N40" s="35">
        <v>4.9000000000000004</v>
      </c>
      <c r="O40" s="35">
        <v>3</v>
      </c>
      <c r="P40" s="35">
        <v>1.1000000000000001</v>
      </c>
      <c r="Q40" s="35"/>
      <c r="R40" s="35">
        <v>15</v>
      </c>
      <c r="S40" s="35">
        <v>2.04</v>
      </c>
      <c r="T40" s="35">
        <v>17</v>
      </c>
      <c r="U40" s="35">
        <v>2.06</v>
      </c>
      <c r="V40" s="35"/>
      <c r="W40" s="35">
        <v>6</v>
      </c>
      <c r="X40" s="35">
        <v>1.9</v>
      </c>
      <c r="Y40" s="35">
        <v>8</v>
      </c>
      <c r="Z40" s="35">
        <v>2.5499999999999998</v>
      </c>
      <c r="AA40" s="35"/>
      <c r="AB40" s="35">
        <v>1</v>
      </c>
      <c r="AC40" s="35">
        <v>0.3</v>
      </c>
      <c r="AD40" s="35">
        <v>0</v>
      </c>
      <c r="AE40" s="35">
        <v>0</v>
      </c>
      <c r="AF40" s="35"/>
      <c r="AG40" s="35">
        <v>8</v>
      </c>
      <c r="AH40" s="35">
        <v>2.2999999999999998</v>
      </c>
      <c r="AI40" s="35">
        <v>5</v>
      </c>
      <c r="AJ40" s="35">
        <v>1.25</v>
      </c>
      <c r="AK40" s="35"/>
      <c r="AL40" s="35">
        <v>10</v>
      </c>
      <c r="AM40" s="35">
        <v>2.75</v>
      </c>
      <c r="AN40" s="35">
        <v>7</v>
      </c>
      <c r="AO40" s="35">
        <v>1.35</v>
      </c>
      <c r="AP40" s="35"/>
      <c r="AQ40" s="35">
        <v>8</v>
      </c>
      <c r="AR40" s="35">
        <v>1.7</v>
      </c>
      <c r="AS40" s="35">
        <v>11</v>
      </c>
      <c r="AT40" s="35">
        <v>1.8</v>
      </c>
      <c r="AU40" s="35"/>
      <c r="AV40" s="35">
        <v>4</v>
      </c>
      <c r="AW40" s="35">
        <v>0.65</v>
      </c>
      <c r="AX40" s="35">
        <v>15</v>
      </c>
      <c r="AY40" s="35">
        <v>3.5</v>
      </c>
      <c r="AZ40" s="35"/>
    </row>
    <row r="41" spans="1:52" x14ac:dyDescent="0.25">
      <c r="A41">
        <v>3</v>
      </c>
      <c r="B41" t="s">
        <v>42</v>
      </c>
      <c r="C41" s="35">
        <v>1</v>
      </c>
      <c r="D41" s="35">
        <v>0.35</v>
      </c>
      <c r="E41" s="35">
        <v>1</v>
      </c>
      <c r="F41" s="35">
        <v>0.35</v>
      </c>
      <c r="G41" s="35"/>
      <c r="H41" s="35">
        <v>13</v>
      </c>
      <c r="I41" s="35">
        <v>4.2</v>
      </c>
      <c r="J41" s="35">
        <v>14</v>
      </c>
      <c r="K41" s="35">
        <v>4.3499999999999996</v>
      </c>
      <c r="L41" s="35"/>
      <c r="M41" s="35">
        <v>15</v>
      </c>
      <c r="N41" s="35">
        <v>5.7</v>
      </c>
      <c r="O41" s="35">
        <v>1</v>
      </c>
      <c r="P41" s="35">
        <v>0.55000000000000004</v>
      </c>
      <c r="Q41" s="35"/>
      <c r="R41" s="35">
        <v>7</v>
      </c>
      <c r="S41" s="35">
        <v>1.06</v>
      </c>
      <c r="T41" s="35">
        <v>12</v>
      </c>
      <c r="U41" s="35">
        <v>1.84</v>
      </c>
      <c r="V41" s="35"/>
      <c r="W41" s="35">
        <v>6</v>
      </c>
      <c r="X41" s="35">
        <v>1.9</v>
      </c>
      <c r="Y41" s="35">
        <v>4</v>
      </c>
      <c r="Z41" s="35">
        <v>1</v>
      </c>
      <c r="AA41" s="35"/>
      <c r="AB41" s="35">
        <v>0</v>
      </c>
      <c r="AC41" s="35">
        <v>0</v>
      </c>
      <c r="AD41" s="35">
        <v>3</v>
      </c>
      <c r="AE41" s="35">
        <v>0.7</v>
      </c>
      <c r="AF41" s="35"/>
      <c r="AG41" s="35">
        <v>10</v>
      </c>
      <c r="AH41" s="35">
        <v>2.5499999999999998</v>
      </c>
      <c r="AI41" s="35">
        <v>10</v>
      </c>
      <c r="AJ41" s="35">
        <v>1.95</v>
      </c>
      <c r="AK41" s="35"/>
      <c r="AL41" s="35">
        <v>0</v>
      </c>
      <c r="AM41" s="35">
        <v>0</v>
      </c>
      <c r="AN41" s="35">
        <v>13</v>
      </c>
      <c r="AO41" s="35">
        <v>2.35</v>
      </c>
      <c r="AP41" s="35"/>
      <c r="AQ41" s="35">
        <v>0</v>
      </c>
      <c r="AR41" s="35">
        <v>0</v>
      </c>
      <c r="AS41" s="35">
        <v>7</v>
      </c>
      <c r="AT41" s="35">
        <v>1</v>
      </c>
      <c r="AU41" s="35"/>
      <c r="AV41" s="35">
        <v>5</v>
      </c>
      <c r="AW41" s="35">
        <v>0.5</v>
      </c>
      <c r="AX41" s="35">
        <v>3</v>
      </c>
      <c r="AY41" s="35">
        <v>0.35</v>
      </c>
      <c r="AZ41" s="35"/>
    </row>
    <row r="42" spans="1:52" x14ac:dyDescent="0.25">
      <c r="A42">
        <v>3</v>
      </c>
      <c r="B42" t="s">
        <v>43</v>
      </c>
      <c r="C42" s="35">
        <v>0</v>
      </c>
      <c r="D42" s="35">
        <v>0</v>
      </c>
      <c r="E42" s="35">
        <v>9</v>
      </c>
      <c r="F42" s="35">
        <v>2.65</v>
      </c>
      <c r="G42" s="35"/>
      <c r="H42" s="35">
        <v>5</v>
      </c>
      <c r="I42" s="35">
        <v>1</v>
      </c>
      <c r="J42" s="35">
        <v>7</v>
      </c>
      <c r="K42" s="35">
        <v>1.7</v>
      </c>
      <c r="L42" s="35"/>
      <c r="M42" s="35">
        <v>14</v>
      </c>
      <c r="N42" s="35">
        <v>2.8</v>
      </c>
      <c r="O42" s="35">
        <v>13</v>
      </c>
      <c r="P42" s="35">
        <v>2.7</v>
      </c>
      <c r="Q42" s="35"/>
      <c r="R42" s="35">
        <v>13</v>
      </c>
      <c r="S42" s="35">
        <v>1.3</v>
      </c>
      <c r="T42" s="35">
        <v>51</v>
      </c>
      <c r="U42" s="35">
        <v>4.32</v>
      </c>
      <c r="V42" s="35"/>
      <c r="W42" s="35">
        <v>18</v>
      </c>
      <c r="X42" s="35">
        <v>3.4</v>
      </c>
      <c r="Y42" s="35">
        <v>12</v>
      </c>
      <c r="Z42" s="35">
        <v>2.5499999999999998</v>
      </c>
      <c r="AA42" s="35"/>
      <c r="AB42" s="35">
        <v>4</v>
      </c>
      <c r="AC42" s="35">
        <v>0.55000000000000004</v>
      </c>
      <c r="AD42" s="35">
        <v>7</v>
      </c>
      <c r="AE42" s="35">
        <v>0.75</v>
      </c>
      <c r="AF42" s="35"/>
      <c r="AG42" s="35">
        <v>0</v>
      </c>
      <c r="AH42" s="35">
        <v>0</v>
      </c>
      <c r="AI42" s="35">
        <v>15</v>
      </c>
      <c r="AJ42" s="35">
        <v>2</v>
      </c>
      <c r="AK42" s="35"/>
      <c r="AL42" s="35">
        <v>18</v>
      </c>
      <c r="AM42" s="35">
        <v>2.5</v>
      </c>
      <c r="AN42" s="35">
        <v>30</v>
      </c>
      <c r="AO42" s="35">
        <v>3.35</v>
      </c>
      <c r="AP42" s="35"/>
      <c r="AQ42" s="35">
        <v>0</v>
      </c>
      <c r="AR42" s="35">
        <v>0</v>
      </c>
      <c r="AS42" s="35">
        <v>61</v>
      </c>
      <c r="AT42" s="35">
        <v>5.45</v>
      </c>
      <c r="AU42" s="35"/>
      <c r="AV42" s="35">
        <v>4</v>
      </c>
      <c r="AW42" s="35">
        <v>0.4</v>
      </c>
      <c r="AX42" s="35">
        <v>23</v>
      </c>
      <c r="AY42" s="35">
        <v>1.9</v>
      </c>
      <c r="AZ42" s="35"/>
    </row>
    <row r="43" spans="1:52" x14ac:dyDescent="0.25">
      <c r="A43">
        <v>3</v>
      </c>
      <c r="B43" t="s">
        <v>45</v>
      </c>
      <c r="C43" s="35">
        <v>2</v>
      </c>
      <c r="D43" s="35">
        <v>0.5</v>
      </c>
      <c r="E43" s="35">
        <v>1</v>
      </c>
      <c r="F43" s="35">
        <v>0.1</v>
      </c>
      <c r="G43" s="35"/>
      <c r="H43" s="35">
        <v>9</v>
      </c>
      <c r="I43" s="35">
        <v>3.7</v>
      </c>
      <c r="J43" s="35">
        <v>7</v>
      </c>
      <c r="K43" s="35">
        <v>2.5499999999999998</v>
      </c>
      <c r="L43" s="35"/>
      <c r="M43" s="35">
        <v>15</v>
      </c>
      <c r="N43" s="35">
        <v>6</v>
      </c>
      <c r="O43" s="35">
        <v>3</v>
      </c>
      <c r="P43" s="35">
        <v>0.55000000000000004</v>
      </c>
      <c r="Q43" s="35"/>
      <c r="R43" s="35">
        <v>15</v>
      </c>
      <c r="S43" s="35">
        <v>2.62</v>
      </c>
      <c r="T43" s="35">
        <v>6</v>
      </c>
      <c r="U43" s="35">
        <v>1.04</v>
      </c>
      <c r="V43" s="35"/>
      <c r="W43" s="35">
        <v>15</v>
      </c>
      <c r="X43" s="35">
        <v>6.05</v>
      </c>
      <c r="Y43" s="35">
        <v>2</v>
      </c>
      <c r="Z43" s="35">
        <v>0.6</v>
      </c>
      <c r="AA43" s="35"/>
      <c r="AB43" s="35">
        <v>13</v>
      </c>
      <c r="AC43" s="35">
        <v>3.2</v>
      </c>
      <c r="AD43" s="35">
        <v>0</v>
      </c>
      <c r="AE43" s="35">
        <v>0</v>
      </c>
      <c r="AF43" s="35"/>
      <c r="AG43" s="35">
        <v>8</v>
      </c>
      <c r="AH43" s="35">
        <v>2</v>
      </c>
      <c r="AI43" s="35">
        <v>3</v>
      </c>
      <c r="AJ43" s="35">
        <v>0.6</v>
      </c>
      <c r="AK43" s="35"/>
      <c r="AL43" s="35">
        <v>25</v>
      </c>
      <c r="AM43" s="35">
        <v>6.5</v>
      </c>
      <c r="AN43" s="35">
        <v>18</v>
      </c>
      <c r="AO43" s="35">
        <v>2.95</v>
      </c>
      <c r="AP43" s="35"/>
      <c r="AQ43" s="35">
        <v>10</v>
      </c>
      <c r="AR43" s="35">
        <v>1.7</v>
      </c>
      <c r="AS43" s="35">
        <v>14</v>
      </c>
      <c r="AT43" s="35">
        <v>2.4500000000000002</v>
      </c>
      <c r="AU43" s="35"/>
      <c r="AV43" s="35">
        <v>5</v>
      </c>
      <c r="AW43" s="35">
        <v>1.1000000000000001</v>
      </c>
      <c r="AX43" s="35">
        <v>5</v>
      </c>
      <c r="AY43" s="35">
        <v>0.8</v>
      </c>
      <c r="AZ43" s="35"/>
    </row>
    <row r="44" spans="1:52" x14ac:dyDescent="0.25">
      <c r="A44">
        <v>3</v>
      </c>
      <c r="B44" t="s">
        <v>46</v>
      </c>
      <c r="C44" s="35" t="s">
        <v>230</v>
      </c>
      <c r="D44" s="35" t="s">
        <v>230</v>
      </c>
      <c r="E44" s="35" t="s">
        <v>230</v>
      </c>
      <c r="F44" s="35" t="s">
        <v>230</v>
      </c>
      <c r="G44" s="35"/>
      <c r="H44" s="35">
        <v>10</v>
      </c>
      <c r="I44" s="35">
        <v>4.8</v>
      </c>
      <c r="J44" s="35">
        <v>14</v>
      </c>
      <c r="K44" s="35">
        <v>4</v>
      </c>
      <c r="L44" s="35"/>
      <c r="M44" s="35">
        <v>2</v>
      </c>
      <c r="N44" s="35">
        <v>0.95</v>
      </c>
      <c r="O44" s="35">
        <v>6</v>
      </c>
      <c r="P44" s="35">
        <v>2.0499999999999998</v>
      </c>
      <c r="Q44" s="35"/>
      <c r="R44" s="35">
        <v>2</v>
      </c>
      <c r="S44" s="35">
        <v>0.36</v>
      </c>
      <c r="T44" s="35">
        <v>6</v>
      </c>
      <c r="U44" s="35">
        <v>1.18</v>
      </c>
      <c r="V44" s="35"/>
      <c r="W44" s="35">
        <v>3</v>
      </c>
      <c r="X44" s="35">
        <v>1.4</v>
      </c>
      <c r="Y44" s="35">
        <v>9</v>
      </c>
      <c r="Z44" s="35">
        <v>2.4</v>
      </c>
      <c r="AA44" s="35"/>
      <c r="AB44" s="35">
        <v>0</v>
      </c>
      <c r="AC44" s="35">
        <v>0</v>
      </c>
      <c r="AD44" s="35">
        <v>1</v>
      </c>
      <c r="AE44" s="35">
        <v>0.25</v>
      </c>
      <c r="AF44" s="35"/>
      <c r="AG44" s="35">
        <v>3</v>
      </c>
      <c r="AH44" s="35">
        <v>1</v>
      </c>
      <c r="AI44" s="35">
        <v>2</v>
      </c>
      <c r="AJ44" s="35">
        <v>0.4</v>
      </c>
      <c r="AK44" s="35"/>
      <c r="AL44" s="35">
        <v>4</v>
      </c>
      <c r="AM44" s="35">
        <v>1.3</v>
      </c>
      <c r="AN44" s="35">
        <v>4</v>
      </c>
      <c r="AO44" s="35">
        <v>1</v>
      </c>
      <c r="AP44" s="35"/>
      <c r="AQ44" s="35">
        <v>2</v>
      </c>
      <c r="AR44" s="35">
        <v>0.9</v>
      </c>
      <c r="AS44" s="35">
        <v>0</v>
      </c>
      <c r="AT44" s="35">
        <v>0</v>
      </c>
      <c r="AU44" s="35"/>
      <c r="AV44" s="35">
        <v>1</v>
      </c>
      <c r="AW44" s="35">
        <v>0.35</v>
      </c>
      <c r="AX44" s="35">
        <v>2</v>
      </c>
      <c r="AY44" s="35">
        <v>0.5</v>
      </c>
      <c r="AZ44" s="35"/>
    </row>
    <row r="45" spans="1:52" x14ac:dyDescent="0.25">
      <c r="A45">
        <v>3</v>
      </c>
      <c r="B45" t="s">
        <v>47</v>
      </c>
      <c r="C45" s="35">
        <v>0</v>
      </c>
      <c r="D45" s="35">
        <v>0</v>
      </c>
      <c r="E45" s="35">
        <v>2</v>
      </c>
      <c r="F45" s="35">
        <v>0.95</v>
      </c>
      <c r="G45" s="35"/>
      <c r="H45" s="35">
        <v>4</v>
      </c>
      <c r="I45" s="35">
        <v>1.45</v>
      </c>
      <c r="J45" s="35">
        <v>12</v>
      </c>
      <c r="K45" s="35">
        <v>5.15</v>
      </c>
      <c r="L45" s="35"/>
      <c r="M45" s="35">
        <v>7</v>
      </c>
      <c r="N45" s="35">
        <v>2.95</v>
      </c>
      <c r="O45" s="35">
        <v>4</v>
      </c>
      <c r="P45" s="35">
        <v>1.8</v>
      </c>
      <c r="Q45" s="35"/>
      <c r="R45" s="35">
        <v>3</v>
      </c>
      <c r="S45" s="35">
        <v>0.68</v>
      </c>
      <c r="T45" s="35">
        <v>47</v>
      </c>
      <c r="U45" s="35">
        <v>7.66</v>
      </c>
      <c r="V45" s="35"/>
      <c r="W45" s="35">
        <v>3</v>
      </c>
      <c r="X45" s="35">
        <v>1.45</v>
      </c>
      <c r="Y45" s="35">
        <v>24</v>
      </c>
      <c r="Z45" s="35">
        <v>8.4499999999999993</v>
      </c>
      <c r="AA45" s="35"/>
      <c r="AB45" s="35">
        <v>12</v>
      </c>
      <c r="AC45" s="35">
        <v>4</v>
      </c>
      <c r="AD45" s="35">
        <v>18</v>
      </c>
      <c r="AE45" s="35">
        <v>6.15</v>
      </c>
      <c r="AF45" s="35"/>
      <c r="AG45" s="35">
        <v>3</v>
      </c>
      <c r="AH45" s="35">
        <v>1</v>
      </c>
      <c r="AI45" s="35">
        <v>6</v>
      </c>
      <c r="AJ45" s="35">
        <v>2.5</v>
      </c>
      <c r="AK45" s="35"/>
      <c r="AL45" s="35">
        <v>0</v>
      </c>
      <c r="AM45" s="35">
        <v>0</v>
      </c>
      <c r="AN45" s="35">
        <v>11</v>
      </c>
      <c r="AO45" s="35">
        <v>4.8499999999999996</v>
      </c>
      <c r="AP45" s="35"/>
      <c r="AQ45" s="35">
        <v>0</v>
      </c>
      <c r="AR45" s="35">
        <v>0</v>
      </c>
      <c r="AS45" s="35">
        <v>29</v>
      </c>
      <c r="AT45" s="35">
        <v>9.35</v>
      </c>
      <c r="AU45" s="35"/>
      <c r="AV45" s="35">
        <v>2</v>
      </c>
      <c r="AW45" s="35">
        <v>0.35</v>
      </c>
      <c r="AX45" s="35">
        <v>22</v>
      </c>
      <c r="AY45" s="35">
        <v>4.5</v>
      </c>
      <c r="AZ45" s="35"/>
    </row>
    <row r="46" spans="1:52" x14ac:dyDescent="0.25">
      <c r="A46">
        <v>3</v>
      </c>
      <c r="B46" t="s">
        <v>17</v>
      </c>
      <c r="C46" s="35" t="s">
        <v>230</v>
      </c>
      <c r="D46" s="35" t="s">
        <v>230</v>
      </c>
      <c r="E46" s="35" t="s">
        <v>230</v>
      </c>
      <c r="F46" s="35" t="s">
        <v>230</v>
      </c>
      <c r="G46" s="35"/>
      <c r="H46" s="35">
        <v>0</v>
      </c>
      <c r="I46" s="35">
        <v>0</v>
      </c>
      <c r="J46" s="35">
        <v>6</v>
      </c>
      <c r="K46" s="35">
        <v>1.4</v>
      </c>
      <c r="L46" s="35"/>
      <c r="M46" s="35">
        <v>2</v>
      </c>
      <c r="N46" s="35">
        <v>0.55000000000000004</v>
      </c>
      <c r="O46" s="35">
        <v>3</v>
      </c>
      <c r="P46" s="35">
        <v>0.65</v>
      </c>
      <c r="Q46" s="35"/>
      <c r="R46" s="35">
        <v>2</v>
      </c>
      <c r="S46" s="35">
        <v>0.24</v>
      </c>
      <c r="T46" s="35">
        <v>57</v>
      </c>
      <c r="U46" s="35">
        <v>4.18</v>
      </c>
      <c r="V46" s="35"/>
      <c r="W46" s="35">
        <v>0</v>
      </c>
      <c r="X46" s="35">
        <v>0</v>
      </c>
      <c r="Y46" s="35">
        <v>12</v>
      </c>
      <c r="Z46" s="35">
        <v>1.95</v>
      </c>
      <c r="AA46" s="35"/>
      <c r="AB46" s="35">
        <v>1</v>
      </c>
      <c r="AC46" s="35">
        <v>0.1</v>
      </c>
      <c r="AD46" s="35">
        <v>4</v>
      </c>
      <c r="AE46" s="35">
        <v>0.65</v>
      </c>
      <c r="AF46" s="35"/>
      <c r="AG46" s="35">
        <v>0</v>
      </c>
      <c r="AH46" s="35">
        <v>0</v>
      </c>
      <c r="AI46" s="35">
        <v>1</v>
      </c>
      <c r="AJ46" s="35">
        <v>0.15</v>
      </c>
      <c r="AK46" s="35"/>
      <c r="AL46" s="35">
        <v>0</v>
      </c>
      <c r="AM46" s="35">
        <v>0</v>
      </c>
      <c r="AN46" s="35">
        <v>2</v>
      </c>
      <c r="AO46" s="35">
        <v>0.3</v>
      </c>
      <c r="AP46" s="35"/>
      <c r="AQ46" s="35">
        <v>0</v>
      </c>
      <c r="AR46" s="35">
        <v>0</v>
      </c>
      <c r="AS46" s="35">
        <v>4</v>
      </c>
      <c r="AT46" s="35">
        <v>0.45</v>
      </c>
      <c r="AU46" s="35"/>
      <c r="AV46" s="35">
        <v>2</v>
      </c>
      <c r="AW46" s="35">
        <v>0.3</v>
      </c>
      <c r="AX46" s="35">
        <v>8</v>
      </c>
      <c r="AY46" s="35">
        <v>0.9</v>
      </c>
      <c r="AZ46" s="35"/>
    </row>
    <row r="47" spans="1:52" x14ac:dyDescent="0.25">
      <c r="A47">
        <v>3</v>
      </c>
      <c r="B47" t="s">
        <v>112</v>
      </c>
      <c r="C47" s="35" t="s">
        <v>230</v>
      </c>
      <c r="D47" s="35" t="s">
        <v>230</v>
      </c>
      <c r="E47" s="35" t="s">
        <v>230</v>
      </c>
      <c r="F47" s="35" t="s">
        <v>230</v>
      </c>
      <c r="G47" s="35"/>
      <c r="H47" s="35">
        <v>0</v>
      </c>
      <c r="I47" s="35">
        <v>0</v>
      </c>
      <c r="J47" s="35">
        <v>10</v>
      </c>
      <c r="K47" s="35">
        <v>6.5</v>
      </c>
      <c r="L47" s="35"/>
      <c r="M47" s="35">
        <v>10</v>
      </c>
      <c r="N47" s="35">
        <v>6.4</v>
      </c>
      <c r="O47" s="35">
        <v>6</v>
      </c>
      <c r="P47" s="35">
        <v>2.65</v>
      </c>
      <c r="Q47" s="35"/>
      <c r="R47" s="35">
        <v>17</v>
      </c>
      <c r="S47" s="35">
        <v>5.52</v>
      </c>
      <c r="T47" s="35">
        <v>25</v>
      </c>
      <c r="U47" s="35">
        <v>8.5</v>
      </c>
      <c r="V47" s="35"/>
      <c r="W47" s="35">
        <v>0</v>
      </c>
      <c r="X47" s="35">
        <v>0</v>
      </c>
      <c r="Y47" s="35">
        <v>1</v>
      </c>
      <c r="Z47" s="35">
        <v>0.95</v>
      </c>
      <c r="AA47" s="35"/>
      <c r="AB47" s="35">
        <v>0</v>
      </c>
      <c r="AC47" s="35">
        <v>0</v>
      </c>
      <c r="AD47" s="35">
        <v>0</v>
      </c>
      <c r="AE47" s="35">
        <v>0</v>
      </c>
      <c r="AF47" s="35"/>
      <c r="AG47" s="35">
        <v>1</v>
      </c>
      <c r="AH47" s="35">
        <v>0.55000000000000004</v>
      </c>
      <c r="AI47" s="35">
        <v>0</v>
      </c>
      <c r="AJ47" s="35">
        <v>0</v>
      </c>
      <c r="AK47" s="35"/>
      <c r="AL47" s="35">
        <v>2</v>
      </c>
      <c r="AM47" s="35">
        <v>0.85</v>
      </c>
      <c r="AN47" s="35">
        <v>1</v>
      </c>
      <c r="AO47" s="35">
        <v>0.65</v>
      </c>
      <c r="AP47" s="35"/>
      <c r="AQ47" s="35">
        <v>4</v>
      </c>
      <c r="AR47" s="35">
        <v>1.85</v>
      </c>
      <c r="AS47" s="35">
        <v>7</v>
      </c>
      <c r="AT47" s="35">
        <v>3.85</v>
      </c>
      <c r="AU47" s="35"/>
      <c r="AV47" s="35">
        <v>28</v>
      </c>
      <c r="AW47" s="35">
        <v>14.1</v>
      </c>
      <c r="AX47" s="35">
        <v>6</v>
      </c>
      <c r="AY47" s="35">
        <v>4.0999999999999996</v>
      </c>
      <c r="AZ47" s="35"/>
    </row>
    <row r="48" spans="1:52" x14ac:dyDescent="0.25">
      <c r="A48">
        <v>3</v>
      </c>
      <c r="B48" t="s">
        <v>22</v>
      </c>
      <c r="C48" s="35">
        <v>5</v>
      </c>
      <c r="D48" s="35">
        <v>4.7</v>
      </c>
      <c r="E48" s="35">
        <v>0</v>
      </c>
      <c r="F48" s="35">
        <v>0</v>
      </c>
      <c r="G48" s="35"/>
      <c r="H48" s="35">
        <v>8</v>
      </c>
      <c r="I48" s="35">
        <v>3.2</v>
      </c>
      <c r="J48" s="35">
        <v>12</v>
      </c>
      <c r="K48" s="35">
        <v>5.9</v>
      </c>
      <c r="L48" s="35"/>
      <c r="M48" s="35">
        <v>3</v>
      </c>
      <c r="N48" s="35">
        <v>1.25</v>
      </c>
      <c r="O48" s="35">
        <v>5</v>
      </c>
      <c r="P48" s="35">
        <v>2.0499999999999998</v>
      </c>
      <c r="Q48" s="35"/>
      <c r="R48" s="35">
        <v>17</v>
      </c>
      <c r="S48" s="35">
        <v>3.16</v>
      </c>
      <c r="T48" s="35">
        <v>7</v>
      </c>
      <c r="U48" s="35">
        <v>1.42</v>
      </c>
      <c r="V48" s="35"/>
      <c r="W48" s="35">
        <v>2</v>
      </c>
      <c r="X48" s="35">
        <v>1.05</v>
      </c>
      <c r="Y48" s="35">
        <v>1</v>
      </c>
      <c r="Z48" s="35">
        <v>0.55000000000000004</v>
      </c>
      <c r="AA48" s="35"/>
      <c r="AB48" s="35">
        <v>0</v>
      </c>
      <c r="AC48" s="35">
        <v>0</v>
      </c>
      <c r="AD48" s="35">
        <v>1</v>
      </c>
      <c r="AE48" s="35">
        <v>0.65</v>
      </c>
      <c r="AF48" s="35"/>
      <c r="AG48" s="35">
        <v>0</v>
      </c>
      <c r="AH48" s="35">
        <v>0</v>
      </c>
      <c r="AI48" s="35">
        <v>0</v>
      </c>
      <c r="AJ48" s="35">
        <v>0</v>
      </c>
      <c r="AK48" s="35"/>
      <c r="AL48" s="35">
        <v>0</v>
      </c>
      <c r="AM48" s="35">
        <v>0</v>
      </c>
      <c r="AN48" s="35">
        <v>0</v>
      </c>
      <c r="AO48" s="35">
        <v>0</v>
      </c>
      <c r="AP48" s="35"/>
      <c r="AQ48" s="35">
        <v>0</v>
      </c>
      <c r="AR48" s="35">
        <v>0</v>
      </c>
      <c r="AS48" s="35">
        <v>4</v>
      </c>
      <c r="AT48" s="35">
        <v>1.55</v>
      </c>
      <c r="AU48" s="35"/>
      <c r="AV48" s="35">
        <v>0</v>
      </c>
      <c r="AW48" s="35">
        <v>0</v>
      </c>
      <c r="AX48" s="35">
        <v>1</v>
      </c>
      <c r="AY48" s="35">
        <v>0.5</v>
      </c>
      <c r="AZ48" s="35"/>
    </row>
    <row r="49" spans="1:52" x14ac:dyDescent="0.25">
      <c r="A49">
        <v>3</v>
      </c>
      <c r="B49" t="s">
        <v>23</v>
      </c>
      <c r="C49" s="37">
        <v>24</v>
      </c>
      <c r="D49" s="37">
        <v>1.89</v>
      </c>
      <c r="E49" s="37">
        <v>1</v>
      </c>
      <c r="F49" s="37">
        <v>0.08</v>
      </c>
      <c r="G49" s="35"/>
      <c r="H49" s="37">
        <v>61</v>
      </c>
      <c r="I49" s="37">
        <v>4.74</v>
      </c>
      <c r="J49" s="37">
        <v>14</v>
      </c>
      <c r="K49" s="37">
        <v>0.81</v>
      </c>
      <c r="L49" s="35"/>
      <c r="M49" s="37">
        <v>58</v>
      </c>
      <c r="N49" s="37">
        <v>2.83</v>
      </c>
      <c r="O49" s="37">
        <v>5</v>
      </c>
      <c r="P49" s="37">
        <v>0.22</v>
      </c>
      <c r="Q49" s="35"/>
      <c r="R49" s="37" t="s">
        <v>230</v>
      </c>
      <c r="S49" s="37">
        <v>5.75</v>
      </c>
      <c r="T49" s="37" t="s">
        <v>230</v>
      </c>
      <c r="U49" s="37">
        <v>0.48</v>
      </c>
      <c r="V49" s="35"/>
      <c r="W49" s="37" t="s">
        <v>230</v>
      </c>
      <c r="X49" s="37">
        <v>1.1100000000000001</v>
      </c>
      <c r="Y49" s="37" t="s">
        <v>230</v>
      </c>
      <c r="Z49" s="37">
        <v>0.89</v>
      </c>
      <c r="AA49" s="35"/>
      <c r="AB49" s="37" t="s">
        <v>230</v>
      </c>
      <c r="AC49" s="37">
        <v>4.25</v>
      </c>
      <c r="AD49" s="37" t="s">
        <v>230</v>
      </c>
      <c r="AE49" s="37">
        <v>2.78</v>
      </c>
      <c r="AF49" s="35"/>
      <c r="AG49" s="37" t="s">
        <v>230</v>
      </c>
      <c r="AH49" s="37">
        <v>1.81</v>
      </c>
      <c r="AI49" s="37" t="s">
        <v>230</v>
      </c>
      <c r="AJ49" s="37">
        <v>1.1200000000000001</v>
      </c>
      <c r="AK49" s="35"/>
      <c r="AL49" s="37" t="s">
        <v>230</v>
      </c>
      <c r="AM49" s="37">
        <v>1.51</v>
      </c>
      <c r="AN49" s="37" t="s">
        <v>230</v>
      </c>
      <c r="AO49" s="37">
        <v>0.41</v>
      </c>
      <c r="AP49" s="35"/>
      <c r="AQ49" s="37" t="s">
        <v>230</v>
      </c>
      <c r="AR49" s="37">
        <v>1.07</v>
      </c>
      <c r="AS49" s="37" t="s">
        <v>230</v>
      </c>
      <c r="AT49" s="37">
        <v>0.42</v>
      </c>
      <c r="AU49" s="35"/>
      <c r="AV49" s="37" t="s">
        <v>230</v>
      </c>
      <c r="AW49" s="37">
        <v>3.21</v>
      </c>
      <c r="AX49" s="37" t="s">
        <v>230</v>
      </c>
      <c r="AY49" s="37">
        <v>1</v>
      </c>
      <c r="AZ49" s="35"/>
    </row>
    <row r="50" spans="1:52" x14ac:dyDescent="0.25">
      <c r="A50">
        <v>3</v>
      </c>
      <c r="B50" t="s">
        <v>24</v>
      </c>
      <c r="C50" s="35" t="s">
        <v>230</v>
      </c>
      <c r="D50" s="35" t="s">
        <v>230</v>
      </c>
      <c r="E50" s="35" t="s">
        <v>230</v>
      </c>
      <c r="F50" s="35" t="s">
        <v>230</v>
      </c>
      <c r="G50" s="35"/>
      <c r="H50" s="35">
        <v>0</v>
      </c>
      <c r="I50" s="35">
        <v>0</v>
      </c>
      <c r="J50" s="35">
        <v>6</v>
      </c>
      <c r="K50" s="35">
        <v>5.15</v>
      </c>
      <c r="L50" s="35"/>
      <c r="M50" s="35">
        <v>5</v>
      </c>
      <c r="N50" s="35">
        <v>2.65</v>
      </c>
      <c r="O50" s="35">
        <v>12</v>
      </c>
      <c r="P50" s="35">
        <v>8.9499999999999993</v>
      </c>
      <c r="Q50" s="35"/>
      <c r="R50" s="35">
        <v>13</v>
      </c>
      <c r="S50" s="35">
        <v>5</v>
      </c>
      <c r="T50" s="35">
        <v>13</v>
      </c>
      <c r="U50" s="35">
        <v>4.62</v>
      </c>
      <c r="V50" s="35"/>
      <c r="W50" s="35">
        <v>0</v>
      </c>
      <c r="X50" s="35">
        <v>0</v>
      </c>
      <c r="Y50" s="35">
        <v>5</v>
      </c>
      <c r="Z50" s="35">
        <v>4.3499999999999996</v>
      </c>
      <c r="AA50" s="35"/>
      <c r="AB50" s="35">
        <v>0</v>
      </c>
      <c r="AC50" s="35">
        <v>0</v>
      </c>
      <c r="AD50" s="35">
        <v>2</v>
      </c>
      <c r="AE50" s="35">
        <v>1.7</v>
      </c>
      <c r="AF50" s="35"/>
      <c r="AG50" s="35">
        <v>1</v>
      </c>
      <c r="AH50" s="35">
        <v>0.55000000000000004</v>
      </c>
      <c r="AI50" s="35">
        <v>2</v>
      </c>
      <c r="AJ50" s="35">
        <v>0.8</v>
      </c>
      <c r="AK50" s="35"/>
      <c r="AL50" s="35">
        <v>0</v>
      </c>
      <c r="AM50" s="35">
        <v>0</v>
      </c>
      <c r="AN50" s="35">
        <v>2</v>
      </c>
      <c r="AO50" s="35">
        <v>1.25</v>
      </c>
      <c r="AP50" s="35"/>
      <c r="AQ50" s="35">
        <v>1</v>
      </c>
      <c r="AR50" s="35">
        <v>0.5</v>
      </c>
      <c r="AS50" s="35">
        <v>5</v>
      </c>
      <c r="AT50" s="35">
        <v>2.25</v>
      </c>
      <c r="AU50" s="35"/>
      <c r="AV50" s="35">
        <v>1</v>
      </c>
      <c r="AW50" s="35">
        <v>0.55000000000000004</v>
      </c>
      <c r="AX50" s="35">
        <v>19</v>
      </c>
      <c r="AY50" s="35">
        <v>10.6</v>
      </c>
      <c r="AZ50" s="35"/>
    </row>
    <row r="51" spans="1:52" x14ac:dyDescent="0.25">
      <c r="A51">
        <v>3</v>
      </c>
      <c r="B51" t="s">
        <v>25</v>
      </c>
      <c r="C51" s="35" t="s">
        <v>230</v>
      </c>
      <c r="D51" s="35" t="s">
        <v>230</v>
      </c>
      <c r="E51" s="35" t="s">
        <v>230</v>
      </c>
      <c r="F51" s="35" t="s">
        <v>230</v>
      </c>
      <c r="G51" s="35"/>
      <c r="H51" s="35" t="s">
        <v>230</v>
      </c>
      <c r="I51" s="35" t="s">
        <v>230</v>
      </c>
      <c r="J51" s="35" t="s">
        <v>230</v>
      </c>
      <c r="K51" s="35" t="s">
        <v>230</v>
      </c>
      <c r="L51" s="35"/>
      <c r="M51" s="35">
        <v>0</v>
      </c>
      <c r="N51" s="35">
        <v>0</v>
      </c>
      <c r="O51" s="35">
        <v>13</v>
      </c>
      <c r="P51" s="35">
        <v>9.3000000000000007</v>
      </c>
      <c r="Q51" s="35"/>
      <c r="R51" s="35">
        <v>0</v>
      </c>
      <c r="S51" s="35">
        <v>0</v>
      </c>
      <c r="T51" s="35">
        <v>12</v>
      </c>
      <c r="U51" s="35">
        <v>3.72</v>
      </c>
      <c r="V51" s="35"/>
      <c r="W51" s="35">
        <v>1</v>
      </c>
      <c r="X51" s="35">
        <v>0.6</v>
      </c>
      <c r="Y51" s="35">
        <v>2</v>
      </c>
      <c r="Z51" s="35">
        <v>1.5</v>
      </c>
      <c r="AA51" s="35"/>
      <c r="AB51" s="35">
        <v>0</v>
      </c>
      <c r="AC51" s="35">
        <v>0</v>
      </c>
      <c r="AD51" s="35">
        <v>2</v>
      </c>
      <c r="AE51" s="35">
        <v>1.95</v>
      </c>
      <c r="AF51" s="35"/>
      <c r="AG51" s="35">
        <v>0</v>
      </c>
      <c r="AH51" s="35">
        <v>0</v>
      </c>
      <c r="AI51" s="35">
        <v>0</v>
      </c>
      <c r="AJ51" s="35">
        <v>0</v>
      </c>
      <c r="AK51" s="35"/>
      <c r="AL51" s="35">
        <v>0</v>
      </c>
      <c r="AM51" s="35">
        <v>0</v>
      </c>
      <c r="AN51" s="35">
        <v>0</v>
      </c>
      <c r="AO51" s="35">
        <v>0</v>
      </c>
      <c r="AP51" s="35"/>
      <c r="AQ51" s="35">
        <v>0</v>
      </c>
      <c r="AR51" s="35">
        <v>0</v>
      </c>
      <c r="AS51" s="35">
        <v>9</v>
      </c>
      <c r="AT51" s="35">
        <v>3.65</v>
      </c>
      <c r="AU51" s="35"/>
      <c r="AV51" s="35">
        <v>0</v>
      </c>
      <c r="AW51" s="35">
        <v>0</v>
      </c>
      <c r="AX51" s="35">
        <v>17</v>
      </c>
      <c r="AY51" s="35">
        <v>12.2</v>
      </c>
      <c r="AZ51" s="35"/>
    </row>
    <row r="52" spans="1:52" x14ac:dyDescent="0.25">
      <c r="A52">
        <v>3</v>
      </c>
      <c r="B52" t="s">
        <v>26</v>
      </c>
      <c r="C52" s="35" t="s">
        <v>230</v>
      </c>
      <c r="D52" s="35" t="s">
        <v>230</v>
      </c>
      <c r="E52" s="35" t="s">
        <v>230</v>
      </c>
      <c r="F52" s="35" t="s">
        <v>230</v>
      </c>
      <c r="G52" s="35"/>
      <c r="H52" s="35">
        <v>0</v>
      </c>
      <c r="I52" s="35">
        <v>0</v>
      </c>
      <c r="J52" s="35">
        <v>6</v>
      </c>
      <c r="K52" s="35">
        <v>6.45</v>
      </c>
      <c r="L52" s="35"/>
      <c r="M52" s="35">
        <v>2</v>
      </c>
      <c r="N52" s="35">
        <v>1.1499999999999999</v>
      </c>
      <c r="O52" s="35">
        <v>0</v>
      </c>
      <c r="P52" s="35">
        <v>0</v>
      </c>
      <c r="Q52" s="35"/>
      <c r="R52" s="35">
        <v>2</v>
      </c>
      <c r="S52" s="35">
        <v>0.62</v>
      </c>
      <c r="T52" s="35">
        <v>16</v>
      </c>
      <c r="U52" s="35">
        <v>3.64</v>
      </c>
      <c r="V52" s="35"/>
      <c r="W52" s="35">
        <v>2</v>
      </c>
      <c r="X52" s="35">
        <v>1.25</v>
      </c>
      <c r="Y52" s="35">
        <v>9</v>
      </c>
      <c r="Z52" s="35">
        <v>2.8</v>
      </c>
      <c r="AA52" s="35"/>
      <c r="AB52" s="35">
        <v>1</v>
      </c>
      <c r="AC52" s="35">
        <v>0.25</v>
      </c>
      <c r="AD52" s="35">
        <v>5</v>
      </c>
      <c r="AE52" s="35">
        <v>2</v>
      </c>
      <c r="AF52" s="35"/>
      <c r="AG52" s="35">
        <v>0</v>
      </c>
      <c r="AH52" s="35">
        <v>0</v>
      </c>
      <c r="AI52" s="35">
        <v>2</v>
      </c>
      <c r="AJ52" s="35">
        <v>0.9</v>
      </c>
      <c r="AK52" s="35"/>
      <c r="AL52" s="35">
        <v>0</v>
      </c>
      <c r="AM52" s="35">
        <v>0</v>
      </c>
      <c r="AN52" s="35">
        <v>5</v>
      </c>
      <c r="AO52" s="35">
        <v>1.9</v>
      </c>
      <c r="AP52" s="35"/>
      <c r="AQ52" s="35">
        <v>4</v>
      </c>
      <c r="AR52" s="35">
        <v>1.45</v>
      </c>
      <c r="AS52" s="35">
        <v>3</v>
      </c>
      <c r="AT52" s="35">
        <v>0.9</v>
      </c>
      <c r="AU52" s="35"/>
      <c r="AV52" s="35">
        <v>4</v>
      </c>
      <c r="AW52" s="35">
        <v>1.3</v>
      </c>
      <c r="AX52" s="35">
        <v>17</v>
      </c>
      <c r="AY52" s="35">
        <v>5.4</v>
      </c>
      <c r="AZ52" s="35"/>
    </row>
    <row r="53" spans="1:52" x14ac:dyDescent="0.25">
      <c r="A53">
        <v>3</v>
      </c>
      <c r="B53" t="s">
        <v>27</v>
      </c>
      <c r="C53" s="35" t="s">
        <v>230</v>
      </c>
      <c r="D53" s="35" t="s">
        <v>230</v>
      </c>
      <c r="E53" s="35" t="s">
        <v>230</v>
      </c>
      <c r="F53" s="35" t="s">
        <v>230</v>
      </c>
      <c r="G53" s="35"/>
      <c r="H53" s="35">
        <v>0</v>
      </c>
      <c r="I53" s="35">
        <v>0</v>
      </c>
      <c r="J53" s="35">
        <v>1</v>
      </c>
      <c r="K53" s="35">
        <v>1.2</v>
      </c>
      <c r="L53" s="35"/>
      <c r="M53" s="35">
        <v>2</v>
      </c>
      <c r="N53" s="35">
        <v>1</v>
      </c>
      <c r="O53" s="35">
        <v>4</v>
      </c>
      <c r="P53" s="35">
        <v>3.5</v>
      </c>
      <c r="Q53" s="35"/>
      <c r="R53" s="35">
        <v>0</v>
      </c>
      <c r="S53" s="35">
        <v>0</v>
      </c>
      <c r="T53" s="35">
        <v>38</v>
      </c>
      <c r="U53" s="35">
        <v>9.52</v>
      </c>
      <c r="V53" s="35"/>
      <c r="W53" s="35">
        <v>3</v>
      </c>
      <c r="X53" s="35">
        <v>1.8</v>
      </c>
      <c r="Y53" s="35">
        <v>11</v>
      </c>
      <c r="Z53" s="35">
        <v>5.75</v>
      </c>
      <c r="AA53" s="35"/>
      <c r="AB53" s="35">
        <v>0</v>
      </c>
      <c r="AC53" s="35">
        <v>0</v>
      </c>
      <c r="AD53" s="35">
        <v>8</v>
      </c>
      <c r="AE53" s="35">
        <v>4.45</v>
      </c>
      <c r="AF53" s="35"/>
      <c r="AG53" s="35">
        <v>1</v>
      </c>
      <c r="AH53" s="35">
        <v>0.55000000000000004</v>
      </c>
      <c r="AI53" s="35">
        <v>0</v>
      </c>
      <c r="AJ53" s="35">
        <v>0</v>
      </c>
      <c r="AK53" s="35"/>
      <c r="AL53" s="35">
        <v>0</v>
      </c>
      <c r="AM53" s="35">
        <v>0</v>
      </c>
      <c r="AN53" s="35">
        <v>0</v>
      </c>
      <c r="AO53" s="35">
        <v>0</v>
      </c>
      <c r="AP53" s="35"/>
      <c r="AQ53" s="35">
        <v>0</v>
      </c>
      <c r="AR53" s="35">
        <v>0</v>
      </c>
      <c r="AS53" s="35">
        <v>1</v>
      </c>
      <c r="AT53" s="35">
        <v>0.75</v>
      </c>
      <c r="AU53" s="35"/>
      <c r="AV53" s="35">
        <v>1</v>
      </c>
      <c r="AW53" s="35">
        <v>0.45</v>
      </c>
      <c r="AX53" s="35">
        <v>11</v>
      </c>
      <c r="AY53" s="35">
        <v>5.95</v>
      </c>
      <c r="AZ53" s="35"/>
    </row>
    <row r="54" spans="1:52" x14ac:dyDescent="0.25">
      <c r="A54">
        <v>3</v>
      </c>
      <c r="B54" t="s">
        <v>40</v>
      </c>
      <c r="C54" s="35">
        <v>0</v>
      </c>
      <c r="D54" s="35">
        <v>0</v>
      </c>
      <c r="E54" s="35">
        <v>3</v>
      </c>
      <c r="F54" s="35">
        <v>0.95</v>
      </c>
      <c r="G54" s="35"/>
      <c r="H54" s="35">
        <v>4</v>
      </c>
      <c r="I54" s="35">
        <v>1.45</v>
      </c>
      <c r="J54" s="35">
        <v>12</v>
      </c>
      <c r="K54" s="35">
        <v>5.25</v>
      </c>
      <c r="L54" s="35"/>
      <c r="M54" s="35">
        <v>7</v>
      </c>
      <c r="N54" s="35">
        <v>2.95</v>
      </c>
      <c r="O54" s="35">
        <v>4</v>
      </c>
      <c r="P54" s="35">
        <v>1.8</v>
      </c>
      <c r="Q54" s="35"/>
      <c r="R54" s="35">
        <v>0</v>
      </c>
      <c r="S54" s="35">
        <v>0</v>
      </c>
      <c r="T54" s="35">
        <v>33</v>
      </c>
      <c r="U54" s="35">
        <v>6.54</v>
      </c>
      <c r="V54" s="35"/>
      <c r="W54" s="35">
        <v>0</v>
      </c>
      <c r="X54" s="35">
        <v>0</v>
      </c>
      <c r="Y54" s="35">
        <v>11</v>
      </c>
      <c r="Z54" s="35">
        <v>3.45</v>
      </c>
      <c r="AA54" s="35"/>
      <c r="AB54" s="35">
        <v>2</v>
      </c>
      <c r="AC54" s="35">
        <v>0.35</v>
      </c>
      <c r="AD54" s="35">
        <v>10</v>
      </c>
      <c r="AE54" s="35">
        <v>3.55</v>
      </c>
      <c r="AF54" s="35"/>
      <c r="AG54" s="35">
        <v>4</v>
      </c>
      <c r="AH54" s="35">
        <v>1.35</v>
      </c>
      <c r="AI54" s="35">
        <v>7</v>
      </c>
      <c r="AJ54" s="35">
        <v>1.3</v>
      </c>
      <c r="AK54" s="35"/>
      <c r="AL54" s="35">
        <v>9</v>
      </c>
      <c r="AM54" s="35">
        <v>2.4</v>
      </c>
      <c r="AN54" s="35">
        <v>24</v>
      </c>
      <c r="AO54" s="35">
        <v>5.8</v>
      </c>
      <c r="AP54" s="35"/>
      <c r="AQ54" s="35">
        <v>3</v>
      </c>
      <c r="AR54" s="35">
        <v>0.8</v>
      </c>
      <c r="AS54" s="35">
        <v>20</v>
      </c>
      <c r="AT54" s="35">
        <v>4.5999999999999996</v>
      </c>
      <c r="AU54" s="35"/>
      <c r="AV54" s="35">
        <v>11</v>
      </c>
      <c r="AW54" s="35">
        <v>3.8</v>
      </c>
      <c r="AX54" s="35">
        <v>19</v>
      </c>
      <c r="AY54" s="35">
        <v>5.7</v>
      </c>
      <c r="AZ54" s="35"/>
    </row>
    <row r="55" spans="1:52" x14ac:dyDescent="0.25">
      <c r="A55">
        <v>3</v>
      </c>
      <c r="B55" t="s">
        <v>44</v>
      </c>
      <c r="C55" s="35">
        <v>4</v>
      </c>
      <c r="D55" s="35">
        <v>2.1</v>
      </c>
      <c r="E55" s="35">
        <v>1</v>
      </c>
      <c r="F55" s="35">
        <v>0.65</v>
      </c>
      <c r="G55" s="35"/>
      <c r="H55" s="35">
        <v>19</v>
      </c>
      <c r="I55" s="35">
        <v>7.05</v>
      </c>
      <c r="J55" s="35">
        <v>8</v>
      </c>
      <c r="K55" s="35">
        <v>3.05</v>
      </c>
      <c r="L55" s="35"/>
      <c r="M55" s="35">
        <v>14</v>
      </c>
      <c r="N55" s="35">
        <v>3.8</v>
      </c>
      <c r="O55" s="35">
        <v>1</v>
      </c>
      <c r="P55" s="35">
        <v>0.2</v>
      </c>
      <c r="Q55" s="35"/>
      <c r="R55" s="35">
        <v>33</v>
      </c>
      <c r="S55" s="35">
        <v>4.4000000000000004</v>
      </c>
      <c r="T55" s="35">
        <v>30</v>
      </c>
      <c r="U55" s="35">
        <v>3.5</v>
      </c>
      <c r="V55" s="35"/>
      <c r="W55" s="35">
        <v>10</v>
      </c>
      <c r="X55" s="35">
        <v>3.65</v>
      </c>
      <c r="Y55" s="35">
        <v>8</v>
      </c>
      <c r="Z55" s="35">
        <v>2.5499999999999998</v>
      </c>
      <c r="AA55" s="35"/>
      <c r="AB55" s="35">
        <v>3</v>
      </c>
      <c r="AC55" s="35">
        <v>1.1000000000000001</v>
      </c>
      <c r="AD55" s="35">
        <v>0</v>
      </c>
      <c r="AE55" s="35">
        <v>0</v>
      </c>
      <c r="AF55" s="35"/>
      <c r="AG55" s="35">
        <v>2</v>
      </c>
      <c r="AH55" s="35">
        <v>0.7</v>
      </c>
      <c r="AI55" s="35">
        <v>4</v>
      </c>
      <c r="AJ55" s="35">
        <v>0.7</v>
      </c>
      <c r="AK55" s="35"/>
      <c r="AL55" s="35">
        <v>14</v>
      </c>
      <c r="AM55" s="35">
        <v>4.5</v>
      </c>
      <c r="AN55" s="35">
        <v>16</v>
      </c>
      <c r="AO55" s="35">
        <v>3.75</v>
      </c>
      <c r="AP55" s="35"/>
      <c r="AQ55" s="35">
        <v>11</v>
      </c>
      <c r="AR55" s="35">
        <v>2.8</v>
      </c>
      <c r="AS55" s="35">
        <v>10</v>
      </c>
      <c r="AT55" s="35">
        <v>2.15</v>
      </c>
      <c r="AU55" s="35"/>
      <c r="AV55" s="35">
        <v>11</v>
      </c>
      <c r="AW55" s="35">
        <v>2.75</v>
      </c>
      <c r="AX55" s="35">
        <v>13</v>
      </c>
      <c r="AY55" s="35">
        <v>2.85</v>
      </c>
      <c r="AZ55" s="35"/>
    </row>
    <row r="56" spans="1:52" x14ac:dyDescent="0.25"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  <c r="AY56" s="35"/>
      <c r="AZ56" s="35"/>
    </row>
    <row r="57" spans="1:52" x14ac:dyDescent="0.25">
      <c r="A57">
        <v>4</v>
      </c>
      <c r="B57" t="s">
        <v>69</v>
      </c>
      <c r="C57" s="35">
        <v>0</v>
      </c>
      <c r="D57" s="35">
        <v>0</v>
      </c>
      <c r="E57" s="35">
        <v>3</v>
      </c>
      <c r="F57" s="35">
        <v>3.45</v>
      </c>
      <c r="G57" s="35"/>
      <c r="H57" s="35">
        <v>0</v>
      </c>
      <c r="I57" s="35">
        <v>0</v>
      </c>
      <c r="J57" s="35">
        <v>15</v>
      </c>
      <c r="K57" s="35">
        <v>11.25</v>
      </c>
      <c r="L57" s="35"/>
      <c r="M57" s="35">
        <v>1</v>
      </c>
      <c r="N57" s="35">
        <v>0.6</v>
      </c>
      <c r="O57" s="35">
        <v>6</v>
      </c>
      <c r="P57" s="35">
        <v>4.9000000000000004</v>
      </c>
      <c r="Q57" s="35"/>
      <c r="R57" s="35">
        <v>7</v>
      </c>
      <c r="S57" s="35">
        <v>2.8</v>
      </c>
      <c r="T57" s="35">
        <v>10</v>
      </c>
      <c r="U57" s="35">
        <v>4.16</v>
      </c>
      <c r="V57" s="35"/>
      <c r="W57" s="35">
        <v>1</v>
      </c>
      <c r="X57" s="35">
        <v>0.7</v>
      </c>
      <c r="Y57" s="35">
        <v>1</v>
      </c>
      <c r="Z57" s="35">
        <v>0.85</v>
      </c>
      <c r="AA57" s="35"/>
      <c r="AB57" s="35">
        <v>2</v>
      </c>
      <c r="AC57" s="35">
        <v>1.9</v>
      </c>
      <c r="AD57" s="35">
        <v>6</v>
      </c>
      <c r="AE57" s="35">
        <v>5.15</v>
      </c>
      <c r="AF57" s="35"/>
      <c r="AG57" s="35">
        <v>4</v>
      </c>
      <c r="AH57" s="35">
        <v>2.4500000000000002</v>
      </c>
      <c r="AI57" s="35">
        <v>3</v>
      </c>
      <c r="AJ57" s="35">
        <v>1.35</v>
      </c>
      <c r="AK57" s="35"/>
      <c r="AL57" s="35">
        <v>4</v>
      </c>
      <c r="AM57" s="35">
        <v>2.25</v>
      </c>
      <c r="AN57" s="35">
        <v>16</v>
      </c>
      <c r="AO57" s="35">
        <v>6.6</v>
      </c>
      <c r="AP57" s="35"/>
      <c r="AQ57" s="35">
        <v>3</v>
      </c>
      <c r="AR57" s="35">
        <v>1.65</v>
      </c>
      <c r="AS57" s="35">
        <v>19</v>
      </c>
      <c r="AT57" s="35">
        <v>8.6999999999999993</v>
      </c>
      <c r="AU57" s="35"/>
      <c r="AV57" s="35">
        <v>2</v>
      </c>
      <c r="AW57" s="35">
        <v>0.5</v>
      </c>
      <c r="AX57" s="35">
        <v>15</v>
      </c>
      <c r="AY57" s="35">
        <v>6.1</v>
      </c>
      <c r="AZ57" s="35"/>
    </row>
    <row r="58" spans="1:52" x14ac:dyDescent="0.25">
      <c r="A58">
        <v>4</v>
      </c>
      <c r="B58" t="s">
        <v>70</v>
      </c>
      <c r="C58" s="35" t="s">
        <v>230</v>
      </c>
      <c r="D58" s="35" t="s">
        <v>230</v>
      </c>
      <c r="E58" s="35" t="s">
        <v>230</v>
      </c>
      <c r="F58" s="35" t="s">
        <v>230</v>
      </c>
      <c r="G58" s="35"/>
      <c r="H58" s="35">
        <v>0</v>
      </c>
      <c r="I58" s="35">
        <v>0</v>
      </c>
      <c r="J58" s="35">
        <v>3</v>
      </c>
      <c r="K58" s="35">
        <v>3.8</v>
      </c>
      <c r="L58" s="35"/>
      <c r="M58" s="35">
        <v>2</v>
      </c>
      <c r="N58" s="35">
        <v>1.3</v>
      </c>
      <c r="O58" s="35">
        <v>5</v>
      </c>
      <c r="P58" s="35">
        <v>6.2</v>
      </c>
      <c r="Q58" s="35"/>
      <c r="R58" s="35">
        <v>10</v>
      </c>
      <c r="S58" s="35">
        <v>3.94</v>
      </c>
      <c r="T58" s="35">
        <v>8</v>
      </c>
      <c r="U58" s="35">
        <v>3.84</v>
      </c>
      <c r="V58" s="35"/>
      <c r="W58" s="35">
        <v>3</v>
      </c>
      <c r="X58" s="35">
        <v>2.4</v>
      </c>
      <c r="Y58" s="35">
        <v>4</v>
      </c>
      <c r="Z58" s="35">
        <v>5.2</v>
      </c>
      <c r="AA58" s="35"/>
      <c r="AB58" s="35">
        <v>0</v>
      </c>
      <c r="AC58" s="35">
        <v>0</v>
      </c>
      <c r="AD58" s="35">
        <v>2</v>
      </c>
      <c r="AE58" s="35">
        <v>3.15</v>
      </c>
      <c r="AF58" s="35"/>
      <c r="AG58" s="35">
        <v>0</v>
      </c>
      <c r="AH58" s="35">
        <v>0</v>
      </c>
      <c r="AI58" s="35">
        <v>0</v>
      </c>
      <c r="AJ58" s="35">
        <v>0</v>
      </c>
      <c r="AK58" s="35"/>
      <c r="AL58" s="35">
        <v>0</v>
      </c>
      <c r="AM58" s="35">
        <v>0</v>
      </c>
      <c r="AN58" s="35">
        <v>4</v>
      </c>
      <c r="AO58" s="35">
        <v>1.8</v>
      </c>
      <c r="AP58" s="35"/>
      <c r="AQ58" s="35">
        <v>1</v>
      </c>
      <c r="AR58" s="35">
        <v>0.5</v>
      </c>
      <c r="AS58" s="35">
        <v>6</v>
      </c>
      <c r="AT58" s="35">
        <v>3.75</v>
      </c>
      <c r="AU58" s="35"/>
      <c r="AV58" s="35">
        <v>4</v>
      </c>
      <c r="AW58" s="35">
        <v>2.5499999999999998</v>
      </c>
      <c r="AX58" s="35">
        <v>16</v>
      </c>
      <c r="AY58" s="35">
        <v>10</v>
      </c>
      <c r="AZ58" s="35"/>
    </row>
    <row r="59" spans="1:52" x14ac:dyDescent="0.25">
      <c r="A59">
        <v>4</v>
      </c>
      <c r="B59" t="s">
        <v>66</v>
      </c>
      <c r="C59" s="35">
        <v>1</v>
      </c>
      <c r="D59" s="35">
        <v>0.5</v>
      </c>
      <c r="E59" s="35">
        <v>0</v>
      </c>
      <c r="F59" s="35">
        <v>0</v>
      </c>
      <c r="G59" s="35"/>
      <c r="H59" s="35">
        <v>2</v>
      </c>
      <c r="I59" s="35">
        <v>0.6</v>
      </c>
      <c r="J59" s="35">
        <v>11</v>
      </c>
      <c r="K59" s="35">
        <v>5.6</v>
      </c>
      <c r="L59" s="35"/>
      <c r="M59" s="35">
        <v>2</v>
      </c>
      <c r="N59" s="35">
        <v>1.05</v>
      </c>
      <c r="O59" s="35">
        <v>2</v>
      </c>
      <c r="P59" s="35">
        <v>1.1000000000000001</v>
      </c>
      <c r="Q59" s="35"/>
      <c r="R59" s="35">
        <v>15</v>
      </c>
      <c r="S59" s="35">
        <v>4.24</v>
      </c>
      <c r="T59" s="35">
        <v>17</v>
      </c>
      <c r="U59" s="35">
        <v>3.44</v>
      </c>
      <c r="V59" s="35"/>
      <c r="W59" s="35">
        <v>8</v>
      </c>
      <c r="X59" s="35">
        <v>3.95</v>
      </c>
      <c r="Y59" s="35">
        <v>3</v>
      </c>
      <c r="Z59" s="35">
        <v>0.65</v>
      </c>
      <c r="AA59" s="35"/>
      <c r="AB59" s="35">
        <v>1</v>
      </c>
      <c r="AC59" s="35">
        <v>0.95</v>
      </c>
      <c r="AD59" s="35">
        <v>1</v>
      </c>
      <c r="AE59" s="35">
        <v>0.4</v>
      </c>
      <c r="AF59" s="35"/>
      <c r="AG59" s="35">
        <v>0</v>
      </c>
      <c r="AH59" s="35">
        <v>0</v>
      </c>
      <c r="AI59" s="35">
        <v>2</v>
      </c>
      <c r="AJ59" s="35">
        <v>0.4</v>
      </c>
      <c r="AK59" s="35"/>
      <c r="AL59" s="35">
        <v>12</v>
      </c>
      <c r="AM59" s="35">
        <v>3.85</v>
      </c>
      <c r="AN59" s="35">
        <v>4</v>
      </c>
      <c r="AO59" s="35">
        <v>1.2</v>
      </c>
      <c r="AP59" s="35"/>
      <c r="AQ59" s="35">
        <v>20</v>
      </c>
      <c r="AR59" s="35">
        <v>7.45</v>
      </c>
      <c r="AS59" s="35">
        <v>23</v>
      </c>
      <c r="AT59" s="35">
        <v>7.25</v>
      </c>
      <c r="AU59" s="35"/>
      <c r="AV59" s="35">
        <v>3</v>
      </c>
      <c r="AW59" s="35">
        <v>1</v>
      </c>
      <c r="AX59" s="35">
        <v>3</v>
      </c>
      <c r="AY59" s="35">
        <v>0.75</v>
      </c>
      <c r="AZ59" s="35"/>
    </row>
    <row r="60" spans="1:52" x14ac:dyDescent="0.25">
      <c r="A60">
        <v>4</v>
      </c>
      <c r="B60" t="s">
        <v>53</v>
      </c>
      <c r="C60" s="35">
        <v>9</v>
      </c>
      <c r="D60" s="35">
        <v>5.35</v>
      </c>
      <c r="E60" s="35">
        <v>0</v>
      </c>
      <c r="F60" s="35">
        <v>0</v>
      </c>
      <c r="G60" s="35"/>
      <c r="H60" s="35">
        <v>6</v>
      </c>
      <c r="I60" s="35">
        <v>2.7</v>
      </c>
      <c r="J60" s="35">
        <v>13</v>
      </c>
      <c r="K60" s="35">
        <v>6</v>
      </c>
      <c r="L60" s="35"/>
      <c r="M60" s="35">
        <v>15</v>
      </c>
      <c r="N60" s="35">
        <v>6.8</v>
      </c>
      <c r="O60" s="35">
        <v>1</v>
      </c>
      <c r="P60" s="35">
        <v>0.7</v>
      </c>
      <c r="Q60" s="35"/>
      <c r="R60" s="35">
        <v>17</v>
      </c>
      <c r="S60" s="35">
        <v>3.88</v>
      </c>
      <c r="T60" s="35">
        <v>11</v>
      </c>
      <c r="U60" s="35">
        <v>1.8</v>
      </c>
      <c r="V60" s="35"/>
      <c r="W60" s="35">
        <v>6</v>
      </c>
      <c r="X60" s="35">
        <v>2.5</v>
      </c>
      <c r="Y60" s="35">
        <v>2</v>
      </c>
      <c r="Z60" s="35">
        <v>0.65</v>
      </c>
      <c r="AA60" s="35"/>
      <c r="AB60" s="35">
        <v>0</v>
      </c>
      <c r="AC60" s="35">
        <v>0</v>
      </c>
      <c r="AD60" s="35">
        <v>0</v>
      </c>
      <c r="AE60" s="35">
        <v>0</v>
      </c>
      <c r="AF60" s="35"/>
      <c r="AG60" s="35">
        <v>5</v>
      </c>
      <c r="AH60" s="35">
        <v>1.4</v>
      </c>
      <c r="AI60" s="35">
        <v>7</v>
      </c>
      <c r="AJ60" s="35">
        <v>1.5</v>
      </c>
      <c r="AK60" s="35"/>
      <c r="AL60" s="35">
        <v>12</v>
      </c>
      <c r="AM60" s="35">
        <v>3.55</v>
      </c>
      <c r="AN60" s="35">
        <v>16</v>
      </c>
      <c r="AO60" s="35">
        <v>4.75</v>
      </c>
      <c r="AP60" s="35"/>
      <c r="AQ60" s="35">
        <v>0</v>
      </c>
      <c r="AR60" s="35">
        <v>0</v>
      </c>
      <c r="AS60" s="35">
        <v>17</v>
      </c>
      <c r="AT60" s="35">
        <v>3.55</v>
      </c>
      <c r="AU60" s="35"/>
      <c r="AV60" s="35">
        <v>2</v>
      </c>
      <c r="AW60" s="35">
        <v>0.35</v>
      </c>
      <c r="AX60" s="35">
        <v>13</v>
      </c>
      <c r="AY60" s="35">
        <v>1.8</v>
      </c>
      <c r="AZ60" s="35"/>
    </row>
    <row r="61" spans="1:52" x14ac:dyDescent="0.25">
      <c r="A61">
        <v>4</v>
      </c>
      <c r="B61" t="s">
        <v>54</v>
      </c>
      <c r="C61" s="35">
        <v>0</v>
      </c>
      <c r="D61" s="35">
        <v>0</v>
      </c>
      <c r="E61" s="35">
        <v>3</v>
      </c>
      <c r="F61" s="35">
        <v>2.1</v>
      </c>
      <c r="G61" s="35"/>
      <c r="H61" s="35">
        <v>1</v>
      </c>
      <c r="I61" s="35">
        <v>0.85</v>
      </c>
      <c r="J61" s="35">
        <v>9</v>
      </c>
      <c r="K61" s="35">
        <v>6.15</v>
      </c>
      <c r="L61" s="35"/>
      <c r="M61" s="35">
        <v>2</v>
      </c>
      <c r="N61" s="35">
        <v>1.35</v>
      </c>
      <c r="O61" s="35">
        <v>11</v>
      </c>
      <c r="P61" s="35">
        <v>9.6</v>
      </c>
      <c r="Q61" s="35"/>
      <c r="R61" s="35">
        <v>12</v>
      </c>
      <c r="S61" s="35">
        <v>4.5199999999999996</v>
      </c>
      <c r="T61" s="35">
        <v>1</v>
      </c>
      <c r="U61" s="35">
        <v>0.22</v>
      </c>
      <c r="V61" s="35"/>
      <c r="W61" s="35">
        <v>1</v>
      </c>
      <c r="X61" s="35">
        <v>0.55000000000000004</v>
      </c>
      <c r="Y61" s="35">
        <v>3</v>
      </c>
      <c r="Z61" s="35">
        <v>2.15</v>
      </c>
      <c r="AA61" s="35"/>
      <c r="AB61" s="35">
        <v>2</v>
      </c>
      <c r="AC61" s="35">
        <v>1.5</v>
      </c>
      <c r="AD61" s="35">
        <v>0</v>
      </c>
      <c r="AE61" s="35">
        <v>0</v>
      </c>
      <c r="AF61" s="35"/>
      <c r="AG61" s="35">
        <v>2</v>
      </c>
      <c r="AH61" s="35">
        <v>0.8</v>
      </c>
      <c r="AI61" s="35">
        <v>0</v>
      </c>
      <c r="AJ61" s="35">
        <v>0</v>
      </c>
      <c r="AK61" s="35"/>
      <c r="AL61" s="35">
        <v>6</v>
      </c>
      <c r="AM61" s="35">
        <v>3</v>
      </c>
      <c r="AN61" s="35">
        <v>5</v>
      </c>
      <c r="AO61" s="35">
        <v>1.85</v>
      </c>
      <c r="AP61" s="35"/>
      <c r="AQ61" s="35">
        <v>28</v>
      </c>
      <c r="AR61" s="35">
        <v>12.1</v>
      </c>
      <c r="AS61" s="35">
        <v>19</v>
      </c>
      <c r="AT61" s="35">
        <v>7.05</v>
      </c>
      <c r="AU61" s="35"/>
      <c r="AV61" s="35">
        <v>2</v>
      </c>
      <c r="AW61" s="35">
        <v>0.75</v>
      </c>
      <c r="AX61" s="35">
        <v>10</v>
      </c>
      <c r="AY61" s="35">
        <v>3.45</v>
      </c>
      <c r="AZ61" s="35"/>
    </row>
    <row r="62" spans="1:52" x14ac:dyDescent="0.25">
      <c r="A62">
        <v>4</v>
      </c>
      <c r="B62" t="s">
        <v>55</v>
      </c>
      <c r="C62" s="35">
        <v>4</v>
      </c>
      <c r="D62" s="35">
        <v>6.6</v>
      </c>
      <c r="E62" s="35">
        <v>4</v>
      </c>
      <c r="F62" s="35">
        <v>3.15</v>
      </c>
      <c r="G62" s="35"/>
      <c r="H62" s="35">
        <v>4</v>
      </c>
      <c r="I62" s="35">
        <v>2.2000000000000002</v>
      </c>
      <c r="J62" s="35">
        <v>12</v>
      </c>
      <c r="K62" s="35">
        <v>6.5</v>
      </c>
      <c r="L62" s="35"/>
      <c r="M62" s="35">
        <v>4</v>
      </c>
      <c r="N62" s="35">
        <v>2.1</v>
      </c>
      <c r="O62" s="35">
        <v>2</v>
      </c>
      <c r="P62" s="35">
        <v>1.1499999999999999</v>
      </c>
      <c r="Q62" s="35"/>
      <c r="R62" s="35">
        <v>15</v>
      </c>
      <c r="S62" s="35">
        <v>4.9400000000000004</v>
      </c>
      <c r="T62" s="35">
        <v>11</v>
      </c>
      <c r="U62" s="35">
        <v>2.84</v>
      </c>
      <c r="V62" s="35"/>
      <c r="W62" s="35">
        <v>2</v>
      </c>
      <c r="X62" s="35">
        <v>1.4</v>
      </c>
      <c r="Y62" s="35">
        <v>8</v>
      </c>
      <c r="Z62" s="35">
        <v>4.6500000000000004</v>
      </c>
      <c r="AA62" s="35"/>
      <c r="AB62" s="35">
        <v>0</v>
      </c>
      <c r="AC62" s="35">
        <v>0</v>
      </c>
      <c r="AD62" s="35">
        <v>1</v>
      </c>
      <c r="AE62" s="35">
        <v>0.55000000000000004</v>
      </c>
      <c r="AF62" s="35"/>
      <c r="AG62" s="35">
        <v>1</v>
      </c>
      <c r="AH62" s="35">
        <v>0.55000000000000004</v>
      </c>
      <c r="AI62" s="35">
        <v>3</v>
      </c>
      <c r="AJ62" s="35">
        <v>0.6</v>
      </c>
      <c r="AK62" s="35"/>
      <c r="AL62" s="35">
        <v>3</v>
      </c>
      <c r="AM62" s="35">
        <v>1.8</v>
      </c>
      <c r="AN62" s="35">
        <v>4</v>
      </c>
      <c r="AO62" s="35">
        <v>0.6</v>
      </c>
      <c r="AP62" s="35"/>
      <c r="AQ62" s="35">
        <v>0</v>
      </c>
      <c r="AR62" s="35">
        <v>0</v>
      </c>
      <c r="AS62" s="35">
        <v>3</v>
      </c>
      <c r="AT62" s="35">
        <v>1.1000000000000001</v>
      </c>
      <c r="AU62" s="35"/>
      <c r="AV62" s="35">
        <v>3</v>
      </c>
      <c r="AW62" s="35">
        <v>1.1000000000000001</v>
      </c>
      <c r="AX62" s="35">
        <v>30</v>
      </c>
      <c r="AY62" s="35">
        <v>11.55</v>
      </c>
      <c r="AZ62" s="35"/>
    </row>
    <row r="63" spans="1:52" x14ac:dyDescent="0.25">
      <c r="A63">
        <v>4</v>
      </c>
      <c r="B63" t="s">
        <v>56</v>
      </c>
      <c r="C63" s="35">
        <v>0</v>
      </c>
      <c r="D63" s="35">
        <v>0</v>
      </c>
      <c r="E63" s="35">
        <v>1</v>
      </c>
      <c r="F63" s="35">
        <v>1.1000000000000001</v>
      </c>
      <c r="G63" s="35"/>
      <c r="H63" s="35">
        <v>2</v>
      </c>
      <c r="I63" s="35">
        <v>1.6</v>
      </c>
      <c r="J63" s="35">
        <v>12</v>
      </c>
      <c r="K63" s="35">
        <v>8.65</v>
      </c>
      <c r="L63" s="35"/>
      <c r="M63" s="35">
        <v>5</v>
      </c>
      <c r="N63" s="35">
        <v>4.25</v>
      </c>
      <c r="O63" s="35">
        <v>4</v>
      </c>
      <c r="P63" s="35">
        <v>1.96</v>
      </c>
      <c r="Q63" s="35"/>
      <c r="R63" s="35">
        <v>8</v>
      </c>
      <c r="S63" s="35">
        <v>1.9</v>
      </c>
      <c r="T63" s="35">
        <v>13</v>
      </c>
      <c r="U63" s="35">
        <v>2.9</v>
      </c>
      <c r="V63" s="35"/>
      <c r="W63" s="35">
        <v>1</v>
      </c>
      <c r="X63" s="35">
        <v>0.55000000000000004</v>
      </c>
      <c r="Y63" s="35">
        <v>1</v>
      </c>
      <c r="Z63" s="35">
        <v>0.2</v>
      </c>
      <c r="AA63" s="35"/>
      <c r="AB63" s="35">
        <v>3</v>
      </c>
      <c r="AC63" s="35">
        <v>0.95</v>
      </c>
      <c r="AD63" s="35">
        <v>0</v>
      </c>
      <c r="AE63" s="35">
        <v>0</v>
      </c>
      <c r="AF63" s="35"/>
      <c r="AG63" s="35">
        <v>6</v>
      </c>
      <c r="AH63" s="35">
        <v>2.65</v>
      </c>
      <c r="AI63" s="35">
        <v>0</v>
      </c>
      <c r="AJ63" s="35">
        <v>0</v>
      </c>
      <c r="AK63" s="35"/>
      <c r="AL63" s="35">
        <v>1</v>
      </c>
      <c r="AM63" s="35">
        <v>0.45</v>
      </c>
      <c r="AN63" s="35">
        <v>6</v>
      </c>
      <c r="AO63" s="35">
        <v>1.75</v>
      </c>
      <c r="AP63" s="35"/>
      <c r="AQ63" s="35">
        <v>20</v>
      </c>
      <c r="AR63" s="35">
        <v>7.75</v>
      </c>
      <c r="AS63" s="35">
        <v>20</v>
      </c>
      <c r="AT63" s="35">
        <v>5.75</v>
      </c>
      <c r="AU63" s="35"/>
      <c r="AV63" s="35">
        <v>3</v>
      </c>
      <c r="AW63" s="35">
        <v>0.85</v>
      </c>
      <c r="AX63" s="35">
        <v>6</v>
      </c>
      <c r="AY63" s="35">
        <v>1.55</v>
      </c>
      <c r="AZ63" s="35"/>
    </row>
    <row r="64" spans="1:52" x14ac:dyDescent="0.25">
      <c r="A64">
        <v>4</v>
      </c>
      <c r="B64" t="s">
        <v>57</v>
      </c>
      <c r="C64" s="35">
        <v>3</v>
      </c>
      <c r="D64" s="35">
        <v>2.0499999999999998</v>
      </c>
      <c r="E64" s="35">
        <v>1</v>
      </c>
      <c r="F64" s="35">
        <v>1.3</v>
      </c>
      <c r="G64" s="35"/>
      <c r="H64" s="35">
        <v>5</v>
      </c>
      <c r="I64" s="35">
        <v>3</v>
      </c>
      <c r="J64" s="35">
        <v>12</v>
      </c>
      <c r="K64" s="35">
        <v>7.6</v>
      </c>
      <c r="L64" s="35"/>
      <c r="M64" s="35">
        <v>9</v>
      </c>
      <c r="N64" s="35">
        <v>4.0999999999999996</v>
      </c>
      <c r="O64" s="35">
        <v>5</v>
      </c>
      <c r="P64" s="35">
        <v>2.5499999999999998</v>
      </c>
      <c r="Q64" s="35"/>
      <c r="R64" s="35">
        <v>18</v>
      </c>
      <c r="S64" s="35">
        <v>4.12</v>
      </c>
      <c r="T64" s="35">
        <v>20</v>
      </c>
      <c r="U64" s="35">
        <v>4.92</v>
      </c>
      <c r="V64" s="35"/>
      <c r="W64" s="35">
        <v>5</v>
      </c>
      <c r="X64" s="35">
        <v>2.5</v>
      </c>
      <c r="Y64" s="35">
        <v>5</v>
      </c>
      <c r="Z64" s="35">
        <v>2.2999999999999998</v>
      </c>
      <c r="AA64" s="35"/>
      <c r="AB64" s="35">
        <v>0</v>
      </c>
      <c r="AC64" s="35">
        <v>0</v>
      </c>
      <c r="AD64" s="35">
        <v>0</v>
      </c>
      <c r="AE64" s="35">
        <v>0</v>
      </c>
      <c r="AF64" s="35"/>
      <c r="AG64" s="35">
        <v>0</v>
      </c>
      <c r="AH64" s="35">
        <v>0</v>
      </c>
      <c r="AI64" s="35">
        <v>0</v>
      </c>
      <c r="AJ64" s="35">
        <v>0</v>
      </c>
      <c r="AK64" s="35"/>
      <c r="AL64" s="35">
        <v>3</v>
      </c>
      <c r="AM64" s="35">
        <v>1.55</v>
      </c>
      <c r="AN64" s="35">
        <v>10</v>
      </c>
      <c r="AO64" s="35">
        <v>3.45</v>
      </c>
      <c r="AP64" s="35"/>
      <c r="AQ64" s="35">
        <v>5</v>
      </c>
      <c r="AR64" s="35">
        <v>0.25</v>
      </c>
      <c r="AS64" s="35">
        <v>13</v>
      </c>
      <c r="AT64" s="35">
        <v>1.6</v>
      </c>
      <c r="AU64" s="35"/>
      <c r="AV64" s="35">
        <v>6</v>
      </c>
      <c r="AW64" s="35">
        <v>2</v>
      </c>
      <c r="AX64" s="35">
        <v>11</v>
      </c>
      <c r="AY64" s="35">
        <v>3.55</v>
      </c>
      <c r="AZ64" s="35"/>
    </row>
    <row r="65" spans="1:52" x14ac:dyDescent="0.25">
      <c r="A65">
        <v>4</v>
      </c>
      <c r="B65" t="s">
        <v>58</v>
      </c>
      <c r="C65" s="35">
        <v>3</v>
      </c>
      <c r="D65" s="35">
        <v>2.5499999999999998</v>
      </c>
      <c r="E65" s="35">
        <v>3</v>
      </c>
      <c r="F65" s="35">
        <v>2.15</v>
      </c>
      <c r="G65" s="35"/>
      <c r="H65" s="35">
        <v>2</v>
      </c>
      <c r="I65" s="35">
        <v>1.1000000000000001</v>
      </c>
      <c r="J65" s="35">
        <v>5</v>
      </c>
      <c r="K65" s="35">
        <v>3.15</v>
      </c>
      <c r="L65" s="35"/>
      <c r="M65" s="35">
        <v>19</v>
      </c>
      <c r="N65" s="35">
        <v>12.9</v>
      </c>
      <c r="O65" s="35">
        <v>2</v>
      </c>
      <c r="P65" s="35">
        <v>1.5</v>
      </c>
      <c r="Q65" s="35"/>
      <c r="R65" s="35">
        <v>22</v>
      </c>
      <c r="S65" s="35">
        <v>6.38</v>
      </c>
      <c r="T65" s="35">
        <v>9</v>
      </c>
      <c r="U65" s="35">
        <v>2.8</v>
      </c>
      <c r="V65" s="35"/>
      <c r="W65" s="35">
        <v>5</v>
      </c>
      <c r="X65" s="35">
        <v>3.35</v>
      </c>
      <c r="Y65" s="35">
        <v>2</v>
      </c>
      <c r="Z65" s="35">
        <v>1.7</v>
      </c>
      <c r="AA65" s="35"/>
      <c r="AB65" s="35">
        <v>1</v>
      </c>
      <c r="AC65" s="35">
        <v>0.5</v>
      </c>
      <c r="AD65" s="35">
        <v>0</v>
      </c>
      <c r="AE65" s="35">
        <v>0</v>
      </c>
      <c r="AF65" s="35"/>
      <c r="AG65" s="35">
        <v>2</v>
      </c>
      <c r="AH65" s="35">
        <v>1.1499999999999999</v>
      </c>
      <c r="AI65" s="35">
        <v>0</v>
      </c>
      <c r="AJ65" s="35">
        <v>0</v>
      </c>
      <c r="AK65" s="35"/>
      <c r="AL65" s="35">
        <v>12</v>
      </c>
      <c r="AM65" s="35">
        <v>4.6500000000000004</v>
      </c>
      <c r="AN65" s="35">
        <v>1</v>
      </c>
      <c r="AO65" s="35">
        <v>0.2</v>
      </c>
      <c r="AP65" s="35"/>
      <c r="AQ65" s="35">
        <v>17</v>
      </c>
      <c r="AR65" s="35">
        <v>7.45</v>
      </c>
      <c r="AS65" s="35">
        <v>18</v>
      </c>
      <c r="AT65" s="35">
        <v>6.9</v>
      </c>
      <c r="AU65" s="35"/>
      <c r="AV65" s="35">
        <v>8</v>
      </c>
      <c r="AW65" s="35">
        <v>3.05</v>
      </c>
      <c r="AX65" s="35">
        <v>15</v>
      </c>
      <c r="AY65" s="35">
        <v>5</v>
      </c>
      <c r="AZ65" s="35"/>
    </row>
    <row r="66" spans="1:52" x14ac:dyDescent="0.25">
      <c r="A66">
        <v>4</v>
      </c>
      <c r="B66" t="s">
        <v>59</v>
      </c>
      <c r="C66" s="35">
        <v>1</v>
      </c>
      <c r="D66" s="35">
        <v>0.85</v>
      </c>
      <c r="E66" s="35">
        <v>1</v>
      </c>
      <c r="F66" s="35">
        <v>1.1000000000000001</v>
      </c>
      <c r="G66" s="35"/>
      <c r="H66" s="35">
        <v>1</v>
      </c>
      <c r="I66" s="35">
        <v>0.85</v>
      </c>
      <c r="J66" s="35">
        <v>10</v>
      </c>
      <c r="K66" s="35">
        <v>6.7</v>
      </c>
      <c r="L66" s="35"/>
      <c r="M66" s="35">
        <v>5</v>
      </c>
      <c r="N66" s="35">
        <v>5.25</v>
      </c>
      <c r="O66" s="35">
        <v>1</v>
      </c>
      <c r="P66" s="35">
        <v>0.9</v>
      </c>
      <c r="Q66" s="35"/>
      <c r="R66" s="35">
        <v>14</v>
      </c>
      <c r="S66" s="35">
        <v>4.82</v>
      </c>
      <c r="T66" s="35">
        <v>11</v>
      </c>
      <c r="U66" s="35">
        <v>3.06</v>
      </c>
      <c r="V66" s="35"/>
      <c r="W66" s="35">
        <v>6</v>
      </c>
      <c r="X66" s="35">
        <v>4.3</v>
      </c>
      <c r="Y66" s="35">
        <v>2</v>
      </c>
      <c r="Z66" s="35">
        <v>1.65</v>
      </c>
      <c r="AA66" s="35"/>
      <c r="AB66" s="35">
        <v>1</v>
      </c>
      <c r="AC66" s="35">
        <v>1.35</v>
      </c>
      <c r="AD66" s="35">
        <v>0</v>
      </c>
      <c r="AE66" s="35">
        <v>0</v>
      </c>
      <c r="AF66" s="35"/>
      <c r="AG66" s="35">
        <v>2</v>
      </c>
      <c r="AH66" s="35">
        <v>1.1499999999999999</v>
      </c>
      <c r="AI66" s="35">
        <v>0</v>
      </c>
      <c r="AJ66" s="35">
        <v>0</v>
      </c>
      <c r="AK66" s="35"/>
      <c r="AL66" s="35">
        <v>0</v>
      </c>
      <c r="AM66" s="35">
        <v>0</v>
      </c>
      <c r="AN66" s="35">
        <v>2</v>
      </c>
      <c r="AO66" s="35">
        <v>1.3</v>
      </c>
      <c r="AP66" s="35"/>
      <c r="AQ66" s="35">
        <v>0</v>
      </c>
      <c r="AR66" s="35">
        <v>0</v>
      </c>
      <c r="AS66" s="35">
        <v>7</v>
      </c>
      <c r="AT66" s="35">
        <v>3.75</v>
      </c>
      <c r="AU66" s="35"/>
      <c r="AV66" s="35">
        <v>1</v>
      </c>
      <c r="AW66" s="35">
        <v>0.6</v>
      </c>
      <c r="AX66" s="35">
        <v>9</v>
      </c>
      <c r="AY66" s="35">
        <v>3.3</v>
      </c>
      <c r="AZ66" s="35"/>
    </row>
    <row r="67" spans="1:52" x14ac:dyDescent="0.25">
      <c r="A67">
        <v>4</v>
      </c>
      <c r="B67" t="s">
        <v>60</v>
      </c>
      <c r="C67" s="35">
        <v>2</v>
      </c>
      <c r="D67" s="35">
        <v>2.15</v>
      </c>
      <c r="E67" s="35">
        <v>1</v>
      </c>
      <c r="F67" s="35">
        <v>0.75</v>
      </c>
      <c r="G67" s="35"/>
      <c r="H67" s="35">
        <v>5</v>
      </c>
      <c r="I67" s="35">
        <v>4</v>
      </c>
      <c r="J67" s="35">
        <v>8</v>
      </c>
      <c r="K67" s="35">
        <v>6.45</v>
      </c>
      <c r="L67" s="35"/>
      <c r="M67" s="35">
        <v>8</v>
      </c>
      <c r="N67" s="35">
        <v>6.7</v>
      </c>
      <c r="O67" s="35">
        <v>3</v>
      </c>
      <c r="P67" s="35">
        <v>2.5</v>
      </c>
      <c r="Q67" s="35"/>
      <c r="R67" s="35">
        <v>27</v>
      </c>
      <c r="S67" s="35">
        <v>8.64</v>
      </c>
      <c r="T67" s="35">
        <v>24</v>
      </c>
      <c r="U67" s="35">
        <v>9.34</v>
      </c>
      <c r="V67" s="35"/>
      <c r="W67" s="35">
        <v>1</v>
      </c>
      <c r="X67" s="35">
        <v>0.9</v>
      </c>
      <c r="Y67" s="35">
        <v>1</v>
      </c>
      <c r="Z67" s="35">
        <v>0.4</v>
      </c>
      <c r="AA67" s="35"/>
      <c r="AB67" s="35">
        <v>2</v>
      </c>
      <c r="AC67" s="35">
        <v>1.6</v>
      </c>
      <c r="AD67" s="35">
        <v>0</v>
      </c>
      <c r="AE67" s="35">
        <v>0</v>
      </c>
      <c r="AF67" s="35"/>
      <c r="AG67" s="35">
        <v>1</v>
      </c>
      <c r="AH67" s="35">
        <v>0.5</v>
      </c>
      <c r="AI67" s="35">
        <v>0</v>
      </c>
      <c r="AJ67" s="35">
        <v>0</v>
      </c>
      <c r="AK67" s="35"/>
      <c r="AL67" s="35">
        <v>2</v>
      </c>
      <c r="AM67" s="35">
        <v>1.1499999999999999</v>
      </c>
      <c r="AN67" s="35">
        <v>1</v>
      </c>
      <c r="AO67" s="35">
        <v>0.35</v>
      </c>
      <c r="AP67" s="35"/>
      <c r="AQ67" s="35">
        <v>3</v>
      </c>
      <c r="AR67" s="35">
        <v>1.7</v>
      </c>
      <c r="AS67" s="35">
        <v>10</v>
      </c>
      <c r="AT67" s="35">
        <v>4.75</v>
      </c>
      <c r="AU67" s="35"/>
      <c r="AV67" s="35">
        <v>5</v>
      </c>
      <c r="AW67" s="35">
        <v>2.2000000000000002</v>
      </c>
      <c r="AX67" s="35">
        <v>13</v>
      </c>
      <c r="AY67" s="35">
        <v>4.9000000000000004</v>
      </c>
      <c r="AZ67" s="35"/>
    </row>
    <row r="68" spans="1:52" x14ac:dyDescent="0.25">
      <c r="A68">
        <v>4</v>
      </c>
      <c r="B68" t="s">
        <v>61</v>
      </c>
      <c r="C68" s="35">
        <v>1</v>
      </c>
      <c r="D68" s="35">
        <v>0.75</v>
      </c>
      <c r="E68" s="35">
        <v>2</v>
      </c>
      <c r="F68" s="35">
        <v>1.5</v>
      </c>
      <c r="G68" s="35"/>
      <c r="H68" s="35">
        <v>9</v>
      </c>
      <c r="I68" s="35">
        <v>5.45</v>
      </c>
      <c r="J68" s="35">
        <v>6</v>
      </c>
      <c r="K68" s="35">
        <v>4.05</v>
      </c>
      <c r="L68" s="35"/>
      <c r="M68" s="35">
        <v>14</v>
      </c>
      <c r="N68" s="35">
        <v>7.8</v>
      </c>
      <c r="O68" s="35">
        <v>1</v>
      </c>
      <c r="P68" s="35">
        <v>0.7</v>
      </c>
      <c r="Q68" s="35"/>
      <c r="R68" s="35">
        <v>8</v>
      </c>
      <c r="S68" s="35">
        <v>2.12</v>
      </c>
      <c r="T68" s="35">
        <v>7</v>
      </c>
      <c r="U68" s="35">
        <v>1.64</v>
      </c>
      <c r="V68" s="35"/>
      <c r="W68" s="35">
        <v>1</v>
      </c>
      <c r="X68" s="35">
        <v>0.55000000000000004</v>
      </c>
      <c r="Y68" s="35">
        <v>3</v>
      </c>
      <c r="Z68" s="35">
        <v>0.75</v>
      </c>
      <c r="AA68" s="35"/>
      <c r="AB68" s="35">
        <v>1</v>
      </c>
      <c r="AC68" s="35">
        <v>0.5</v>
      </c>
      <c r="AD68" s="35">
        <v>4</v>
      </c>
      <c r="AE68" s="35">
        <v>1.05</v>
      </c>
      <c r="AF68" s="35"/>
      <c r="AG68" s="35">
        <v>6</v>
      </c>
      <c r="AH68" s="35">
        <v>2.75</v>
      </c>
      <c r="AI68" s="35">
        <v>9</v>
      </c>
      <c r="AJ68" s="35">
        <v>2.85</v>
      </c>
      <c r="AK68" s="35"/>
      <c r="AL68" s="35">
        <v>12</v>
      </c>
      <c r="AM68" s="35">
        <v>5.25</v>
      </c>
      <c r="AN68" s="35">
        <v>9</v>
      </c>
      <c r="AO68" s="35">
        <v>3.1</v>
      </c>
      <c r="AP68" s="35"/>
      <c r="AQ68" s="35">
        <v>5</v>
      </c>
      <c r="AR68" s="35">
        <v>1.95</v>
      </c>
      <c r="AS68" s="35">
        <v>23</v>
      </c>
      <c r="AT68" s="35">
        <v>9.4499999999999993</v>
      </c>
      <c r="AU68" s="35"/>
      <c r="AV68" s="35">
        <v>0</v>
      </c>
      <c r="AW68" s="35">
        <v>0</v>
      </c>
      <c r="AX68" s="35">
        <v>16</v>
      </c>
      <c r="AY68" s="35">
        <v>2.85</v>
      </c>
      <c r="AZ68" s="35"/>
    </row>
    <row r="69" spans="1:52" x14ac:dyDescent="0.25">
      <c r="A69">
        <v>4</v>
      </c>
      <c r="B69" t="s">
        <v>62</v>
      </c>
      <c r="C69" s="35">
        <v>2</v>
      </c>
      <c r="D69" s="35">
        <v>1.7</v>
      </c>
      <c r="E69" s="35">
        <v>4</v>
      </c>
      <c r="F69" s="35">
        <v>2.4500000000000002</v>
      </c>
      <c r="G69" s="35"/>
      <c r="H69" s="35">
        <v>3</v>
      </c>
      <c r="I69" s="35">
        <v>2.35</v>
      </c>
      <c r="J69" s="35">
        <v>8</v>
      </c>
      <c r="K69" s="35">
        <v>4.8499999999999996</v>
      </c>
      <c r="L69" s="35"/>
      <c r="M69" s="35">
        <v>9</v>
      </c>
      <c r="N69" s="35">
        <v>7.2</v>
      </c>
      <c r="O69" s="35">
        <v>5</v>
      </c>
      <c r="P69" s="35">
        <v>4.05</v>
      </c>
      <c r="Q69" s="35"/>
      <c r="R69" s="35">
        <v>15</v>
      </c>
      <c r="S69" s="35">
        <v>5.34</v>
      </c>
      <c r="T69" s="35">
        <v>8</v>
      </c>
      <c r="U69" s="35">
        <v>2.08</v>
      </c>
      <c r="V69" s="35"/>
      <c r="W69" s="35">
        <v>5</v>
      </c>
      <c r="X69" s="35">
        <v>3.65</v>
      </c>
      <c r="Y69" s="35">
        <v>3</v>
      </c>
      <c r="Z69" s="35">
        <v>2.85</v>
      </c>
      <c r="AA69" s="35"/>
      <c r="AB69" s="35">
        <v>1</v>
      </c>
      <c r="AC69" s="35">
        <v>0.6</v>
      </c>
      <c r="AD69" s="35">
        <v>2</v>
      </c>
      <c r="AE69" s="35">
        <v>0.7</v>
      </c>
      <c r="AF69" s="35"/>
      <c r="AG69" s="35">
        <v>1</v>
      </c>
      <c r="AH69" s="35">
        <v>0.4</v>
      </c>
      <c r="AI69" s="35">
        <v>1</v>
      </c>
      <c r="AJ69" s="35">
        <v>0.4</v>
      </c>
      <c r="AK69" s="35"/>
      <c r="AL69" s="35">
        <v>6</v>
      </c>
      <c r="AM69" s="35">
        <v>2.25</v>
      </c>
      <c r="AN69" s="35">
        <v>7</v>
      </c>
      <c r="AO69" s="35">
        <v>3.7</v>
      </c>
      <c r="AP69" s="35"/>
      <c r="AQ69" s="35">
        <v>10</v>
      </c>
      <c r="AR69" s="35">
        <v>4.9000000000000004</v>
      </c>
      <c r="AS69" s="35">
        <v>25</v>
      </c>
      <c r="AT69" s="35">
        <v>10.199999999999999</v>
      </c>
      <c r="AU69" s="35"/>
      <c r="AV69" s="35">
        <v>3</v>
      </c>
      <c r="AW69" s="35">
        <v>0.95</v>
      </c>
      <c r="AX69" s="35">
        <v>16</v>
      </c>
      <c r="AY69" s="35">
        <v>5.7</v>
      </c>
      <c r="AZ69" s="35"/>
    </row>
    <row r="70" spans="1:52" x14ac:dyDescent="0.25">
      <c r="A70">
        <v>4</v>
      </c>
      <c r="B70" t="s">
        <v>63</v>
      </c>
      <c r="C70" s="35">
        <v>5</v>
      </c>
      <c r="D70" s="35">
        <v>4.2</v>
      </c>
      <c r="E70" s="35">
        <v>1</v>
      </c>
      <c r="F70" s="35">
        <v>0.65</v>
      </c>
      <c r="G70" s="35"/>
      <c r="H70" s="35">
        <v>2</v>
      </c>
      <c r="I70" s="35">
        <v>1.35</v>
      </c>
      <c r="J70" s="35">
        <v>5</v>
      </c>
      <c r="K70" s="35">
        <v>4.05</v>
      </c>
      <c r="L70" s="35"/>
      <c r="M70" s="35">
        <v>2</v>
      </c>
      <c r="N70" s="35">
        <v>1.3</v>
      </c>
      <c r="O70" s="35">
        <v>4</v>
      </c>
      <c r="P70" s="35">
        <v>2.5</v>
      </c>
      <c r="Q70" s="35"/>
      <c r="R70" s="35">
        <v>21</v>
      </c>
      <c r="S70" s="35">
        <v>6.36</v>
      </c>
      <c r="T70" s="35">
        <v>13</v>
      </c>
      <c r="U70" s="35">
        <v>3.98</v>
      </c>
      <c r="V70" s="35"/>
      <c r="W70" s="35">
        <v>2</v>
      </c>
      <c r="X70" s="35">
        <v>0.8</v>
      </c>
      <c r="Y70" s="35">
        <v>5</v>
      </c>
      <c r="Z70" s="35">
        <v>2.4</v>
      </c>
      <c r="AA70" s="35"/>
      <c r="AB70" s="35">
        <v>0</v>
      </c>
      <c r="AC70" s="35">
        <v>0</v>
      </c>
      <c r="AD70" s="35">
        <v>0</v>
      </c>
      <c r="AE70" s="35">
        <v>0</v>
      </c>
      <c r="AF70" s="35"/>
      <c r="AG70" s="35">
        <v>1</v>
      </c>
      <c r="AH70" s="35">
        <v>0.4</v>
      </c>
      <c r="AI70" s="35">
        <v>5</v>
      </c>
      <c r="AJ70" s="35">
        <v>2.5</v>
      </c>
      <c r="AK70" s="35"/>
      <c r="AL70" s="35">
        <v>3</v>
      </c>
      <c r="AM70" s="35">
        <v>1.45</v>
      </c>
      <c r="AN70" s="35">
        <v>9</v>
      </c>
      <c r="AO70" s="35">
        <v>4.25</v>
      </c>
      <c r="AP70" s="35"/>
      <c r="AQ70" s="35">
        <v>6</v>
      </c>
      <c r="AR70" s="35">
        <v>2.75</v>
      </c>
      <c r="AS70" s="35">
        <v>28</v>
      </c>
      <c r="AT70" s="35">
        <v>10.199999999999999</v>
      </c>
      <c r="AU70" s="35"/>
      <c r="AV70" s="35">
        <v>0</v>
      </c>
      <c r="AW70" s="35">
        <v>0</v>
      </c>
      <c r="AX70" s="35">
        <v>10</v>
      </c>
      <c r="AY70" s="35">
        <v>2.7</v>
      </c>
      <c r="AZ70" s="35"/>
    </row>
    <row r="71" spans="1:52" x14ac:dyDescent="0.25">
      <c r="A71">
        <v>4</v>
      </c>
      <c r="B71" t="s">
        <v>64</v>
      </c>
      <c r="C71" s="35">
        <v>3</v>
      </c>
      <c r="D71" s="35">
        <v>2</v>
      </c>
      <c r="E71" s="35">
        <v>2</v>
      </c>
      <c r="F71" s="35">
        <v>1.45</v>
      </c>
      <c r="G71" s="35"/>
      <c r="H71" s="35">
        <v>0</v>
      </c>
      <c r="I71" s="35">
        <v>0</v>
      </c>
      <c r="J71" s="35">
        <v>5</v>
      </c>
      <c r="K71" s="35">
        <v>3.2</v>
      </c>
      <c r="L71" s="35"/>
      <c r="M71" s="35">
        <v>6</v>
      </c>
      <c r="N71" s="35">
        <v>4</v>
      </c>
      <c r="O71" s="35">
        <v>3</v>
      </c>
      <c r="P71" s="35">
        <v>2.6</v>
      </c>
      <c r="Q71" s="35"/>
      <c r="R71" s="35">
        <v>27</v>
      </c>
      <c r="S71" s="35">
        <v>8.9</v>
      </c>
      <c r="T71" s="35">
        <v>13</v>
      </c>
      <c r="U71" s="35">
        <v>4.5199999999999996</v>
      </c>
      <c r="V71" s="35"/>
      <c r="W71" s="35">
        <v>1</v>
      </c>
      <c r="X71" s="35">
        <v>0.6</v>
      </c>
      <c r="Y71" s="35">
        <v>7</v>
      </c>
      <c r="Z71" s="35">
        <v>4.8499999999999996</v>
      </c>
      <c r="AA71" s="35"/>
      <c r="AB71" s="35">
        <v>0</v>
      </c>
      <c r="AC71" s="35">
        <v>0</v>
      </c>
      <c r="AD71" s="35">
        <v>2</v>
      </c>
      <c r="AE71" s="35">
        <v>0.45</v>
      </c>
      <c r="AF71" s="35"/>
      <c r="AG71" s="35">
        <v>0</v>
      </c>
      <c r="AH71" s="35">
        <v>0</v>
      </c>
      <c r="AI71" s="35">
        <v>3</v>
      </c>
      <c r="AJ71" s="35">
        <v>0.85</v>
      </c>
      <c r="AK71" s="35"/>
      <c r="AL71" s="35">
        <v>5</v>
      </c>
      <c r="AM71" s="35">
        <v>1.95</v>
      </c>
      <c r="AN71" s="35">
        <v>8</v>
      </c>
      <c r="AO71" s="35">
        <v>3.4</v>
      </c>
      <c r="AP71" s="35"/>
      <c r="AQ71" s="35">
        <v>20</v>
      </c>
      <c r="AR71" s="35">
        <v>9.15</v>
      </c>
      <c r="AS71" s="35">
        <v>16</v>
      </c>
      <c r="AT71" s="35">
        <v>5.55</v>
      </c>
      <c r="AU71" s="35"/>
      <c r="AV71" s="35">
        <v>8</v>
      </c>
      <c r="AW71" s="35">
        <v>1.9</v>
      </c>
      <c r="AX71" s="35">
        <v>11</v>
      </c>
      <c r="AY71" s="35">
        <v>3.6</v>
      </c>
      <c r="AZ71" s="35"/>
    </row>
    <row r="72" spans="1:52" x14ac:dyDescent="0.25">
      <c r="A72">
        <v>4</v>
      </c>
      <c r="B72" t="s">
        <v>65</v>
      </c>
      <c r="C72" s="35">
        <v>2</v>
      </c>
      <c r="D72" s="35">
        <v>1.3</v>
      </c>
      <c r="E72" s="35">
        <v>1</v>
      </c>
      <c r="F72" s="35">
        <v>0.5</v>
      </c>
      <c r="G72" s="35"/>
      <c r="H72" s="35">
        <v>4</v>
      </c>
      <c r="I72" s="35">
        <v>2.5</v>
      </c>
      <c r="J72" s="35">
        <v>6</v>
      </c>
      <c r="K72" s="35">
        <v>3.65</v>
      </c>
      <c r="L72" s="35"/>
      <c r="M72" s="35">
        <v>12</v>
      </c>
      <c r="N72" s="35">
        <v>9.1999999999999993</v>
      </c>
      <c r="O72" s="35">
        <v>2</v>
      </c>
      <c r="P72" s="35">
        <v>1.1499999999999999</v>
      </c>
      <c r="Q72" s="35"/>
      <c r="R72" s="35">
        <v>0</v>
      </c>
      <c r="S72" s="35">
        <v>0</v>
      </c>
      <c r="T72" s="35">
        <v>17</v>
      </c>
      <c r="U72" s="35">
        <v>9.8000000000000007</v>
      </c>
      <c r="V72" s="35"/>
      <c r="W72" s="35">
        <v>8</v>
      </c>
      <c r="X72" s="35">
        <v>5.2</v>
      </c>
      <c r="Y72" s="35">
        <v>5</v>
      </c>
      <c r="Z72" s="35">
        <v>1.35</v>
      </c>
      <c r="AA72" s="35"/>
      <c r="AB72" s="35">
        <v>5</v>
      </c>
      <c r="AC72" s="35">
        <v>2.1</v>
      </c>
      <c r="AD72" s="35">
        <v>3</v>
      </c>
      <c r="AE72" s="35">
        <v>0.85</v>
      </c>
      <c r="AF72" s="35"/>
      <c r="AG72" s="35">
        <v>3</v>
      </c>
      <c r="AH72" s="35">
        <v>1.1000000000000001</v>
      </c>
      <c r="AI72" s="35">
        <v>3</v>
      </c>
      <c r="AJ72" s="35">
        <v>1</v>
      </c>
      <c r="AK72" s="35"/>
      <c r="AL72" s="35">
        <v>3</v>
      </c>
      <c r="AM72" s="35">
        <v>1.1000000000000001</v>
      </c>
      <c r="AN72" s="35">
        <v>7</v>
      </c>
      <c r="AO72" s="35">
        <v>3.05</v>
      </c>
      <c r="AP72" s="35"/>
      <c r="AQ72" s="35">
        <v>8</v>
      </c>
      <c r="AR72" s="35">
        <v>1.1499999999999999</v>
      </c>
      <c r="AS72" s="35">
        <v>40</v>
      </c>
      <c r="AT72" s="35">
        <v>13.8</v>
      </c>
      <c r="AU72" s="35"/>
      <c r="AV72" s="35">
        <v>2</v>
      </c>
      <c r="AW72" s="35">
        <v>0.7</v>
      </c>
      <c r="AX72" s="35">
        <v>14</v>
      </c>
      <c r="AY72" s="35">
        <v>3.45</v>
      </c>
      <c r="AZ72" s="35"/>
    </row>
    <row r="73" spans="1:52" x14ac:dyDescent="0.25"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35"/>
      <c r="AO73" s="35"/>
      <c r="AP73" s="35"/>
      <c r="AQ73" s="35"/>
      <c r="AR73" s="35"/>
      <c r="AS73" s="35"/>
      <c r="AT73" s="35"/>
      <c r="AU73" s="35"/>
      <c r="AV73" s="35"/>
      <c r="AW73" s="35"/>
      <c r="AX73" s="35"/>
      <c r="AY73" s="35"/>
      <c r="AZ73" s="35"/>
    </row>
    <row r="74" spans="1:52" x14ac:dyDescent="0.25">
      <c r="A74">
        <v>5</v>
      </c>
      <c r="B74" t="s">
        <v>67</v>
      </c>
      <c r="C74" s="35">
        <v>3</v>
      </c>
      <c r="D74" s="35">
        <v>1.25</v>
      </c>
      <c r="E74" s="35">
        <v>2</v>
      </c>
      <c r="F74" s="35">
        <v>0.7</v>
      </c>
      <c r="G74" s="35"/>
      <c r="H74" s="35">
        <v>13</v>
      </c>
      <c r="I74" s="35">
        <v>5.7</v>
      </c>
      <c r="J74" s="35">
        <v>6</v>
      </c>
      <c r="K74" s="35">
        <v>3.05</v>
      </c>
      <c r="L74" s="35"/>
      <c r="M74" s="35">
        <v>24</v>
      </c>
      <c r="N74" s="35">
        <v>11.04</v>
      </c>
      <c r="O74" s="35">
        <v>2</v>
      </c>
      <c r="P74" s="35">
        <v>1.1000000000000001</v>
      </c>
      <c r="Q74" s="35"/>
      <c r="R74" s="35">
        <v>6</v>
      </c>
      <c r="S74" s="35">
        <v>0.86</v>
      </c>
      <c r="T74" s="35">
        <v>4</v>
      </c>
      <c r="U74" s="35">
        <v>0.6</v>
      </c>
      <c r="V74" s="35"/>
      <c r="W74" s="35">
        <v>13</v>
      </c>
      <c r="X74" s="35">
        <v>5.55</v>
      </c>
      <c r="Y74" s="35">
        <v>1</v>
      </c>
      <c r="Z74" s="35">
        <v>0.2</v>
      </c>
      <c r="AA74" s="35"/>
      <c r="AB74" s="35">
        <v>13</v>
      </c>
      <c r="AC74" s="35">
        <v>5.56</v>
      </c>
      <c r="AD74" s="35">
        <v>0</v>
      </c>
      <c r="AE74" s="35">
        <v>0</v>
      </c>
      <c r="AF74" s="35"/>
      <c r="AG74" s="35">
        <v>6</v>
      </c>
      <c r="AH74" s="35">
        <v>2.85</v>
      </c>
      <c r="AI74" s="35">
        <v>2</v>
      </c>
      <c r="AJ74" s="35">
        <v>1.55</v>
      </c>
      <c r="AK74" s="35"/>
      <c r="AL74" s="35">
        <v>7</v>
      </c>
      <c r="AM74" s="35">
        <v>3.2</v>
      </c>
      <c r="AN74" s="35">
        <v>11</v>
      </c>
      <c r="AO74" s="35">
        <v>4.1500000000000004</v>
      </c>
      <c r="AP74" s="35"/>
      <c r="AQ74" s="35">
        <v>25</v>
      </c>
      <c r="AR74" s="35">
        <v>8.1</v>
      </c>
      <c r="AS74" s="35">
        <v>13</v>
      </c>
      <c r="AT74" s="35">
        <v>3.4</v>
      </c>
      <c r="AU74" s="35"/>
      <c r="AV74" s="35">
        <v>5</v>
      </c>
      <c r="AW74" s="35">
        <v>1.95</v>
      </c>
      <c r="AX74" s="35">
        <v>11</v>
      </c>
      <c r="AY74" s="35">
        <v>4</v>
      </c>
      <c r="AZ74" s="35"/>
    </row>
    <row r="75" spans="1:52" x14ac:dyDescent="0.25">
      <c r="A75">
        <v>5</v>
      </c>
      <c r="B75" t="s">
        <v>68</v>
      </c>
      <c r="C75" s="35">
        <v>1</v>
      </c>
      <c r="D75" s="35">
        <v>0.7</v>
      </c>
      <c r="E75" s="35">
        <v>6</v>
      </c>
      <c r="F75" s="35">
        <v>2.4</v>
      </c>
      <c r="G75" s="35"/>
      <c r="H75" s="35">
        <v>9</v>
      </c>
      <c r="I75" s="35">
        <v>5.6</v>
      </c>
      <c r="J75" s="35">
        <v>7</v>
      </c>
      <c r="K75" s="35">
        <v>4.0999999999999996</v>
      </c>
      <c r="L75" s="35"/>
      <c r="M75" s="35">
        <v>13</v>
      </c>
      <c r="N75" s="35">
        <v>6.85</v>
      </c>
      <c r="O75" s="35">
        <v>3</v>
      </c>
      <c r="P75" s="35">
        <v>1.7</v>
      </c>
      <c r="Q75" s="35"/>
      <c r="R75" s="35">
        <v>7</v>
      </c>
      <c r="S75" s="35">
        <v>1.88</v>
      </c>
      <c r="T75" s="35">
        <v>8</v>
      </c>
      <c r="U75" s="35">
        <v>1.74</v>
      </c>
      <c r="V75" s="35"/>
      <c r="W75" s="35">
        <v>1</v>
      </c>
      <c r="X75" s="35">
        <v>0.4</v>
      </c>
      <c r="Y75" s="35">
        <v>3</v>
      </c>
      <c r="Z75" s="35">
        <v>0.85</v>
      </c>
      <c r="AA75" s="35"/>
      <c r="AB75" s="35">
        <v>2</v>
      </c>
      <c r="AC75" s="35">
        <v>0.75</v>
      </c>
      <c r="AD75" s="35">
        <v>0</v>
      </c>
      <c r="AE75" s="35">
        <v>0</v>
      </c>
      <c r="AF75" s="35"/>
      <c r="AG75" s="35">
        <v>14</v>
      </c>
      <c r="AH75" s="35">
        <v>5.6</v>
      </c>
      <c r="AI75" s="35">
        <v>7</v>
      </c>
      <c r="AJ75" s="35">
        <v>1.85</v>
      </c>
      <c r="AK75" s="35"/>
      <c r="AL75" s="35">
        <v>17</v>
      </c>
      <c r="AM75" s="35">
        <v>7.3</v>
      </c>
      <c r="AN75" s="35">
        <v>18</v>
      </c>
      <c r="AO75" s="35">
        <v>5.4</v>
      </c>
      <c r="AP75" s="35"/>
      <c r="AQ75" s="35">
        <v>5</v>
      </c>
      <c r="AR75" s="35">
        <v>1.7</v>
      </c>
      <c r="AS75" s="35">
        <v>17</v>
      </c>
      <c r="AT75" s="35">
        <v>5.0999999999999996</v>
      </c>
      <c r="AU75" s="35"/>
      <c r="AV75" s="35">
        <v>4</v>
      </c>
      <c r="AW75" s="35">
        <v>1.05</v>
      </c>
      <c r="AX75" s="35">
        <v>13</v>
      </c>
      <c r="AY75" s="35">
        <v>2.4</v>
      </c>
      <c r="AZ75" s="35"/>
    </row>
    <row r="76" spans="1:52" x14ac:dyDescent="0.25">
      <c r="A76">
        <v>5</v>
      </c>
      <c r="B76" t="s">
        <v>71</v>
      </c>
      <c r="C76" s="35" t="s">
        <v>230</v>
      </c>
      <c r="D76" s="35" t="s">
        <v>230</v>
      </c>
      <c r="E76" s="35" t="s">
        <v>230</v>
      </c>
      <c r="F76" s="35" t="s">
        <v>230</v>
      </c>
      <c r="G76" s="35"/>
      <c r="H76" s="35">
        <v>2</v>
      </c>
      <c r="I76" s="35">
        <v>1.65</v>
      </c>
      <c r="J76" s="35">
        <v>7</v>
      </c>
      <c r="K76" s="35">
        <v>5.85</v>
      </c>
      <c r="L76" s="35"/>
      <c r="M76" s="35">
        <v>11</v>
      </c>
      <c r="N76" s="35">
        <v>7.4</v>
      </c>
      <c r="O76" s="35">
        <v>0</v>
      </c>
      <c r="P76" s="35">
        <v>0</v>
      </c>
      <c r="Q76" s="35"/>
      <c r="R76" s="35">
        <v>20</v>
      </c>
      <c r="S76" s="35">
        <v>5.7</v>
      </c>
      <c r="T76" s="35">
        <v>13</v>
      </c>
      <c r="U76" s="35">
        <v>3.6</v>
      </c>
      <c r="V76" s="35"/>
      <c r="W76" s="35">
        <v>6</v>
      </c>
      <c r="X76" s="35">
        <v>3.4</v>
      </c>
      <c r="Y76" s="35">
        <v>2</v>
      </c>
      <c r="Z76" s="35">
        <v>1.35</v>
      </c>
      <c r="AA76" s="35"/>
      <c r="AB76" s="35">
        <v>9</v>
      </c>
      <c r="AC76" s="35">
        <v>4.55</v>
      </c>
      <c r="AD76" s="35">
        <v>1</v>
      </c>
      <c r="AE76" s="35">
        <v>0.4</v>
      </c>
      <c r="AF76" s="35"/>
      <c r="AG76" s="35">
        <v>3</v>
      </c>
      <c r="AH76" s="35">
        <v>1.5</v>
      </c>
      <c r="AI76" s="35">
        <v>1</v>
      </c>
      <c r="AJ76" s="35">
        <v>0.65</v>
      </c>
      <c r="AK76" s="35"/>
      <c r="AL76" s="35">
        <v>4</v>
      </c>
      <c r="AM76" s="35">
        <v>1.95</v>
      </c>
      <c r="AN76" s="35">
        <v>3</v>
      </c>
      <c r="AO76" s="35">
        <v>1.6</v>
      </c>
      <c r="AP76" s="35"/>
      <c r="AQ76" s="35">
        <v>8</v>
      </c>
      <c r="AR76" s="35">
        <v>3.35</v>
      </c>
      <c r="AS76" s="35">
        <v>10</v>
      </c>
      <c r="AT76" s="35">
        <v>3.25</v>
      </c>
      <c r="AU76" s="35"/>
      <c r="AV76" s="35">
        <v>4</v>
      </c>
      <c r="AW76" s="35">
        <v>1.2</v>
      </c>
      <c r="AX76" s="35">
        <v>22</v>
      </c>
      <c r="AY76" s="35">
        <v>5.45</v>
      </c>
      <c r="AZ76" s="35"/>
    </row>
    <row r="77" spans="1:52" x14ac:dyDescent="0.25">
      <c r="A77">
        <v>5</v>
      </c>
      <c r="B77" t="s">
        <v>72</v>
      </c>
      <c r="C77" s="35">
        <v>4</v>
      </c>
      <c r="D77" s="35">
        <v>3.2</v>
      </c>
      <c r="E77" s="35">
        <v>0</v>
      </c>
      <c r="F77" s="35">
        <v>0</v>
      </c>
      <c r="G77" s="35"/>
      <c r="H77" s="35">
        <v>5</v>
      </c>
      <c r="I77" s="35">
        <v>4</v>
      </c>
      <c r="J77" s="35">
        <v>5</v>
      </c>
      <c r="K77" s="35">
        <v>4.1500000000000004</v>
      </c>
      <c r="L77" s="35"/>
      <c r="M77" s="35">
        <v>28</v>
      </c>
      <c r="N77" s="35">
        <v>15.8</v>
      </c>
      <c r="O77" s="35">
        <v>4</v>
      </c>
      <c r="P77" s="35">
        <v>2.35</v>
      </c>
      <c r="Q77" s="35"/>
      <c r="R77" s="35">
        <v>6</v>
      </c>
      <c r="S77" s="35">
        <v>1.54</v>
      </c>
      <c r="T77" s="35">
        <v>3</v>
      </c>
      <c r="U77" s="35">
        <v>0.88</v>
      </c>
      <c r="V77" s="35"/>
      <c r="W77" s="35">
        <v>4</v>
      </c>
      <c r="X77" s="35">
        <v>2.35</v>
      </c>
      <c r="Y77" s="35">
        <v>0</v>
      </c>
      <c r="Z77" s="35">
        <v>0</v>
      </c>
      <c r="AA77" s="35"/>
      <c r="AB77" s="35">
        <v>0</v>
      </c>
      <c r="AC77" s="35">
        <v>0</v>
      </c>
      <c r="AD77" s="35">
        <v>0</v>
      </c>
      <c r="AE77" s="35">
        <v>0</v>
      </c>
      <c r="AF77" s="35"/>
      <c r="AG77" s="35">
        <v>2</v>
      </c>
      <c r="AH77" s="35">
        <v>1</v>
      </c>
      <c r="AI77" s="35">
        <v>5</v>
      </c>
      <c r="AJ77" s="35">
        <v>1.8</v>
      </c>
      <c r="AK77" s="35"/>
      <c r="AL77" s="35">
        <v>5</v>
      </c>
      <c r="AM77" s="35">
        <v>2.65</v>
      </c>
      <c r="AN77" s="35">
        <v>5</v>
      </c>
      <c r="AO77" s="35">
        <v>2</v>
      </c>
      <c r="AP77" s="35"/>
      <c r="AQ77" s="35">
        <v>4</v>
      </c>
      <c r="AR77" s="35">
        <v>1.4</v>
      </c>
      <c r="AS77" s="35">
        <v>9</v>
      </c>
      <c r="AT77" s="35">
        <v>2.75</v>
      </c>
      <c r="AU77" s="35"/>
      <c r="AV77" s="35">
        <v>10</v>
      </c>
      <c r="AW77" s="35">
        <v>3.55</v>
      </c>
      <c r="AX77" s="35">
        <v>26</v>
      </c>
      <c r="AY77" s="35">
        <v>8.0500000000000007</v>
      </c>
      <c r="AZ77" s="35"/>
    </row>
    <row r="78" spans="1:52" x14ac:dyDescent="0.25">
      <c r="A78">
        <v>5</v>
      </c>
      <c r="B78" t="s">
        <v>73</v>
      </c>
      <c r="C78" s="35">
        <v>3</v>
      </c>
      <c r="D78" s="35">
        <v>3.1</v>
      </c>
      <c r="E78" s="35">
        <v>2</v>
      </c>
      <c r="F78" s="35">
        <v>1.4</v>
      </c>
      <c r="G78" s="35"/>
      <c r="H78" s="35">
        <v>3</v>
      </c>
      <c r="I78" s="35">
        <v>1.85</v>
      </c>
      <c r="J78" s="35">
        <v>14</v>
      </c>
      <c r="K78" s="35">
        <v>12.1</v>
      </c>
      <c r="L78" s="35"/>
      <c r="M78" s="35">
        <v>9</v>
      </c>
      <c r="N78" s="35">
        <v>5.65</v>
      </c>
      <c r="O78" s="35">
        <v>6</v>
      </c>
      <c r="P78" s="35">
        <v>3.95</v>
      </c>
      <c r="Q78" s="35"/>
      <c r="R78" s="35">
        <v>0</v>
      </c>
      <c r="S78" s="35">
        <v>0</v>
      </c>
      <c r="T78" s="35">
        <v>8</v>
      </c>
      <c r="U78" s="35">
        <v>2.2000000000000002</v>
      </c>
      <c r="V78" s="35"/>
      <c r="W78" s="35">
        <v>1</v>
      </c>
      <c r="X78" s="35">
        <v>0.45</v>
      </c>
      <c r="Y78" s="35">
        <v>2</v>
      </c>
      <c r="Z78" s="35">
        <v>1</v>
      </c>
      <c r="AA78" s="35"/>
      <c r="AB78" s="35">
        <v>1</v>
      </c>
      <c r="AC78" s="35">
        <v>1</v>
      </c>
      <c r="AD78" s="35">
        <v>1</v>
      </c>
      <c r="AE78" s="35">
        <v>0.3</v>
      </c>
      <c r="AF78" s="35"/>
      <c r="AG78" s="35">
        <v>6</v>
      </c>
      <c r="AH78" s="35">
        <v>2.85</v>
      </c>
      <c r="AI78" s="35">
        <v>2</v>
      </c>
      <c r="AJ78" s="35">
        <v>0.55000000000000004</v>
      </c>
      <c r="AK78" s="35"/>
      <c r="AL78" s="35">
        <v>4</v>
      </c>
      <c r="AM78" s="35">
        <v>2.4</v>
      </c>
      <c r="AN78" s="35">
        <v>6</v>
      </c>
      <c r="AO78" s="35">
        <v>3</v>
      </c>
      <c r="AP78" s="35"/>
      <c r="AQ78" s="35">
        <v>0</v>
      </c>
      <c r="AR78" s="35">
        <v>0</v>
      </c>
      <c r="AS78" s="35">
        <v>9</v>
      </c>
      <c r="AT78" s="35">
        <v>3.15</v>
      </c>
      <c r="AU78" s="35"/>
      <c r="AV78" s="35">
        <v>1</v>
      </c>
      <c r="AW78" s="35">
        <v>0.35</v>
      </c>
      <c r="AX78" s="35">
        <v>12</v>
      </c>
      <c r="AY78" s="35">
        <v>4.45</v>
      </c>
      <c r="AZ78" s="35"/>
    </row>
    <row r="79" spans="1:52" x14ac:dyDescent="0.25">
      <c r="A79">
        <v>5</v>
      </c>
      <c r="B79" t="s">
        <v>74</v>
      </c>
      <c r="C79" s="35" t="s">
        <v>230</v>
      </c>
      <c r="D79" s="35" t="s">
        <v>230</v>
      </c>
      <c r="E79" s="35" t="s">
        <v>230</v>
      </c>
      <c r="F79" s="35" t="s">
        <v>230</v>
      </c>
      <c r="G79" s="35"/>
      <c r="H79" s="35">
        <v>2</v>
      </c>
      <c r="I79" s="35">
        <v>1.2</v>
      </c>
      <c r="J79" s="35">
        <v>5</v>
      </c>
      <c r="K79" s="35">
        <v>7.5</v>
      </c>
      <c r="L79" s="35"/>
      <c r="M79" s="35">
        <v>12</v>
      </c>
      <c r="N79" s="35">
        <v>7.55</v>
      </c>
      <c r="O79" s="35">
        <v>3</v>
      </c>
      <c r="P79" s="35">
        <v>1.65</v>
      </c>
      <c r="Q79" s="35"/>
      <c r="R79" s="35">
        <v>12</v>
      </c>
      <c r="S79" s="35">
        <v>3.38</v>
      </c>
      <c r="T79" s="35">
        <v>4</v>
      </c>
      <c r="U79" s="35">
        <v>1.1200000000000001</v>
      </c>
      <c r="V79" s="35"/>
      <c r="W79" s="35">
        <v>4</v>
      </c>
      <c r="X79" s="35">
        <v>2.1</v>
      </c>
      <c r="Y79" s="35">
        <v>1</v>
      </c>
      <c r="Z79" s="35">
        <v>0.55000000000000004</v>
      </c>
      <c r="AA79" s="35"/>
      <c r="AB79" s="35">
        <v>2</v>
      </c>
      <c r="AC79" s="35">
        <v>0.95</v>
      </c>
      <c r="AD79" s="35">
        <v>2</v>
      </c>
      <c r="AE79" s="35">
        <v>0.8</v>
      </c>
      <c r="AF79" s="35"/>
      <c r="AG79" s="35">
        <v>3</v>
      </c>
      <c r="AH79" s="35">
        <v>1.4</v>
      </c>
      <c r="AI79" s="35">
        <v>1</v>
      </c>
      <c r="AJ79" s="35">
        <v>0.55000000000000004</v>
      </c>
      <c r="AK79" s="35"/>
      <c r="AL79" s="35">
        <v>5</v>
      </c>
      <c r="AM79" s="35">
        <v>2.4</v>
      </c>
      <c r="AN79" s="35">
        <v>3</v>
      </c>
      <c r="AO79" s="35">
        <v>0.85</v>
      </c>
      <c r="AP79" s="35"/>
      <c r="AQ79" s="35">
        <v>6</v>
      </c>
      <c r="AR79" s="35">
        <v>2.4500000000000002</v>
      </c>
      <c r="AS79" s="35">
        <v>11</v>
      </c>
      <c r="AT79" s="35">
        <v>3.35</v>
      </c>
      <c r="AU79" s="35"/>
      <c r="AV79" s="35">
        <v>6</v>
      </c>
      <c r="AW79" s="35">
        <v>2.5499999999999998</v>
      </c>
      <c r="AX79" s="35">
        <v>5</v>
      </c>
      <c r="AY79" s="35">
        <v>1.4</v>
      </c>
      <c r="AZ79" s="35"/>
    </row>
    <row r="80" spans="1:52" x14ac:dyDescent="0.25">
      <c r="A80">
        <v>5</v>
      </c>
      <c r="B80" t="s">
        <v>86</v>
      </c>
      <c r="C80" s="35" t="s">
        <v>230</v>
      </c>
      <c r="D80" s="35" t="s">
        <v>230</v>
      </c>
      <c r="E80" s="35" t="s">
        <v>230</v>
      </c>
      <c r="F80" s="35" t="s">
        <v>230</v>
      </c>
      <c r="G80" s="35"/>
      <c r="H80" s="35">
        <v>6</v>
      </c>
      <c r="I80" s="35">
        <v>4.6500000000000004</v>
      </c>
      <c r="J80" s="35">
        <v>1</v>
      </c>
      <c r="K80" s="35">
        <v>0.7</v>
      </c>
      <c r="L80" s="35"/>
      <c r="M80" s="35">
        <v>13</v>
      </c>
      <c r="N80" s="35">
        <v>9.6999999999999993</v>
      </c>
      <c r="O80" s="35">
        <v>4</v>
      </c>
      <c r="P80" s="35">
        <v>2.5499999999999998</v>
      </c>
      <c r="Q80" s="35"/>
      <c r="R80" s="35">
        <v>30</v>
      </c>
      <c r="S80" s="35">
        <v>8.56</v>
      </c>
      <c r="T80" s="35">
        <v>22</v>
      </c>
      <c r="U80" s="35">
        <v>5.72</v>
      </c>
      <c r="V80" s="35"/>
      <c r="W80" s="35">
        <v>1</v>
      </c>
      <c r="X80" s="35">
        <v>0.45</v>
      </c>
      <c r="Y80" s="35">
        <v>0</v>
      </c>
      <c r="Z80" s="35">
        <v>0</v>
      </c>
      <c r="AA80" s="35"/>
      <c r="AB80" s="35">
        <v>0</v>
      </c>
      <c r="AC80" s="35">
        <v>0</v>
      </c>
      <c r="AD80" s="35">
        <v>0</v>
      </c>
      <c r="AE80" s="35">
        <v>0</v>
      </c>
      <c r="AF80" s="35"/>
      <c r="AG80" s="35">
        <v>0</v>
      </c>
      <c r="AH80" s="35">
        <v>0</v>
      </c>
      <c r="AI80" s="35">
        <v>1</v>
      </c>
      <c r="AJ80" s="35">
        <v>0.55000000000000004</v>
      </c>
      <c r="AK80" s="35"/>
      <c r="AL80" s="35">
        <v>0</v>
      </c>
      <c r="AM80" s="35">
        <v>0</v>
      </c>
      <c r="AN80" s="35">
        <v>0</v>
      </c>
      <c r="AO80" s="35">
        <v>0</v>
      </c>
      <c r="AP80" s="35"/>
      <c r="AQ80" s="35">
        <v>3</v>
      </c>
      <c r="AR80" s="35">
        <v>1.35</v>
      </c>
      <c r="AS80" s="35">
        <v>5</v>
      </c>
      <c r="AT80" s="35">
        <v>2</v>
      </c>
      <c r="AU80" s="35"/>
      <c r="AV80" s="35">
        <v>15</v>
      </c>
      <c r="AW80" s="35">
        <v>7.7</v>
      </c>
      <c r="AX80" s="35">
        <v>11</v>
      </c>
      <c r="AY80" s="35">
        <v>5</v>
      </c>
      <c r="AZ80" s="35"/>
    </row>
    <row r="81" spans="1:52" x14ac:dyDescent="0.25">
      <c r="A81">
        <v>5</v>
      </c>
      <c r="B81" t="s">
        <v>85</v>
      </c>
      <c r="C81" s="35">
        <v>1</v>
      </c>
      <c r="D81" s="35">
        <v>0.6</v>
      </c>
      <c r="E81" s="35">
        <v>5</v>
      </c>
      <c r="F81" s="35">
        <v>2.9</v>
      </c>
      <c r="G81" s="35"/>
      <c r="H81" s="35">
        <v>2</v>
      </c>
      <c r="I81" s="35">
        <v>1.9</v>
      </c>
      <c r="J81" s="35">
        <v>5</v>
      </c>
      <c r="K81" s="35">
        <v>3.5</v>
      </c>
      <c r="L81" s="35"/>
      <c r="M81" s="35">
        <v>14</v>
      </c>
      <c r="N81" s="35">
        <v>9.6</v>
      </c>
      <c r="O81" s="35">
        <v>4</v>
      </c>
      <c r="P81" s="35">
        <v>2.85</v>
      </c>
      <c r="Q81" s="35"/>
      <c r="R81" s="35">
        <v>18</v>
      </c>
      <c r="S81" s="35">
        <v>3.22</v>
      </c>
      <c r="T81" s="35">
        <v>5</v>
      </c>
      <c r="U81" s="35">
        <v>1.46</v>
      </c>
      <c r="V81" s="35"/>
      <c r="W81" s="35">
        <v>5</v>
      </c>
      <c r="X81" s="35">
        <v>3.1</v>
      </c>
      <c r="Y81" s="35">
        <v>2</v>
      </c>
      <c r="Z81" s="35">
        <v>1.35</v>
      </c>
      <c r="AA81" s="35"/>
      <c r="AB81" s="35">
        <v>3</v>
      </c>
      <c r="AC81" s="35">
        <v>2.0499999999999998</v>
      </c>
      <c r="AD81" s="35">
        <v>0</v>
      </c>
      <c r="AE81" s="35">
        <v>0</v>
      </c>
      <c r="AF81" s="35"/>
      <c r="AG81" s="35">
        <v>2</v>
      </c>
      <c r="AH81" s="35">
        <v>1.2</v>
      </c>
      <c r="AI81" s="35">
        <v>0</v>
      </c>
      <c r="AJ81" s="35">
        <v>0</v>
      </c>
      <c r="AK81" s="35"/>
      <c r="AL81" s="35">
        <v>6</v>
      </c>
      <c r="AM81" s="35">
        <v>3.35</v>
      </c>
      <c r="AN81" s="35">
        <v>4</v>
      </c>
      <c r="AO81" s="35">
        <v>1.7</v>
      </c>
      <c r="AP81" s="35"/>
      <c r="AQ81" s="35">
        <v>18</v>
      </c>
      <c r="AR81" s="35">
        <v>8.1999999999999993</v>
      </c>
      <c r="AS81" s="35">
        <v>9</v>
      </c>
      <c r="AT81" s="35">
        <v>3.75</v>
      </c>
      <c r="AU81" s="35"/>
      <c r="AV81" s="35">
        <v>5</v>
      </c>
      <c r="AW81" s="35">
        <v>2.2000000000000002</v>
      </c>
      <c r="AX81" s="35">
        <v>4</v>
      </c>
      <c r="AY81" s="35">
        <v>1.3</v>
      </c>
      <c r="AZ81" s="35"/>
    </row>
    <row r="82" spans="1:52" x14ac:dyDescent="0.25">
      <c r="A82">
        <v>5</v>
      </c>
      <c r="B82" t="s">
        <v>84</v>
      </c>
      <c r="C82" s="35">
        <v>5</v>
      </c>
      <c r="D82" s="35">
        <v>5.5</v>
      </c>
      <c r="E82" s="35">
        <v>0</v>
      </c>
      <c r="F82" s="35">
        <v>0</v>
      </c>
      <c r="G82" s="35"/>
      <c r="H82" s="35">
        <v>2</v>
      </c>
      <c r="I82" s="35">
        <v>0.8</v>
      </c>
      <c r="J82" s="35">
        <v>5</v>
      </c>
      <c r="K82" s="35">
        <v>4.3499999999999996</v>
      </c>
      <c r="L82" s="35"/>
      <c r="M82" s="35">
        <v>11</v>
      </c>
      <c r="N82" s="35">
        <v>6.85</v>
      </c>
      <c r="O82" s="35">
        <v>3</v>
      </c>
      <c r="P82" s="35">
        <v>2.2000000000000002</v>
      </c>
      <c r="Q82" s="35"/>
      <c r="R82" s="35">
        <v>10</v>
      </c>
      <c r="S82" s="35">
        <v>2.52</v>
      </c>
      <c r="T82" s="35">
        <v>8</v>
      </c>
      <c r="U82" s="35">
        <v>2.5</v>
      </c>
      <c r="V82" s="35"/>
      <c r="W82" s="35">
        <v>5</v>
      </c>
      <c r="X82" s="35">
        <v>1.05</v>
      </c>
      <c r="Y82" s="35">
        <v>7</v>
      </c>
      <c r="Z82" s="35">
        <v>2.25</v>
      </c>
      <c r="AA82" s="35"/>
      <c r="AB82" s="35">
        <v>0</v>
      </c>
      <c r="AC82" s="35">
        <v>0</v>
      </c>
      <c r="AD82" s="35">
        <v>0</v>
      </c>
      <c r="AE82" s="35">
        <v>0</v>
      </c>
      <c r="AF82" s="35"/>
      <c r="AG82" s="35">
        <v>3</v>
      </c>
      <c r="AH82" s="35">
        <v>0.85</v>
      </c>
      <c r="AI82" s="35">
        <v>2</v>
      </c>
      <c r="AJ82" s="35">
        <v>0.45</v>
      </c>
      <c r="AK82" s="35"/>
      <c r="AL82" s="35">
        <v>2</v>
      </c>
      <c r="AM82" s="35">
        <v>1</v>
      </c>
      <c r="AN82" s="35">
        <v>3</v>
      </c>
      <c r="AO82" s="35">
        <v>0.7</v>
      </c>
      <c r="AP82" s="35"/>
      <c r="AQ82" s="35">
        <v>5</v>
      </c>
      <c r="AR82" s="35">
        <v>2.95</v>
      </c>
      <c r="AS82" s="35">
        <v>10</v>
      </c>
      <c r="AT82" s="35">
        <v>2.5</v>
      </c>
      <c r="AU82" s="35"/>
      <c r="AV82" s="35">
        <v>8</v>
      </c>
      <c r="AW82" s="35">
        <v>3.1</v>
      </c>
      <c r="AX82" s="35">
        <v>13</v>
      </c>
      <c r="AY82" s="35">
        <v>2.85</v>
      </c>
      <c r="AZ82" s="35"/>
    </row>
    <row r="83" spans="1:52" x14ac:dyDescent="0.25">
      <c r="A83">
        <v>5</v>
      </c>
      <c r="B83" t="s">
        <v>83</v>
      </c>
      <c r="C83" s="35">
        <v>13</v>
      </c>
      <c r="D83" s="35">
        <v>4.5</v>
      </c>
      <c r="E83" s="35">
        <v>1</v>
      </c>
      <c r="F83" s="35">
        <v>0.2</v>
      </c>
      <c r="G83" s="35"/>
      <c r="H83" s="35">
        <v>14</v>
      </c>
      <c r="I83" s="35">
        <v>1.75</v>
      </c>
      <c r="J83" s="35">
        <v>42</v>
      </c>
      <c r="K83" s="35">
        <v>10.85</v>
      </c>
      <c r="L83" s="35"/>
      <c r="M83" s="35">
        <v>56</v>
      </c>
      <c r="N83" s="35">
        <v>4.75</v>
      </c>
      <c r="O83" s="35">
        <v>4</v>
      </c>
      <c r="P83" s="35">
        <v>0.2</v>
      </c>
      <c r="Q83" s="35"/>
      <c r="R83" s="35" t="s">
        <v>230</v>
      </c>
      <c r="S83" s="35">
        <v>3.66</v>
      </c>
      <c r="T83" s="35" t="s">
        <v>230</v>
      </c>
      <c r="U83" s="35">
        <v>1.92</v>
      </c>
      <c r="V83" s="35"/>
      <c r="W83" s="35" t="s">
        <v>230</v>
      </c>
      <c r="X83" s="35">
        <v>8.6999999999999993</v>
      </c>
      <c r="Y83" s="35" t="s">
        <v>230</v>
      </c>
      <c r="Z83" s="35">
        <v>0.65</v>
      </c>
      <c r="AA83" s="35"/>
      <c r="AB83" s="35" t="s">
        <v>230</v>
      </c>
      <c r="AC83" s="35">
        <v>0.3</v>
      </c>
      <c r="AD83" s="35" t="s">
        <v>230</v>
      </c>
      <c r="AE83" s="35">
        <v>3.9</v>
      </c>
      <c r="AF83" s="35"/>
      <c r="AG83" s="35" t="s">
        <v>230</v>
      </c>
      <c r="AH83" s="35">
        <v>7.85</v>
      </c>
      <c r="AI83" s="35" t="s">
        <v>230</v>
      </c>
      <c r="AJ83" s="35">
        <v>55</v>
      </c>
      <c r="AK83" s="35"/>
      <c r="AL83" s="35" t="s">
        <v>230</v>
      </c>
      <c r="AM83" s="35">
        <v>3.15</v>
      </c>
      <c r="AN83" s="35" t="s">
        <v>230</v>
      </c>
      <c r="AO83" s="35">
        <v>0.8</v>
      </c>
      <c r="AP83" s="35"/>
      <c r="AQ83" s="35" t="s">
        <v>230</v>
      </c>
      <c r="AR83" s="35">
        <v>2.0499999999999998</v>
      </c>
      <c r="AS83" s="35" t="s">
        <v>230</v>
      </c>
      <c r="AT83" s="35">
        <v>0.55000000000000004</v>
      </c>
      <c r="AU83" s="35"/>
      <c r="AV83" s="35" t="s">
        <v>230</v>
      </c>
      <c r="AW83" s="35">
        <v>5.8</v>
      </c>
      <c r="AX83" s="35" t="s">
        <v>230</v>
      </c>
      <c r="AY83" s="35">
        <v>0.7</v>
      </c>
      <c r="AZ83" s="35"/>
    </row>
    <row r="84" spans="1:52" x14ac:dyDescent="0.25">
      <c r="A84">
        <v>5</v>
      </c>
      <c r="B84" t="s">
        <v>75</v>
      </c>
      <c r="C84" s="35">
        <v>0</v>
      </c>
      <c r="D84" s="35">
        <v>0</v>
      </c>
      <c r="E84" s="35">
        <v>3</v>
      </c>
      <c r="F84" s="35">
        <v>2.0499999999999998</v>
      </c>
      <c r="G84" s="35"/>
      <c r="H84" s="35">
        <v>5</v>
      </c>
      <c r="I84" s="35">
        <v>3</v>
      </c>
      <c r="J84" s="35">
        <v>4</v>
      </c>
      <c r="K84" s="35">
        <v>1.65</v>
      </c>
      <c r="L84" s="35"/>
      <c r="M84" s="35">
        <v>19</v>
      </c>
      <c r="N84" s="35">
        <v>10.3</v>
      </c>
      <c r="O84" s="35">
        <v>6</v>
      </c>
      <c r="P84" s="35">
        <v>2.7</v>
      </c>
      <c r="Q84" s="35"/>
      <c r="R84" s="35">
        <v>14</v>
      </c>
      <c r="S84" s="35">
        <v>3.26</v>
      </c>
      <c r="T84" s="35">
        <v>2</v>
      </c>
      <c r="U84" s="35">
        <v>0.28000000000000003</v>
      </c>
      <c r="V84" s="35"/>
      <c r="W84" s="35">
        <v>3</v>
      </c>
      <c r="X84" s="35">
        <v>1.45</v>
      </c>
      <c r="Y84" s="35">
        <v>3</v>
      </c>
      <c r="Z84" s="35">
        <v>1.05</v>
      </c>
      <c r="AA84" s="35"/>
      <c r="AB84" s="35">
        <v>12</v>
      </c>
      <c r="AC84" s="35">
        <v>3.5</v>
      </c>
      <c r="AD84" s="35">
        <v>3</v>
      </c>
      <c r="AE84" s="35">
        <v>0.95</v>
      </c>
      <c r="AF84" s="35"/>
      <c r="AG84" s="35">
        <v>7</v>
      </c>
      <c r="AH84" s="35">
        <v>2.4</v>
      </c>
      <c r="AI84" s="35">
        <v>7</v>
      </c>
      <c r="AJ84" s="35">
        <v>2.1</v>
      </c>
      <c r="AK84" s="35"/>
      <c r="AL84" s="35">
        <v>4</v>
      </c>
      <c r="AM84" s="35">
        <v>1.75</v>
      </c>
      <c r="AN84" s="35">
        <v>4</v>
      </c>
      <c r="AO84" s="35">
        <v>1.1499999999999999</v>
      </c>
      <c r="AP84" s="35"/>
      <c r="AQ84" s="35">
        <v>7</v>
      </c>
      <c r="AR84" s="35">
        <v>2.7</v>
      </c>
      <c r="AS84" s="35">
        <v>9</v>
      </c>
      <c r="AT84" s="35">
        <v>2.4500000000000002</v>
      </c>
      <c r="AU84" s="35"/>
      <c r="AV84" s="35">
        <v>5</v>
      </c>
      <c r="AW84" s="35">
        <v>1.3</v>
      </c>
      <c r="AX84" s="35">
        <v>8</v>
      </c>
      <c r="AY84" s="35">
        <v>2.2000000000000002</v>
      </c>
      <c r="AZ84" s="35"/>
    </row>
    <row r="85" spans="1:52" x14ac:dyDescent="0.25">
      <c r="A85">
        <v>5</v>
      </c>
      <c r="B85" t="s">
        <v>76</v>
      </c>
      <c r="C85" s="35">
        <v>1</v>
      </c>
      <c r="D85" s="35">
        <v>0.65</v>
      </c>
      <c r="E85" s="35">
        <v>1</v>
      </c>
      <c r="F85" s="35">
        <v>0.7</v>
      </c>
      <c r="G85" s="35"/>
      <c r="H85" s="35">
        <v>4</v>
      </c>
      <c r="I85" s="35">
        <v>2.4</v>
      </c>
      <c r="J85" s="35">
        <v>10</v>
      </c>
      <c r="K85" s="35">
        <v>5.8</v>
      </c>
      <c r="L85" s="35"/>
      <c r="M85" s="35">
        <v>22</v>
      </c>
      <c r="N85" s="35">
        <v>10.9</v>
      </c>
      <c r="O85" s="35">
        <v>5</v>
      </c>
      <c r="P85" s="35">
        <v>2.95</v>
      </c>
      <c r="Q85" s="35"/>
      <c r="R85" s="35">
        <v>33</v>
      </c>
      <c r="S85" s="35">
        <v>7.92</v>
      </c>
      <c r="T85" s="35">
        <v>23</v>
      </c>
      <c r="U85" s="35">
        <v>4.34</v>
      </c>
      <c r="V85" s="35"/>
      <c r="W85" s="35">
        <v>7</v>
      </c>
      <c r="X85" s="35">
        <v>3.1</v>
      </c>
      <c r="Y85" s="35">
        <v>1</v>
      </c>
      <c r="Z85" s="35">
        <v>0.65</v>
      </c>
      <c r="AA85" s="35"/>
      <c r="AB85" s="35">
        <v>0</v>
      </c>
      <c r="AC85" s="35">
        <v>0</v>
      </c>
      <c r="AD85" s="35">
        <v>2</v>
      </c>
      <c r="AE85" s="35">
        <v>0.45</v>
      </c>
      <c r="AF85" s="35"/>
      <c r="AG85" s="35">
        <v>0</v>
      </c>
      <c r="AH85" s="35">
        <v>0</v>
      </c>
      <c r="AI85" s="35">
        <v>0</v>
      </c>
      <c r="AJ85" s="35">
        <v>0</v>
      </c>
      <c r="AK85" s="35"/>
      <c r="AL85" s="35">
        <v>2</v>
      </c>
      <c r="AM85" s="35">
        <v>0.85</v>
      </c>
      <c r="AN85" s="35">
        <v>0</v>
      </c>
      <c r="AO85" s="35">
        <v>0</v>
      </c>
      <c r="AP85" s="35"/>
      <c r="AQ85" s="35">
        <v>2</v>
      </c>
      <c r="AR85" s="35">
        <v>1.1499999999999999</v>
      </c>
      <c r="AS85" s="35">
        <v>4</v>
      </c>
      <c r="AT85" s="35">
        <v>1.55</v>
      </c>
      <c r="AU85" s="35"/>
      <c r="AV85" s="35">
        <v>6</v>
      </c>
      <c r="AW85" s="35">
        <v>2.95</v>
      </c>
      <c r="AX85" s="35">
        <v>28</v>
      </c>
      <c r="AY85" s="35">
        <v>10.6</v>
      </c>
      <c r="AZ85" s="35"/>
    </row>
    <row r="86" spans="1:52" x14ac:dyDescent="0.25">
      <c r="A86">
        <v>5</v>
      </c>
      <c r="B86" t="s">
        <v>77</v>
      </c>
      <c r="C86" s="35">
        <v>1</v>
      </c>
      <c r="D86" s="35">
        <v>0.65</v>
      </c>
      <c r="E86" s="35">
        <v>0</v>
      </c>
      <c r="F86" s="35">
        <v>0</v>
      </c>
      <c r="G86" s="35"/>
      <c r="H86" s="35">
        <v>15</v>
      </c>
      <c r="I86" s="35">
        <v>10.25</v>
      </c>
      <c r="J86" s="35">
        <v>8</v>
      </c>
      <c r="K86" s="35">
        <v>5.15</v>
      </c>
      <c r="L86" s="35"/>
      <c r="M86" s="35">
        <v>10</v>
      </c>
      <c r="N86" s="35">
        <v>5.45</v>
      </c>
      <c r="O86" s="35">
        <v>4</v>
      </c>
      <c r="P86" s="35">
        <v>2.65</v>
      </c>
      <c r="Q86" s="35"/>
      <c r="R86" s="35">
        <v>17</v>
      </c>
      <c r="S86" s="35">
        <v>4.0199999999999996</v>
      </c>
      <c r="T86" s="35">
        <v>25</v>
      </c>
      <c r="U86" s="35">
        <v>5.34</v>
      </c>
      <c r="V86" s="35"/>
      <c r="W86" s="35">
        <v>0</v>
      </c>
      <c r="X86" s="35">
        <v>0</v>
      </c>
      <c r="Y86" s="35">
        <v>3</v>
      </c>
      <c r="Z86" s="35">
        <v>1.05</v>
      </c>
      <c r="AA86" s="35"/>
      <c r="AB86" s="35">
        <v>5</v>
      </c>
      <c r="AC86" s="35">
        <v>2.4500000000000002</v>
      </c>
      <c r="AD86" s="35">
        <v>0</v>
      </c>
      <c r="AE86" s="35">
        <v>0</v>
      </c>
      <c r="AF86" s="35"/>
      <c r="AG86" s="35">
        <v>3</v>
      </c>
      <c r="AH86" s="35">
        <v>1.5</v>
      </c>
      <c r="AI86" s="35">
        <v>1</v>
      </c>
      <c r="AJ86" s="35">
        <v>0.65</v>
      </c>
      <c r="AK86" s="35"/>
      <c r="AL86" s="35">
        <v>0</v>
      </c>
      <c r="AM86" s="35">
        <v>0</v>
      </c>
      <c r="AN86" s="35">
        <v>7</v>
      </c>
      <c r="AO86" s="35">
        <v>2.9</v>
      </c>
      <c r="AP86" s="35"/>
      <c r="AQ86" s="35">
        <v>1</v>
      </c>
      <c r="AR86" s="35">
        <v>0.4</v>
      </c>
      <c r="AS86" s="35">
        <v>11</v>
      </c>
      <c r="AT86" s="35">
        <v>4.75</v>
      </c>
      <c r="AU86" s="35"/>
      <c r="AV86" s="35">
        <v>11</v>
      </c>
      <c r="AW86" s="35">
        <v>5.25</v>
      </c>
      <c r="AX86" s="35">
        <v>17</v>
      </c>
      <c r="AY86" s="35">
        <v>7.2</v>
      </c>
      <c r="AZ86" s="35"/>
    </row>
    <row r="87" spans="1:52" x14ac:dyDescent="0.25">
      <c r="A87">
        <v>5</v>
      </c>
      <c r="B87" t="s">
        <v>78</v>
      </c>
      <c r="C87" s="35">
        <v>3</v>
      </c>
      <c r="D87" s="35">
        <v>2.5</v>
      </c>
      <c r="E87" s="35">
        <v>0</v>
      </c>
      <c r="F87" s="35">
        <v>0</v>
      </c>
      <c r="G87" s="35"/>
      <c r="H87" s="35">
        <v>6</v>
      </c>
      <c r="I87" s="35">
        <v>3.55</v>
      </c>
      <c r="J87" s="35">
        <v>3</v>
      </c>
      <c r="K87" s="35">
        <v>2.15</v>
      </c>
      <c r="L87" s="35"/>
      <c r="M87" s="35">
        <v>12</v>
      </c>
      <c r="N87" s="35">
        <v>7.4</v>
      </c>
      <c r="O87" s="35">
        <v>4</v>
      </c>
      <c r="P87" s="35">
        <v>2.5</v>
      </c>
      <c r="Q87" s="35"/>
      <c r="R87" s="35">
        <v>13</v>
      </c>
      <c r="S87" s="35">
        <v>3.86</v>
      </c>
      <c r="T87" s="35">
        <v>17</v>
      </c>
      <c r="U87" s="35">
        <v>3.84</v>
      </c>
      <c r="V87" s="35"/>
      <c r="W87" s="35">
        <v>7</v>
      </c>
      <c r="X87" s="35">
        <v>3.95</v>
      </c>
      <c r="Y87" s="35">
        <v>5</v>
      </c>
      <c r="Z87" s="35">
        <v>3.15</v>
      </c>
      <c r="AA87" s="35"/>
      <c r="AB87" s="35">
        <v>0</v>
      </c>
      <c r="AC87" s="35">
        <v>0</v>
      </c>
      <c r="AD87" s="35">
        <v>0</v>
      </c>
      <c r="AE87" s="35">
        <v>0</v>
      </c>
      <c r="AF87" s="35"/>
      <c r="AG87" s="35">
        <v>0</v>
      </c>
      <c r="AH87" s="35">
        <v>0</v>
      </c>
      <c r="AI87" s="35">
        <v>0</v>
      </c>
      <c r="AJ87" s="35">
        <v>0</v>
      </c>
      <c r="AK87" s="35"/>
      <c r="AL87" s="35">
        <v>0</v>
      </c>
      <c r="AM87" s="35">
        <v>0</v>
      </c>
      <c r="AN87" s="35">
        <v>1</v>
      </c>
      <c r="AO87" s="35">
        <v>0.1</v>
      </c>
      <c r="AP87" s="35"/>
      <c r="AQ87" s="35">
        <v>0</v>
      </c>
      <c r="AR87" s="35">
        <v>0</v>
      </c>
      <c r="AS87" s="35">
        <v>2</v>
      </c>
      <c r="AT87" s="35">
        <v>0.65</v>
      </c>
      <c r="AU87" s="35"/>
      <c r="AV87" s="35">
        <v>5</v>
      </c>
      <c r="AW87" s="35">
        <v>1.75</v>
      </c>
      <c r="AX87" s="35">
        <v>29</v>
      </c>
      <c r="AY87" s="35">
        <v>9.9</v>
      </c>
      <c r="AZ87" s="35"/>
    </row>
    <row r="88" spans="1:52" x14ac:dyDescent="0.25">
      <c r="A88">
        <v>5</v>
      </c>
      <c r="B88" t="s">
        <v>79</v>
      </c>
      <c r="C88" s="35" t="s">
        <v>230</v>
      </c>
      <c r="D88" s="35" t="s">
        <v>230</v>
      </c>
      <c r="E88" s="35" t="s">
        <v>230</v>
      </c>
      <c r="F88" s="35" t="s">
        <v>230</v>
      </c>
      <c r="G88" s="35"/>
      <c r="H88" s="35">
        <v>0</v>
      </c>
      <c r="I88" s="35">
        <v>0</v>
      </c>
      <c r="J88" s="35">
        <v>13</v>
      </c>
      <c r="K88" s="35">
        <v>6.7</v>
      </c>
      <c r="L88" s="35"/>
      <c r="M88" s="35">
        <v>2</v>
      </c>
      <c r="N88" s="35">
        <v>1.1499999999999999</v>
      </c>
      <c r="O88" s="35">
        <v>4</v>
      </c>
      <c r="P88" s="35">
        <v>3.65</v>
      </c>
      <c r="Q88" s="35"/>
      <c r="R88" s="35">
        <v>7</v>
      </c>
      <c r="S88" s="35">
        <v>2.14</v>
      </c>
      <c r="T88" s="35">
        <v>18</v>
      </c>
      <c r="U88" s="35">
        <v>4.54</v>
      </c>
      <c r="V88" s="35"/>
      <c r="W88" s="35">
        <v>4</v>
      </c>
      <c r="X88" s="35">
        <v>2.5499999999999998</v>
      </c>
      <c r="Y88" s="35">
        <v>6</v>
      </c>
      <c r="Z88" s="35">
        <v>2.6</v>
      </c>
      <c r="AA88" s="35"/>
      <c r="AB88" s="35">
        <v>0</v>
      </c>
      <c r="AC88" s="35">
        <v>0</v>
      </c>
      <c r="AD88" s="35">
        <v>0</v>
      </c>
      <c r="AE88" s="35">
        <v>0</v>
      </c>
      <c r="AF88" s="35"/>
      <c r="AG88" s="35">
        <v>0</v>
      </c>
      <c r="AH88" s="35">
        <v>0</v>
      </c>
      <c r="AI88" s="35">
        <v>1</v>
      </c>
      <c r="AJ88" s="35">
        <v>0.85</v>
      </c>
      <c r="AK88" s="35"/>
      <c r="AL88" s="35">
        <v>0</v>
      </c>
      <c r="AM88" s="35">
        <v>0</v>
      </c>
      <c r="AN88" s="35">
        <v>0</v>
      </c>
      <c r="AO88" s="35">
        <v>0</v>
      </c>
      <c r="AP88" s="35"/>
      <c r="AQ88" s="35">
        <v>0</v>
      </c>
      <c r="AR88" s="35">
        <v>0</v>
      </c>
      <c r="AS88" s="35">
        <v>3</v>
      </c>
      <c r="AT88" s="35">
        <v>1.3</v>
      </c>
      <c r="AU88" s="35"/>
      <c r="AV88" s="35">
        <v>5</v>
      </c>
      <c r="AW88" s="35">
        <v>2.25</v>
      </c>
      <c r="AX88" s="35">
        <v>18</v>
      </c>
      <c r="AY88" s="35">
        <v>8.25</v>
      </c>
      <c r="AZ88" s="35"/>
    </row>
    <row r="89" spans="1:52" x14ac:dyDescent="0.25">
      <c r="A89">
        <v>5</v>
      </c>
      <c r="B89" t="s">
        <v>80</v>
      </c>
      <c r="C89" s="35" t="s">
        <v>230</v>
      </c>
      <c r="D89" s="35" t="s">
        <v>230</v>
      </c>
      <c r="E89" s="35" t="s">
        <v>230</v>
      </c>
      <c r="F89" s="35" t="s">
        <v>230</v>
      </c>
      <c r="G89" s="35"/>
      <c r="H89" s="35">
        <v>0</v>
      </c>
      <c r="I89" s="35">
        <v>4.75</v>
      </c>
      <c r="J89" s="35">
        <v>7</v>
      </c>
      <c r="K89" s="35">
        <v>4</v>
      </c>
      <c r="L89" s="35"/>
      <c r="M89" s="35">
        <v>8</v>
      </c>
      <c r="N89" s="35">
        <v>6.9</v>
      </c>
      <c r="O89" s="35">
        <v>13</v>
      </c>
      <c r="P89" s="35">
        <v>11.45</v>
      </c>
      <c r="Q89" s="35"/>
      <c r="R89" s="35">
        <v>3</v>
      </c>
      <c r="S89" s="35">
        <v>0.96</v>
      </c>
      <c r="T89" s="35">
        <v>11</v>
      </c>
      <c r="U89" s="35">
        <v>4.0999999999999996</v>
      </c>
      <c r="V89" s="35"/>
      <c r="W89" s="35">
        <v>2</v>
      </c>
      <c r="X89" s="35">
        <v>1.45</v>
      </c>
      <c r="Y89" s="35">
        <v>4</v>
      </c>
      <c r="Z89" s="35">
        <v>3.75</v>
      </c>
      <c r="AA89" s="35"/>
      <c r="AB89" s="35">
        <v>0</v>
      </c>
      <c r="AC89" s="35">
        <v>0</v>
      </c>
      <c r="AD89" s="35">
        <v>0</v>
      </c>
      <c r="AE89" s="35">
        <v>0</v>
      </c>
      <c r="AF89" s="35"/>
      <c r="AG89" s="35">
        <v>0</v>
      </c>
      <c r="AH89" s="35">
        <v>0</v>
      </c>
      <c r="AI89" s="35">
        <v>1</v>
      </c>
      <c r="AJ89" s="35">
        <v>0.75</v>
      </c>
      <c r="AK89" s="35"/>
      <c r="AL89" s="35">
        <v>0</v>
      </c>
      <c r="AM89" s="35">
        <v>0</v>
      </c>
      <c r="AN89" s="35">
        <v>9</v>
      </c>
      <c r="AO89" s="35">
        <v>5.05</v>
      </c>
      <c r="AP89" s="35"/>
      <c r="AQ89" s="35">
        <v>0</v>
      </c>
      <c r="AR89" s="35">
        <v>0</v>
      </c>
      <c r="AS89" s="35">
        <v>12</v>
      </c>
      <c r="AT89" s="35">
        <v>7.3</v>
      </c>
      <c r="AU89" s="35"/>
      <c r="AV89" s="35">
        <v>4</v>
      </c>
      <c r="AW89" s="35">
        <v>1.9</v>
      </c>
      <c r="AX89" s="35">
        <v>11</v>
      </c>
      <c r="AY89" s="35">
        <v>6.55</v>
      </c>
      <c r="AZ89" s="35"/>
    </row>
    <row r="90" spans="1:52" x14ac:dyDescent="0.25">
      <c r="A90">
        <v>5</v>
      </c>
      <c r="B90" t="s">
        <v>81</v>
      </c>
      <c r="C90" s="35">
        <v>1</v>
      </c>
      <c r="D90" s="35">
        <v>0.9</v>
      </c>
      <c r="E90" s="35">
        <v>3</v>
      </c>
      <c r="F90" s="35">
        <v>2.1</v>
      </c>
      <c r="G90" s="35"/>
      <c r="H90" s="35">
        <v>16</v>
      </c>
      <c r="I90" s="35">
        <v>8.35</v>
      </c>
      <c r="J90" s="35">
        <v>0</v>
      </c>
      <c r="K90" s="35">
        <v>0</v>
      </c>
      <c r="L90" s="35"/>
      <c r="M90" s="35">
        <v>23</v>
      </c>
      <c r="N90" s="35">
        <v>10.6</v>
      </c>
      <c r="O90" s="35">
        <v>7</v>
      </c>
      <c r="P90" s="35">
        <v>3.85</v>
      </c>
      <c r="Q90" s="35"/>
      <c r="R90" s="35">
        <v>16</v>
      </c>
      <c r="S90" s="35">
        <v>3.66</v>
      </c>
      <c r="T90" s="35">
        <v>25</v>
      </c>
      <c r="U90" s="35">
        <v>5.36</v>
      </c>
      <c r="V90" s="35"/>
      <c r="W90" s="35">
        <v>0</v>
      </c>
      <c r="X90" s="35" t="s">
        <v>230</v>
      </c>
      <c r="Y90" s="35">
        <v>3</v>
      </c>
      <c r="Z90" s="35">
        <v>1.45</v>
      </c>
      <c r="AA90" s="35"/>
      <c r="AB90" s="35">
        <v>0</v>
      </c>
      <c r="AC90" s="35">
        <v>0</v>
      </c>
      <c r="AD90" s="35">
        <v>1</v>
      </c>
      <c r="AE90" s="35">
        <v>0.75</v>
      </c>
      <c r="AF90" s="35"/>
      <c r="AG90" s="35">
        <v>0</v>
      </c>
      <c r="AH90" s="35">
        <v>0</v>
      </c>
      <c r="AI90" s="35">
        <v>5</v>
      </c>
      <c r="AJ90" s="35">
        <v>1.7</v>
      </c>
      <c r="AK90" s="35"/>
      <c r="AL90" s="35">
        <v>3</v>
      </c>
      <c r="AM90" s="35">
        <v>1.4</v>
      </c>
      <c r="AN90" s="35">
        <v>11</v>
      </c>
      <c r="AO90" s="35">
        <v>3.55</v>
      </c>
      <c r="AP90" s="35"/>
      <c r="AQ90" s="35">
        <v>1</v>
      </c>
      <c r="AR90" s="35">
        <v>0.45</v>
      </c>
      <c r="AS90" s="35">
        <v>15</v>
      </c>
      <c r="AT90" s="35">
        <v>5.65</v>
      </c>
      <c r="AU90" s="35"/>
      <c r="AV90" s="35">
        <v>0</v>
      </c>
      <c r="AW90" s="35">
        <v>0</v>
      </c>
      <c r="AX90" s="35">
        <v>7</v>
      </c>
      <c r="AY90" s="35">
        <v>2.4500000000000002</v>
      </c>
      <c r="AZ90" s="35"/>
    </row>
  </sheetData>
  <mergeCells count="30">
    <mergeCell ref="AV1:AY1"/>
    <mergeCell ref="AV2:AW2"/>
    <mergeCell ref="AX2:AY2"/>
    <mergeCell ref="AQ1:AT1"/>
    <mergeCell ref="AQ2:AR2"/>
    <mergeCell ref="AS2:AT2"/>
    <mergeCell ref="AG1:AJ1"/>
    <mergeCell ref="AG2:AH2"/>
    <mergeCell ref="AI2:AJ2"/>
    <mergeCell ref="AL1:AO1"/>
    <mergeCell ref="AL2:AM2"/>
    <mergeCell ref="AN2:AO2"/>
    <mergeCell ref="W1:Z1"/>
    <mergeCell ref="W2:X2"/>
    <mergeCell ref="Y2:Z2"/>
    <mergeCell ref="AB1:AE1"/>
    <mergeCell ref="AB2:AC2"/>
    <mergeCell ref="AD2:AE2"/>
    <mergeCell ref="M1:P1"/>
    <mergeCell ref="M2:N2"/>
    <mergeCell ref="O2:P2"/>
    <mergeCell ref="R1:U1"/>
    <mergeCell ref="R2:S2"/>
    <mergeCell ref="T2:U2"/>
    <mergeCell ref="C2:D2"/>
    <mergeCell ref="E2:F2"/>
    <mergeCell ref="C1:F1"/>
    <mergeCell ref="H1:K1"/>
    <mergeCell ref="H2:I2"/>
    <mergeCell ref="J2:K2"/>
  </mergeCells>
  <phoneticPr fontId="1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09D18-A3A0-4D55-B578-1DA4E3291A0A}">
  <dimension ref="A1:AR98"/>
  <sheetViews>
    <sheetView workbookViewId="0">
      <pane xSplit="1" ySplit="2" topLeftCell="Y3" activePane="bottomRight" state="frozen"/>
      <selection pane="topRight" activeCell="C1" sqref="C1"/>
      <selection pane="bottomLeft" activeCell="A3" sqref="A3"/>
      <selection pane="bottomRight" activeCell="AE15" sqref="AE15"/>
    </sheetView>
  </sheetViews>
  <sheetFormatPr defaultRowHeight="15.75" x14ac:dyDescent="0.25"/>
  <cols>
    <col min="1" max="1" width="21.75" bestFit="1" customWidth="1"/>
    <col min="2" max="10" width="8.5" bestFit="1" customWidth="1"/>
    <col min="11" max="11" width="9.5" bestFit="1" customWidth="1"/>
    <col min="13" max="13" width="14.5" bestFit="1" customWidth="1"/>
    <col min="14" max="14" width="19.875" bestFit="1" customWidth="1"/>
    <col min="15" max="15" width="11.25" customWidth="1"/>
    <col min="16" max="16" width="21.75" bestFit="1" customWidth="1"/>
    <col min="17" max="25" width="8.5" bestFit="1" customWidth="1"/>
    <col min="26" max="26" width="9.5" bestFit="1" customWidth="1"/>
    <col min="28" max="28" width="14.5" bestFit="1" customWidth="1"/>
    <col min="29" max="29" width="19.875" bestFit="1" customWidth="1"/>
    <col min="30" max="30" width="11.25" customWidth="1"/>
    <col min="31" max="31" width="21.75" bestFit="1" customWidth="1"/>
    <col min="32" max="40" width="8.5" bestFit="1" customWidth="1"/>
    <col min="41" max="41" width="9.5" bestFit="1" customWidth="1"/>
  </cols>
  <sheetData>
    <row r="1" spans="1:44" x14ac:dyDescent="0.25">
      <c r="B1" s="48" t="s">
        <v>384</v>
      </c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34"/>
      <c r="O1" s="34"/>
      <c r="Q1" s="48" t="s">
        <v>386</v>
      </c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34"/>
      <c r="AD1" s="34"/>
      <c r="AF1" s="48" t="s">
        <v>388</v>
      </c>
      <c r="AG1" s="48"/>
      <c r="AH1" s="48"/>
      <c r="AI1" s="48"/>
      <c r="AJ1" s="48"/>
      <c r="AK1" s="48"/>
      <c r="AL1" s="48"/>
      <c r="AM1" s="48"/>
      <c r="AN1" s="48"/>
      <c r="AO1" s="48"/>
      <c r="AP1" s="48"/>
    </row>
    <row r="2" spans="1:44" x14ac:dyDescent="0.25">
      <c r="A2" s="4" t="s">
        <v>168</v>
      </c>
      <c r="B2" s="4" t="s">
        <v>374</v>
      </c>
      <c r="C2" s="4" t="s">
        <v>375</v>
      </c>
      <c r="D2" s="4" t="s">
        <v>376</v>
      </c>
      <c r="E2" s="4" t="s">
        <v>377</v>
      </c>
      <c r="F2" s="4" t="s">
        <v>378</v>
      </c>
      <c r="G2" s="4" t="s">
        <v>379</v>
      </c>
      <c r="H2" s="4" t="s">
        <v>380</v>
      </c>
      <c r="I2" s="4" t="s">
        <v>381</v>
      </c>
      <c r="J2" s="4" t="s">
        <v>382</v>
      </c>
      <c r="K2" s="4" t="s">
        <v>383</v>
      </c>
      <c r="L2" s="34" t="s">
        <v>385</v>
      </c>
      <c r="M2" s="34" t="s">
        <v>397</v>
      </c>
      <c r="N2" s="34" t="s">
        <v>393</v>
      </c>
      <c r="O2" s="34"/>
      <c r="Q2" s="4" t="s">
        <v>374</v>
      </c>
      <c r="R2" s="4" t="s">
        <v>375</v>
      </c>
      <c r="S2" s="4" t="s">
        <v>376</v>
      </c>
      <c r="T2" s="4" t="s">
        <v>377</v>
      </c>
      <c r="U2" s="4" t="s">
        <v>378</v>
      </c>
      <c r="V2" s="4" t="s">
        <v>379</v>
      </c>
      <c r="W2" s="4" t="s">
        <v>380</v>
      </c>
      <c r="X2" s="4" t="s">
        <v>381</v>
      </c>
      <c r="Y2" s="4" t="s">
        <v>382</v>
      </c>
      <c r="Z2" s="4" t="s">
        <v>383</v>
      </c>
      <c r="AA2" s="34" t="s">
        <v>385</v>
      </c>
      <c r="AB2" s="34" t="s">
        <v>397</v>
      </c>
      <c r="AC2" s="34" t="s">
        <v>393</v>
      </c>
      <c r="AD2" s="34"/>
      <c r="AF2" s="4" t="s">
        <v>374</v>
      </c>
      <c r="AG2" s="4" t="s">
        <v>375</v>
      </c>
      <c r="AH2" s="4" t="s">
        <v>376</v>
      </c>
      <c r="AI2" s="4" t="s">
        <v>377</v>
      </c>
      <c r="AJ2" s="4" t="s">
        <v>378</v>
      </c>
      <c r="AK2" s="4" t="s">
        <v>379</v>
      </c>
      <c r="AL2" s="4" t="s">
        <v>380</v>
      </c>
      <c r="AM2" s="4" t="s">
        <v>381</v>
      </c>
      <c r="AN2" s="4" t="s">
        <v>382</v>
      </c>
      <c r="AO2" s="4" t="s">
        <v>383</v>
      </c>
      <c r="AP2" s="34" t="s">
        <v>387</v>
      </c>
    </row>
    <row r="3" spans="1:44" x14ac:dyDescent="0.25">
      <c r="A3" t="s">
        <v>0</v>
      </c>
      <c r="B3" s="37">
        <v>22</v>
      </c>
      <c r="C3" s="37">
        <v>94</v>
      </c>
      <c r="D3" s="37">
        <v>76</v>
      </c>
      <c r="E3" s="37" t="s">
        <v>230</v>
      </c>
      <c r="F3" s="37" t="s">
        <v>230</v>
      </c>
      <c r="G3" s="37" t="s">
        <v>230</v>
      </c>
      <c r="H3" s="37" t="s">
        <v>230</v>
      </c>
      <c r="I3" s="37" t="s">
        <v>230</v>
      </c>
      <c r="J3" s="37" t="s">
        <v>230</v>
      </c>
      <c r="K3" s="37" t="s">
        <v>230</v>
      </c>
      <c r="L3" s="44">
        <f>SUM(B3:K3)</f>
        <v>192</v>
      </c>
      <c r="M3" s="37">
        <f>AVERAGE(B3:K3)</f>
        <v>64</v>
      </c>
      <c r="N3" s="37">
        <f>(L3/(L3+'Cull Yield'!L3))*100</f>
        <v>71.641791044776113</v>
      </c>
      <c r="Q3" s="37">
        <v>0.76</v>
      </c>
      <c r="R3" s="37">
        <v>2.34</v>
      </c>
      <c r="S3" s="37">
        <v>1.86</v>
      </c>
      <c r="T3" s="37">
        <v>3.46</v>
      </c>
      <c r="U3" s="37">
        <v>1.88</v>
      </c>
      <c r="V3" s="37">
        <v>5.51</v>
      </c>
      <c r="W3" s="37">
        <v>3.63</v>
      </c>
      <c r="X3" s="37">
        <v>2.46</v>
      </c>
      <c r="Y3" s="37">
        <v>3.65</v>
      </c>
      <c r="Z3" s="37">
        <v>1.72</v>
      </c>
      <c r="AA3" s="44">
        <f>SUM(Q3:Z3)</f>
        <v>27.27</v>
      </c>
      <c r="AB3" s="37">
        <f>AVERAGE(Q3:Z3)</f>
        <v>2.7269999999999999</v>
      </c>
      <c r="AC3" s="37">
        <f>(AA3/(AA3+'Cull Yield'!AA3))*100</f>
        <v>75.728964176617609</v>
      </c>
      <c r="AF3" s="37">
        <f>(Q3/B3)*16</f>
        <v>0.55272727272727273</v>
      </c>
      <c r="AG3" s="37">
        <f>(R3/C3)*16</f>
        <v>0.39829787234042552</v>
      </c>
      <c r="AH3" s="37">
        <f>(S3/D3)*16</f>
        <v>0.39157894736842108</v>
      </c>
      <c r="AI3" s="37" t="s">
        <v>230</v>
      </c>
      <c r="AJ3" s="37" t="s">
        <v>230</v>
      </c>
      <c r="AK3" s="37" t="s">
        <v>230</v>
      </c>
      <c r="AL3" s="37" t="s">
        <v>230</v>
      </c>
      <c r="AM3" s="37" t="s">
        <v>230</v>
      </c>
      <c r="AN3" s="37" t="s">
        <v>230</v>
      </c>
      <c r="AO3" s="37" t="s">
        <v>230</v>
      </c>
      <c r="AP3" s="40">
        <f>AVERAGE(AF3:AO3)</f>
        <v>0.44753469747870644</v>
      </c>
      <c r="AR3" t="s">
        <v>373</v>
      </c>
    </row>
    <row r="4" spans="1:44" x14ac:dyDescent="0.25">
      <c r="A4" t="s">
        <v>1</v>
      </c>
      <c r="B4" s="37">
        <v>22</v>
      </c>
      <c r="C4" s="37">
        <v>32</v>
      </c>
      <c r="D4" s="37">
        <v>92</v>
      </c>
      <c r="E4" s="37" t="s">
        <v>230</v>
      </c>
      <c r="F4" s="37" t="s">
        <v>230</v>
      </c>
      <c r="G4" s="37" t="s">
        <v>230</v>
      </c>
      <c r="H4" s="37" t="s">
        <v>230</v>
      </c>
      <c r="I4" s="37" t="s">
        <v>230</v>
      </c>
      <c r="J4" s="37" t="s">
        <v>230</v>
      </c>
      <c r="K4" s="37" t="s">
        <v>230</v>
      </c>
      <c r="L4" s="44">
        <f t="shared" ref="L4:L67" si="0">SUM(B4:K4)</f>
        <v>146</v>
      </c>
      <c r="M4" s="37">
        <f t="shared" ref="M4:M67" si="1">AVERAGE(B4:K4)</f>
        <v>48.666666666666664</v>
      </c>
      <c r="N4" s="37">
        <f>(L4/(L4+'Cull Yield'!L4))*100</f>
        <v>71.921182266009851</v>
      </c>
      <c r="Q4" s="37">
        <v>1.33</v>
      </c>
      <c r="R4" s="37">
        <v>4.87</v>
      </c>
      <c r="S4" s="37">
        <v>3.66</v>
      </c>
      <c r="T4" s="37">
        <v>3.61</v>
      </c>
      <c r="U4" s="37">
        <v>1.03</v>
      </c>
      <c r="V4" s="37">
        <v>3.33</v>
      </c>
      <c r="W4" s="37">
        <v>2.15</v>
      </c>
      <c r="X4" s="37">
        <v>0.95</v>
      </c>
      <c r="Y4" s="37">
        <v>0.79</v>
      </c>
      <c r="Z4" s="37">
        <v>1.1399999999999999</v>
      </c>
      <c r="AA4" s="44">
        <f t="shared" ref="AA4:AA67" si="2">SUM(Q4:Z4)</f>
        <v>22.859999999999996</v>
      </c>
      <c r="AB4" s="37">
        <f t="shared" ref="AB4:AB67" si="3">AVERAGE(Q4:Z4)</f>
        <v>2.2859999999999996</v>
      </c>
      <c r="AC4" s="37">
        <f>(AA4/(AA4+'Cull Yield'!AA4))*100</f>
        <v>68.218442256042962</v>
      </c>
      <c r="AF4" s="37">
        <f t="shared" ref="AF4:AF67" si="4">(Q4/B4)*16</f>
        <v>0.96727272727272728</v>
      </c>
      <c r="AG4" s="37">
        <f t="shared" ref="AG4:AG67" si="5">(R4/C4)*16</f>
        <v>2.4350000000000001</v>
      </c>
      <c r="AH4" s="37">
        <f t="shared" ref="AH4:AH67" si="6">(S4/D4)*16</f>
        <v>0.63652173913043486</v>
      </c>
      <c r="AI4" s="37" t="s">
        <v>230</v>
      </c>
      <c r="AJ4" s="37" t="s">
        <v>230</v>
      </c>
      <c r="AK4" s="37" t="s">
        <v>230</v>
      </c>
      <c r="AL4" s="37" t="s">
        <v>230</v>
      </c>
      <c r="AM4" s="37" t="s">
        <v>230</v>
      </c>
      <c r="AN4" s="37" t="s">
        <v>230</v>
      </c>
      <c r="AO4" s="37" t="s">
        <v>230</v>
      </c>
      <c r="AP4" s="40">
        <f t="shared" ref="AP4:AP67" si="7">AVERAGE(AF4:AO4)</f>
        <v>1.3462648221343876</v>
      </c>
    </row>
    <row r="5" spans="1:44" x14ac:dyDescent="0.25">
      <c r="A5" t="s">
        <v>2</v>
      </c>
      <c r="B5" s="37">
        <v>31</v>
      </c>
      <c r="C5" s="37">
        <v>62</v>
      </c>
      <c r="D5" s="37">
        <v>60</v>
      </c>
      <c r="E5" s="37" t="s">
        <v>230</v>
      </c>
      <c r="F5" s="37" t="s">
        <v>230</v>
      </c>
      <c r="G5" s="37" t="s">
        <v>230</v>
      </c>
      <c r="H5" s="37" t="s">
        <v>230</v>
      </c>
      <c r="I5" s="37" t="s">
        <v>230</v>
      </c>
      <c r="J5" s="37" t="s">
        <v>230</v>
      </c>
      <c r="K5" s="37" t="s">
        <v>230</v>
      </c>
      <c r="L5" s="44">
        <f t="shared" si="0"/>
        <v>153</v>
      </c>
      <c r="M5" s="37">
        <f t="shared" si="1"/>
        <v>51</v>
      </c>
      <c r="N5" s="37">
        <f>(L5/(L5+'Cull Yield'!L5))*100</f>
        <v>78.461538461538467</v>
      </c>
      <c r="Q5" s="37">
        <v>1.1599999999999999</v>
      </c>
      <c r="R5" s="37">
        <v>2.65</v>
      </c>
      <c r="S5" s="37">
        <v>1.65</v>
      </c>
      <c r="T5" s="37">
        <v>6.23</v>
      </c>
      <c r="U5" s="37">
        <v>2.86</v>
      </c>
      <c r="V5" s="37">
        <v>5.36</v>
      </c>
      <c r="W5" s="37">
        <v>3.74</v>
      </c>
      <c r="X5" s="37">
        <v>2.08</v>
      </c>
      <c r="Y5" s="37">
        <v>2.83</v>
      </c>
      <c r="Z5" s="37">
        <v>2.11</v>
      </c>
      <c r="AA5" s="46">
        <f t="shared" si="2"/>
        <v>30.669999999999995</v>
      </c>
      <c r="AB5" s="37">
        <f t="shared" si="3"/>
        <v>3.0669999999999993</v>
      </c>
      <c r="AC5" s="37">
        <f>(AA5/(AA5+'Cull Yield'!AA5))*100</f>
        <v>84.050424773910663</v>
      </c>
      <c r="AF5" s="37">
        <f t="shared" si="4"/>
        <v>0.59870967741935477</v>
      </c>
      <c r="AG5" s="37">
        <f t="shared" si="5"/>
        <v>0.68387096774193545</v>
      </c>
      <c r="AH5" s="37">
        <f t="shared" si="6"/>
        <v>0.44</v>
      </c>
      <c r="AI5" s="37" t="s">
        <v>230</v>
      </c>
      <c r="AJ5" s="37" t="s">
        <v>230</v>
      </c>
      <c r="AK5" s="37" t="s">
        <v>230</v>
      </c>
      <c r="AL5" s="37" t="s">
        <v>230</v>
      </c>
      <c r="AM5" s="37" t="s">
        <v>230</v>
      </c>
      <c r="AN5" s="37" t="s">
        <v>230</v>
      </c>
      <c r="AO5" s="37" t="s">
        <v>230</v>
      </c>
      <c r="AP5" s="40">
        <f t="shared" si="7"/>
        <v>0.57419354838709669</v>
      </c>
    </row>
    <row r="6" spans="1:44" x14ac:dyDescent="0.25">
      <c r="A6" t="s">
        <v>3</v>
      </c>
      <c r="B6" s="37">
        <v>23</v>
      </c>
      <c r="C6" s="37">
        <v>45</v>
      </c>
      <c r="D6" s="37">
        <v>114</v>
      </c>
      <c r="E6" s="37" t="s">
        <v>230</v>
      </c>
      <c r="F6" s="37" t="s">
        <v>230</v>
      </c>
      <c r="G6" s="37" t="s">
        <v>230</v>
      </c>
      <c r="H6" s="37" t="s">
        <v>230</v>
      </c>
      <c r="I6" s="37"/>
      <c r="J6" s="37" t="s">
        <v>230</v>
      </c>
      <c r="K6" s="37" t="s">
        <v>230</v>
      </c>
      <c r="L6" s="44">
        <f t="shared" si="0"/>
        <v>182</v>
      </c>
      <c r="M6" s="37">
        <f t="shared" si="1"/>
        <v>60.666666666666664</v>
      </c>
      <c r="N6" s="37">
        <f>(L6/(L6+'Cull Yield'!L6))*100</f>
        <v>78.787878787878782</v>
      </c>
      <c r="Q6" s="37">
        <v>1.34</v>
      </c>
      <c r="R6" s="37">
        <v>2.5</v>
      </c>
      <c r="S6" s="37">
        <v>4.3600000000000003</v>
      </c>
      <c r="T6" s="37">
        <v>6.09</v>
      </c>
      <c r="U6" s="37">
        <v>1.1299999999999999</v>
      </c>
      <c r="V6" s="37">
        <v>5.31</v>
      </c>
      <c r="W6" s="37">
        <v>3.39</v>
      </c>
      <c r="X6" s="37">
        <v>0.5</v>
      </c>
      <c r="Y6" s="37">
        <v>1.84</v>
      </c>
      <c r="Z6" s="37">
        <v>1.63</v>
      </c>
      <c r="AA6" s="46">
        <f t="shared" si="2"/>
        <v>28.089999999999996</v>
      </c>
      <c r="AB6" s="37">
        <f t="shared" si="3"/>
        <v>2.8089999999999997</v>
      </c>
      <c r="AC6" s="37">
        <f>(AA6/(AA6+'Cull Yield'!AA6))*100</f>
        <v>79.982915717539854</v>
      </c>
      <c r="AF6" s="37">
        <f t="shared" si="4"/>
        <v>0.9321739130434783</v>
      </c>
      <c r="AG6" s="37">
        <f t="shared" si="5"/>
        <v>0.88888888888888884</v>
      </c>
      <c r="AH6" s="37">
        <f t="shared" si="6"/>
        <v>0.61192982456140355</v>
      </c>
      <c r="AI6" s="37" t="s">
        <v>230</v>
      </c>
      <c r="AJ6" s="37" t="s">
        <v>230</v>
      </c>
      <c r="AK6" s="37" t="s">
        <v>230</v>
      </c>
      <c r="AL6" s="37" t="s">
        <v>230</v>
      </c>
      <c r="AM6" s="37" t="s">
        <v>230</v>
      </c>
      <c r="AN6" s="37" t="s">
        <v>230</v>
      </c>
      <c r="AO6" s="37" t="s">
        <v>230</v>
      </c>
      <c r="AP6" s="40">
        <f t="shared" si="7"/>
        <v>0.81099754216459019</v>
      </c>
    </row>
    <row r="7" spans="1:44" x14ac:dyDescent="0.25">
      <c r="A7" t="s">
        <v>4</v>
      </c>
      <c r="B7" s="37">
        <v>7</v>
      </c>
      <c r="C7" s="37">
        <v>36</v>
      </c>
      <c r="D7" s="37">
        <v>55</v>
      </c>
      <c r="E7" s="37" t="s">
        <v>230</v>
      </c>
      <c r="F7" s="37" t="s">
        <v>230</v>
      </c>
      <c r="G7" s="37" t="s">
        <v>230</v>
      </c>
      <c r="H7" s="37" t="s">
        <v>230</v>
      </c>
      <c r="I7" s="37" t="s">
        <v>230</v>
      </c>
      <c r="J7" s="37" t="s">
        <v>230</v>
      </c>
      <c r="K7" s="37" t="s">
        <v>230</v>
      </c>
      <c r="L7" s="44">
        <f t="shared" si="0"/>
        <v>98</v>
      </c>
      <c r="M7" s="37">
        <f t="shared" si="1"/>
        <v>32.666666666666664</v>
      </c>
      <c r="N7" s="37">
        <f>(L7/(L7+'Cull Yield'!L7))*100</f>
        <v>60.869565217391312</v>
      </c>
      <c r="Q7" s="37">
        <v>0.42</v>
      </c>
      <c r="R7" s="37">
        <v>1.73</v>
      </c>
      <c r="S7" s="37">
        <v>2.0499999999999998</v>
      </c>
      <c r="T7" s="37">
        <v>4.21</v>
      </c>
      <c r="U7" s="37">
        <v>4.84</v>
      </c>
      <c r="V7" s="37">
        <v>3.51</v>
      </c>
      <c r="W7" s="37">
        <v>6.06</v>
      </c>
      <c r="X7" s="37">
        <v>2.59</v>
      </c>
      <c r="Y7" s="37">
        <v>3.71</v>
      </c>
      <c r="Z7" s="37">
        <v>6.64</v>
      </c>
      <c r="AA7" s="46">
        <f t="shared" si="2"/>
        <v>35.76</v>
      </c>
      <c r="AB7" s="37">
        <f t="shared" si="3"/>
        <v>3.5759999999999996</v>
      </c>
      <c r="AC7" s="37">
        <f>(AA7/(AA7+'Cull Yield'!AA7))*100</f>
        <v>87.113276492082832</v>
      </c>
      <c r="AF7" s="37">
        <f t="shared" si="4"/>
        <v>0.96</v>
      </c>
      <c r="AG7" s="37">
        <f t="shared" si="5"/>
        <v>0.76888888888888884</v>
      </c>
      <c r="AH7" s="37">
        <f t="shared" si="6"/>
        <v>0.59636363636363632</v>
      </c>
      <c r="AI7" s="37" t="s">
        <v>230</v>
      </c>
      <c r="AJ7" s="37" t="s">
        <v>230</v>
      </c>
      <c r="AK7" s="37" t="s">
        <v>230</v>
      </c>
      <c r="AL7" s="37" t="s">
        <v>230</v>
      </c>
      <c r="AM7" s="37" t="s">
        <v>230</v>
      </c>
      <c r="AN7" s="37" t="s">
        <v>230</v>
      </c>
      <c r="AO7" s="37" t="s">
        <v>230</v>
      </c>
      <c r="AP7" s="40">
        <f t="shared" si="7"/>
        <v>0.77508417508417493</v>
      </c>
    </row>
    <row r="8" spans="1:44" x14ac:dyDescent="0.25">
      <c r="A8" t="s">
        <v>5</v>
      </c>
      <c r="B8" s="37">
        <v>26</v>
      </c>
      <c r="C8" s="37">
        <v>52</v>
      </c>
      <c r="D8" s="37">
        <v>140</v>
      </c>
      <c r="E8" s="37" t="s">
        <v>230</v>
      </c>
      <c r="F8" s="37" t="s">
        <v>230</v>
      </c>
      <c r="G8" s="37" t="s">
        <v>230</v>
      </c>
      <c r="H8" s="37" t="s">
        <v>230</v>
      </c>
      <c r="I8" s="37" t="s">
        <v>230</v>
      </c>
      <c r="J8" s="37" t="s">
        <v>230</v>
      </c>
      <c r="K8" s="37" t="s">
        <v>230</v>
      </c>
      <c r="L8" s="44">
        <f t="shared" si="0"/>
        <v>218</v>
      </c>
      <c r="M8" s="37">
        <f t="shared" si="1"/>
        <v>72.666666666666671</v>
      </c>
      <c r="N8" s="37">
        <f>(L8/(L8+'Cull Yield'!L8))*100</f>
        <v>79.272727272727266</v>
      </c>
      <c r="Q8" s="37">
        <v>1.36</v>
      </c>
      <c r="R8" s="37">
        <v>2.78</v>
      </c>
      <c r="S8" s="37">
        <v>5.88</v>
      </c>
      <c r="T8" s="37">
        <v>4.13</v>
      </c>
      <c r="U8" s="37">
        <v>1.55</v>
      </c>
      <c r="V8" s="37">
        <v>2.54</v>
      </c>
      <c r="W8" s="37">
        <v>3.92</v>
      </c>
      <c r="X8" s="37">
        <v>1.01</v>
      </c>
      <c r="Y8" s="37">
        <v>3.69</v>
      </c>
      <c r="Z8" s="37">
        <v>2.78</v>
      </c>
      <c r="AA8" s="46">
        <f t="shared" si="2"/>
        <v>29.64</v>
      </c>
      <c r="AB8" s="37">
        <f t="shared" si="3"/>
        <v>2.964</v>
      </c>
      <c r="AC8" s="37">
        <f>(AA8/(AA8+'Cull Yield'!AA8))*100</f>
        <v>80.983606557377058</v>
      </c>
      <c r="AF8" s="37">
        <f t="shared" si="4"/>
        <v>0.83692307692307699</v>
      </c>
      <c r="AG8" s="37">
        <f t="shared" si="5"/>
        <v>0.8553846153846153</v>
      </c>
      <c r="AH8" s="37">
        <f t="shared" si="6"/>
        <v>0.67200000000000004</v>
      </c>
      <c r="AI8" s="37" t="s">
        <v>230</v>
      </c>
      <c r="AJ8" s="37" t="s">
        <v>230</v>
      </c>
      <c r="AK8" s="37" t="s">
        <v>230</v>
      </c>
      <c r="AL8" s="37" t="s">
        <v>230</v>
      </c>
      <c r="AM8" s="37" t="s">
        <v>230</v>
      </c>
      <c r="AN8" s="37" t="s">
        <v>230</v>
      </c>
      <c r="AO8" s="37" t="s">
        <v>230</v>
      </c>
      <c r="AP8" s="40">
        <f t="shared" si="7"/>
        <v>0.78810256410256407</v>
      </c>
    </row>
    <row r="9" spans="1:44" x14ac:dyDescent="0.25">
      <c r="A9" t="s">
        <v>6</v>
      </c>
      <c r="B9" s="37">
        <v>36</v>
      </c>
      <c r="C9" s="37">
        <v>81</v>
      </c>
      <c r="D9" s="37">
        <v>115</v>
      </c>
      <c r="E9" s="37" t="s">
        <v>230</v>
      </c>
      <c r="F9" s="37" t="s">
        <v>230</v>
      </c>
      <c r="G9" s="37" t="s">
        <v>230</v>
      </c>
      <c r="H9" s="37" t="s">
        <v>230</v>
      </c>
      <c r="I9" s="37" t="s">
        <v>230</v>
      </c>
      <c r="J9" s="37" t="s">
        <v>230</v>
      </c>
      <c r="K9" s="37" t="s">
        <v>230</v>
      </c>
      <c r="L9" s="44">
        <f t="shared" si="0"/>
        <v>232</v>
      </c>
      <c r="M9" s="37">
        <f t="shared" si="1"/>
        <v>77.333333333333329</v>
      </c>
      <c r="N9" s="37">
        <f>(L9/(L9+'Cull Yield'!L9))*100</f>
        <v>87.547169811320757</v>
      </c>
      <c r="Q9" s="37">
        <v>2.35</v>
      </c>
      <c r="R9" s="37">
        <v>5.13</v>
      </c>
      <c r="S9" s="37">
        <v>5.08</v>
      </c>
      <c r="T9" s="37">
        <v>3.9</v>
      </c>
      <c r="U9" s="37">
        <v>1.35</v>
      </c>
      <c r="V9" s="37">
        <v>5.18</v>
      </c>
      <c r="W9" s="37">
        <v>3.52</v>
      </c>
      <c r="X9" s="37">
        <v>1.54</v>
      </c>
      <c r="Y9" s="37">
        <v>2.04</v>
      </c>
      <c r="Z9" s="37">
        <v>3.19</v>
      </c>
      <c r="AA9" s="46">
        <f t="shared" si="2"/>
        <v>33.28</v>
      </c>
      <c r="AB9" s="37">
        <f t="shared" si="3"/>
        <v>3.3280000000000003</v>
      </c>
      <c r="AC9" s="37">
        <f>(AA9/(AA9+'Cull Yield'!AA9))*100</f>
        <v>82.335477486392875</v>
      </c>
      <c r="AF9" s="37">
        <f t="shared" si="4"/>
        <v>1.0444444444444445</v>
      </c>
      <c r="AG9" s="37">
        <f t="shared" si="5"/>
        <v>1.0133333333333334</v>
      </c>
      <c r="AH9" s="37">
        <f t="shared" si="6"/>
        <v>0.70678260869565224</v>
      </c>
      <c r="AI9" s="37" t="s">
        <v>230</v>
      </c>
      <c r="AJ9" s="37" t="s">
        <v>230</v>
      </c>
      <c r="AK9" s="37" t="s">
        <v>230</v>
      </c>
      <c r="AL9" s="37" t="s">
        <v>230</v>
      </c>
      <c r="AM9" s="37" t="s">
        <v>230</v>
      </c>
      <c r="AN9" s="37" t="s">
        <v>230</v>
      </c>
      <c r="AO9" s="37" t="s">
        <v>230</v>
      </c>
      <c r="AP9" s="40">
        <f t="shared" si="7"/>
        <v>0.92152012882447665</v>
      </c>
    </row>
    <row r="10" spans="1:44" x14ac:dyDescent="0.25">
      <c r="A10" t="s">
        <v>7</v>
      </c>
      <c r="B10" s="37">
        <v>18</v>
      </c>
      <c r="C10" s="37">
        <v>56</v>
      </c>
      <c r="D10" s="37">
        <v>47</v>
      </c>
      <c r="E10" s="37" t="s">
        <v>230</v>
      </c>
      <c r="F10" s="37" t="s">
        <v>230</v>
      </c>
      <c r="G10" s="37" t="s">
        <v>230</v>
      </c>
      <c r="H10" s="37" t="s">
        <v>230</v>
      </c>
      <c r="I10" s="37" t="s">
        <v>230</v>
      </c>
      <c r="J10" s="37" t="s">
        <v>230</v>
      </c>
      <c r="K10" s="37" t="s">
        <v>230</v>
      </c>
      <c r="L10" s="44">
        <f t="shared" si="0"/>
        <v>121</v>
      </c>
      <c r="M10" s="37">
        <f t="shared" si="1"/>
        <v>40.333333333333336</v>
      </c>
      <c r="N10" s="37">
        <f>(L10/(L10+'Cull Yield'!L10))*100</f>
        <v>75.625</v>
      </c>
      <c r="Q10" s="37">
        <v>1.25</v>
      </c>
      <c r="R10" s="37">
        <v>3.48</v>
      </c>
      <c r="S10" s="37">
        <v>2.1</v>
      </c>
      <c r="T10" s="37">
        <v>4.4400000000000004</v>
      </c>
      <c r="U10" s="37">
        <v>0.75</v>
      </c>
      <c r="V10" s="37">
        <v>1.85</v>
      </c>
      <c r="W10" s="37">
        <v>2.88</v>
      </c>
      <c r="X10" s="37">
        <v>0.77</v>
      </c>
      <c r="Y10" s="37">
        <v>2.08</v>
      </c>
      <c r="Z10" s="37">
        <v>0.98</v>
      </c>
      <c r="AA10" s="46">
        <f t="shared" si="2"/>
        <v>20.580000000000002</v>
      </c>
      <c r="AB10" s="37">
        <f t="shared" si="3"/>
        <v>2.0580000000000003</v>
      </c>
      <c r="AC10" s="37">
        <f>(AA10/(AA10+'Cull Yield'!AA10))*100</f>
        <v>62.820512820512818</v>
      </c>
      <c r="AF10" s="37">
        <f t="shared" si="4"/>
        <v>1.1111111111111112</v>
      </c>
      <c r="AG10" s="37">
        <f t="shared" si="5"/>
        <v>0.99428571428571433</v>
      </c>
      <c r="AH10" s="37">
        <f t="shared" si="6"/>
        <v>0.71489361702127663</v>
      </c>
      <c r="AI10" s="37" t="s">
        <v>230</v>
      </c>
      <c r="AJ10" s="37" t="s">
        <v>230</v>
      </c>
      <c r="AK10" s="37" t="s">
        <v>230</v>
      </c>
      <c r="AL10" s="37" t="s">
        <v>230</v>
      </c>
      <c r="AM10" s="37" t="s">
        <v>230</v>
      </c>
      <c r="AN10" s="37" t="s">
        <v>230</v>
      </c>
      <c r="AO10" s="37" t="s">
        <v>230</v>
      </c>
      <c r="AP10" s="40">
        <f t="shared" si="7"/>
        <v>0.94009681413936741</v>
      </c>
    </row>
    <row r="11" spans="1:44" x14ac:dyDescent="0.25">
      <c r="A11" t="s">
        <v>8</v>
      </c>
      <c r="B11" s="37">
        <v>24</v>
      </c>
      <c r="C11" s="37">
        <v>90</v>
      </c>
      <c r="D11" s="37">
        <v>49</v>
      </c>
      <c r="E11" s="37" t="s">
        <v>230</v>
      </c>
      <c r="F11" s="37" t="s">
        <v>230</v>
      </c>
      <c r="G11" s="37" t="s">
        <v>230</v>
      </c>
      <c r="H11" s="37" t="s">
        <v>230</v>
      </c>
      <c r="I11" s="37" t="s">
        <v>230</v>
      </c>
      <c r="J11" s="37" t="s">
        <v>230</v>
      </c>
      <c r="K11" s="37" t="s">
        <v>230</v>
      </c>
      <c r="L11" s="44">
        <f t="shared" si="0"/>
        <v>163</v>
      </c>
      <c r="M11" s="37">
        <f t="shared" si="1"/>
        <v>54.333333333333336</v>
      </c>
      <c r="N11" s="37">
        <f>(L11/(L11+'Cull Yield'!L11))*100</f>
        <v>80.693069306930695</v>
      </c>
      <c r="Q11" s="37">
        <v>1.45</v>
      </c>
      <c r="R11" s="37">
        <v>4.9000000000000004</v>
      </c>
      <c r="S11" s="37">
        <v>2.0299999999999998</v>
      </c>
      <c r="T11" s="37">
        <v>4.59</v>
      </c>
      <c r="U11" s="37">
        <v>1.44</v>
      </c>
      <c r="V11" s="37">
        <v>4.3499999999999996</v>
      </c>
      <c r="W11" s="37">
        <v>1.03</v>
      </c>
      <c r="X11" s="37">
        <v>0</v>
      </c>
      <c r="Y11" s="37">
        <v>3.14</v>
      </c>
      <c r="Z11" s="37">
        <v>1.27</v>
      </c>
      <c r="AA11" s="46">
        <f t="shared" si="2"/>
        <v>24.2</v>
      </c>
      <c r="AB11" s="37">
        <f t="shared" si="3"/>
        <v>2.42</v>
      </c>
      <c r="AC11" s="37">
        <f>(AA11/(AA11+'Cull Yield'!AA11))*100</f>
        <v>75.507020280811233</v>
      </c>
      <c r="AF11" s="37">
        <f t="shared" si="4"/>
        <v>0.96666666666666667</v>
      </c>
      <c r="AG11" s="37">
        <f t="shared" si="5"/>
        <v>0.87111111111111117</v>
      </c>
      <c r="AH11" s="37">
        <f t="shared" si="6"/>
        <v>0.66285714285714281</v>
      </c>
      <c r="AI11" s="37" t="s">
        <v>230</v>
      </c>
      <c r="AJ11" s="37" t="s">
        <v>230</v>
      </c>
      <c r="AK11" s="37" t="s">
        <v>230</v>
      </c>
      <c r="AL11" s="37" t="s">
        <v>230</v>
      </c>
      <c r="AM11" s="37" t="s">
        <v>230</v>
      </c>
      <c r="AN11" s="37" t="s">
        <v>230</v>
      </c>
      <c r="AO11" s="37" t="s">
        <v>230</v>
      </c>
      <c r="AP11" s="40">
        <f t="shared" si="7"/>
        <v>0.83354497354497348</v>
      </c>
    </row>
    <row r="12" spans="1:44" x14ac:dyDescent="0.25">
      <c r="A12" t="s">
        <v>9</v>
      </c>
      <c r="B12" s="37">
        <v>29</v>
      </c>
      <c r="C12" s="37">
        <v>29</v>
      </c>
      <c r="D12" s="37">
        <v>58</v>
      </c>
      <c r="E12" s="37" t="s">
        <v>230</v>
      </c>
      <c r="F12" s="37" t="s">
        <v>230</v>
      </c>
      <c r="G12" s="37" t="s">
        <v>230</v>
      </c>
      <c r="H12" s="37" t="s">
        <v>230</v>
      </c>
      <c r="I12" s="37" t="s">
        <v>230</v>
      </c>
      <c r="J12" s="37" t="s">
        <v>230</v>
      </c>
      <c r="K12" s="37" t="s">
        <v>230</v>
      </c>
      <c r="L12" s="44">
        <f t="shared" si="0"/>
        <v>116</v>
      </c>
      <c r="M12" s="37">
        <f t="shared" si="1"/>
        <v>38.666666666666664</v>
      </c>
      <c r="N12" s="37">
        <f>(L12/(L12+'Cull Yield'!L12))*100</f>
        <v>63.73626373626373</v>
      </c>
      <c r="Q12" s="37">
        <v>1.63</v>
      </c>
      <c r="R12" s="37">
        <v>1.48</v>
      </c>
      <c r="S12" s="37">
        <v>2.96</v>
      </c>
      <c r="T12" s="37">
        <v>5.21</v>
      </c>
      <c r="U12" s="37">
        <v>1.1000000000000001</v>
      </c>
      <c r="V12" s="37">
        <v>0.69</v>
      </c>
      <c r="W12" s="37">
        <v>2</v>
      </c>
      <c r="X12" s="37">
        <v>0.57999999999999996</v>
      </c>
      <c r="Y12" s="37">
        <v>1.2</v>
      </c>
      <c r="Z12" s="37">
        <v>2.17</v>
      </c>
      <c r="AA12" s="46">
        <f t="shared" si="2"/>
        <v>19.020000000000003</v>
      </c>
      <c r="AB12" s="37">
        <f t="shared" si="3"/>
        <v>1.9020000000000004</v>
      </c>
      <c r="AC12" s="37">
        <f>(AA12/(AA12+'Cull Yield'!AA12))*100</f>
        <v>61.236316806181591</v>
      </c>
      <c r="AF12" s="37">
        <f t="shared" si="4"/>
        <v>0.89931034482758609</v>
      </c>
      <c r="AG12" s="37">
        <f t="shared" si="5"/>
        <v>0.81655172413793098</v>
      </c>
      <c r="AH12" s="37">
        <f t="shared" si="6"/>
        <v>0.81655172413793098</v>
      </c>
      <c r="AI12" s="37" t="s">
        <v>230</v>
      </c>
      <c r="AJ12" s="37" t="s">
        <v>230</v>
      </c>
      <c r="AK12" s="37" t="s">
        <v>230</v>
      </c>
      <c r="AL12" s="37" t="s">
        <v>230</v>
      </c>
      <c r="AM12" s="37" t="s">
        <v>230</v>
      </c>
      <c r="AN12" s="37" t="s">
        <v>230</v>
      </c>
      <c r="AO12" s="37" t="s">
        <v>230</v>
      </c>
      <c r="AP12" s="40">
        <f t="shared" si="7"/>
        <v>0.84413793103448265</v>
      </c>
    </row>
    <row r="13" spans="1:44" x14ac:dyDescent="0.25">
      <c r="A13" t="s">
        <v>10</v>
      </c>
      <c r="B13" s="37">
        <v>40</v>
      </c>
      <c r="C13" s="37">
        <v>49</v>
      </c>
      <c r="D13" s="37">
        <v>51</v>
      </c>
      <c r="E13" s="37" t="s">
        <v>230</v>
      </c>
      <c r="F13" s="37" t="s">
        <v>230</v>
      </c>
      <c r="G13" s="37" t="s">
        <v>230</v>
      </c>
      <c r="H13" s="37" t="s">
        <v>230</v>
      </c>
      <c r="I13" s="37" t="s">
        <v>230</v>
      </c>
      <c r="J13" s="37" t="s">
        <v>230</v>
      </c>
      <c r="K13" s="37" t="s">
        <v>230</v>
      </c>
      <c r="L13" s="44">
        <f t="shared" si="0"/>
        <v>140</v>
      </c>
      <c r="M13" s="37">
        <f t="shared" si="1"/>
        <v>46.666666666666664</v>
      </c>
      <c r="N13" s="37">
        <f>(L13/(L13+'Cull Yield'!L13))*100</f>
        <v>69.651741293532339</v>
      </c>
      <c r="Q13" s="37">
        <v>2.13</v>
      </c>
      <c r="R13" s="37">
        <v>2.65</v>
      </c>
      <c r="S13" s="37">
        <v>2.63</v>
      </c>
      <c r="T13" s="37">
        <v>4.84</v>
      </c>
      <c r="U13" s="37">
        <v>1.1599999999999999</v>
      </c>
      <c r="V13" s="37">
        <v>1.18</v>
      </c>
      <c r="W13" s="37">
        <v>1.22</v>
      </c>
      <c r="X13" s="37">
        <v>0.62</v>
      </c>
      <c r="Y13" s="37">
        <v>1.74</v>
      </c>
      <c r="Z13" s="37">
        <v>2.41</v>
      </c>
      <c r="AA13" s="46">
        <f t="shared" si="2"/>
        <v>20.58</v>
      </c>
      <c r="AB13" s="37">
        <f t="shared" si="3"/>
        <v>2.0579999999999998</v>
      </c>
      <c r="AC13" s="37">
        <f>(AA13/(AA13+'Cull Yield'!AA13))*100</f>
        <v>65.562280981204196</v>
      </c>
      <c r="AF13" s="37">
        <f t="shared" si="4"/>
        <v>0.85199999999999998</v>
      </c>
      <c r="AG13" s="37">
        <f t="shared" si="5"/>
        <v>0.86530612244897953</v>
      </c>
      <c r="AH13" s="37">
        <f t="shared" si="6"/>
        <v>0.82509803921568625</v>
      </c>
      <c r="AI13" s="37" t="s">
        <v>230</v>
      </c>
      <c r="AJ13" s="37" t="s">
        <v>230</v>
      </c>
      <c r="AK13" s="37" t="s">
        <v>230</v>
      </c>
      <c r="AL13" s="37" t="s">
        <v>230</v>
      </c>
      <c r="AM13" s="37" t="s">
        <v>230</v>
      </c>
      <c r="AN13" s="37" t="s">
        <v>230</v>
      </c>
      <c r="AO13" s="37" t="s">
        <v>230</v>
      </c>
      <c r="AP13" s="40">
        <f t="shared" si="7"/>
        <v>0.84746805388822199</v>
      </c>
    </row>
    <row r="14" spans="1:44" x14ac:dyDescent="0.25">
      <c r="A14" t="s">
        <v>11</v>
      </c>
      <c r="B14" s="37">
        <v>12</v>
      </c>
      <c r="C14" s="37">
        <v>104</v>
      </c>
      <c r="D14" s="37">
        <v>110</v>
      </c>
      <c r="E14" s="37" t="s">
        <v>230</v>
      </c>
      <c r="F14" s="37" t="s">
        <v>230</v>
      </c>
      <c r="G14" s="37" t="s">
        <v>230</v>
      </c>
      <c r="H14" s="37" t="s">
        <v>230</v>
      </c>
      <c r="I14" s="37" t="s">
        <v>230</v>
      </c>
      <c r="J14" s="37" t="s">
        <v>230</v>
      </c>
      <c r="K14" s="37"/>
      <c r="L14" s="44">
        <f t="shared" si="0"/>
        <v>226</v>
      </c>
      <c r="M14" s="37">
        <f t="shared" si="1"/>
        <v>75.333333333333329</v>
      </c>
      <c r="N14" s="37">
        <f>(L14/(L14+'Cull Yield'!L14))*100</f>
        <v>94.9579831932773</v>
      </c>
      <c r="Q14" s="37">
        <v>0.79</v>
      </c>
      <c r="R14" s="37">
        <v>5.36</v>
      </c>
      <c r="S14" s="37">
        <v>3.58</v>
      </c>
      <c r="T14" s="37">
        <v>4.8600000000000003</v>
      </c>
      <c r="U14" s="37">
        <v>8.5500000000000007</v>
      </c>
      <c r="V14" s="37">
        <v>5.13</v>
      </c>
      <c r="W14" s="37">
        <v>1.69</v>
      </c>
      <c r="X14" s="37">
        <v>0.91</v>
      </c>
      <c r="Y14" s="37">
        <v>2.62</v>
      </c>
      <c r="Z14" s="37">
        <v>3.35</v>
      </c>
      <c r="AA14" s="46">
        <f t="shared" si="2"/>
        <v>36.840000000000003</v>
      </c>
      <c r="AB14" s="37">
        <f t="shared" si="3"/>
        <v>3.6840000000000002</v>
      </c>
      <c r="AC14" s="37">
        <f>(AA14/(AA14+'Cull Yield'!AA14))*100</f>
        <v>82.972972972972968</v>
      </c>
      <c r="AF14" s="37">
        <f t="shared" si="4"/>
        <v>1.0533333333333335</v>
      </c>
      <c r="AG14" s="37">
        <f t="shared" si="5"/>
        <v>0.82461538461538464</v>
      </c>
      <c r="AH14" s="37">
        <f t="shared" si="6"/>
        <v>0.52072727272727271</v>
      </c>
      <c r="AI14" s="37" t="s">
        <v>230</v>
      </c>
      <c r="AJ14" s="37" t="s">
        <v>230</v>
      </c>
      <c r="AK14" s="37" t="s">
        <v>230</v>
      </c>
      <c r="AL14" s="37" t="s">
        <v>230</v>
      </c>
      <c r="AM14" s="37" t="s">
        <v>230</v>
      </c>
      <c r="AN14" s="37" t="s">
        <v>230</v>
      </c>
      <c r="AO14" s="37" t="s">
        <v>230</v>
      </c>
      <c r="AP14" s="40">
        <f t="shared" si="7"/>
        <v>0.79955866355866367</v>
      </c>
    </row>
    <row r="15" spans="1:44" x14ac:dyDescent="0.25">
      <c r="A15" t="s">
        <v>12</v>
      </c>
      <c r="B15" s="37">
        <v>30</v>
      </c>
      <c r="C15" s="37">
        <v>127</v>
      </c>
      <c r="D15" s="37">
        <v>119</v>
      </c>
      <c r="E15" s="37" t="s">
        <v>230</v>
      </c>
      <c r="F15" s="37" t="s">
        <v>230</v>
      </c>
      <c r="G15" s="37" t="s">
        <v>230</v>
      </c>
      <c r="H15" s="37" t="s">
        <v>230</v>
      </c>
      <c r="I15" s="37" t="s">
        <v>230</v>
      </c>
      <c r="J15" s="37" t="s">
        <v>230</v>
      </c>
      <c r="K15" s="37" t="s">
        <v>230</v>
      </c>
      <c r="L15" s="44">
        <f t="shared" si="0"/>
        <v>276</v>
      </c>
      <c r="M15" s="37">
        <f t="shared" si="1"/>
        <v>92</v>
      </c>
      <c r="N15" s="37">
        <f>(L15/(L15+'Cull Yield'!L15))*100</f>
        <v>87.898089171974519</v>
      </c>
      <c r="Q15" s="37">
        <v>1.63</v>
      </c>
      <c r="R15" s="37">
        <v>6.11</v>
      </c>
      <c r="S15" s="37">
        <v>3.61</v>
      </c>
      <c r="T15" s="37">
        <v>5.62</v>
      </c>
      <c r="U15" s="37">
        <v>0.98</v>
      </c>
      <c r="V15" s="37">
        <v>6.13</v>
      </c>
      <c r="W15" s="37">
        <v>3.71</v>
      </c>
      <c r="X15" s="37">
        <v>0.66</v>
      </c>
      <c r="Y15" s="37">
        <v>3.63</v>
      </c>
      <c r="Z15" s="37">
        <v>1.76</v>
      </c>
      <c r="AA15" s="46">
        <f t="shared" si="2"/>
        <v>33.839999999999996</v>
      </c>
      <c r="AB15" s="37">
        <f t="shared" si="3"/>
        <v>3.3839999999999995</v>
      </c>
      <c r="AC15" s="37">
        <f>(AA15/(AA15+'Cull Yield'!AA15))*100</f>
        <v>82.819383259911888</v>
      </c>
      <c r="AF15" s="37">
        <f t="shared" si="4"/>
        <v>0.86933333333333329</v>
      </c>
      <c r="AG15" s="37">
        <f t="shared" si="5"/>
        <v>0.76976377952755914</v>
      </c>
      <c r="AH15" s="37">
        <f t="shared" si="6"/>
        <v>0.48537815126050421</v>
      </c>
      <c r="AI15" s="37" t="s">
        <v>230</v>
      </c>
      <c r="AJ15" s="37" t="s">
        <v>230</v>
      </c>
      <c r="AK15" s="37" t="s">
        <v>230</v>
      </c>
      <c r="AL15" s="37" t="s">
        <v>230</v>
      </c>
      <c r="AM15" s="37" t="s">
        <v>230</v>
      </c>
      <c r="AN15" s="37" t="s">
        <v>230</v>
      </c>
      <c r="AO15" s="37" t="s">
        <v>230</v>
      </c>
      <c r="AP15" s="40">
        <f t="shared" si="7"/>
        <v>0.70815842137379892</v>
      </c>
    </row>
    <row r="16" spans="1:44" x14ac:dyDescent="0.25">
      <c r="A16" t="s">
        <v>13</v>
      </c>
      <c r="B16" s="37">
        <v>40</v>
      </c>
      <c r="C16" s="37">
        <v>176</v>
      </c>
      <c r="D16" s="37">
        <v>78</v>
      </c>
      <c r="E16" s="37" t="s">
        <v>230</v>
      </c>
      <c r="F16" s="37" t="s">
        <v>230</v>
      </c>
      <c r="G16" s="37" t="s">
        <v>230</v>
      </c>
      <c r="H16" s="37" t="s">
        <v>230</v>
      </c>
      <c r="I16" s="37" t="s">
        <v>230</v>
      </c>
      <c r="J16" s="37" t="s">
        <v>230</v>
      </c>
      <c r="K16" s="37" t="s">
        <v>230</v>
      </c>
      <c r="L16" s="44">
        <f t="shared" si="0"/>
        <v>294</v>
      </c>
      <c r="M16" s="37">
        <f t="shared" si="1"/>
        <v>98</v>
      </c>
      <c r="N16" s="37">
        <f>(L16/(L16+'Cull Yield'!L16))*100</f>
        <v>92.163009404388717</v>
      </c>
      <c r="Q16" s="37">
        <v>2.2400000000000002</v>
      </c>
      <c r="R16" s="37">
        <v>6.48</v>
      </c>
      <c r="S16" s="37">
        <v>2.86</v>
      </c>
      <c r="T16" s="37">
        <v>6.89</v>
      </c>
      <c r="U16" s="37">
        <v>1.56</v>
      </c>
      <c r="V16" s="37">
        <v>4.16</v>
      </c>
      <c r="W16" s="37">
        <v>2.78</v>
      </c>
      <c r="X16" s="37">
        <v>1.36</v>
      </c>
      <c r="Y16" s="37">
        <v>3.33</v>
      </c>
      <c r="Z16" s="37">
        <v>1.6</v>
      </c>
      <c r="AA16" s="46">
        <f t="shared" si="2"/>
        <v>33.26</v>
      </c>
      <c r="AB16" s="37">
        <f t="shared" si="3"/>
        <v>3.3259999999999996</v>
      </c>
      <c r="AC16" s="37">
        <f>(AA16/(AA16+'Cull Yield'!AA16))*100</f>
        <v>74.092225439964352</v>
      </c>
      <c r="AF16" s="37">
        <f t="shared" si="4"/>
        <v>0.89600000000000013</v>
      </c>
      <c r="AG16" s="37">
        <f t="shared" si="5"/>
        <v>0.58909090909090911</v>
      </c>
      <c r="AH16" s="37">
        <f t="shared" si="6"/>
        <v>0.58666666666666667</v>
      </c>
      <c r="AI16" s="37" t="s">
        <v>230</v>
      </c>
      <c r="AJ16" s="37" t="s">
        <v>230</v>
      </c>
      <c r="AK16" s="37" t="s">
        <v>230</v>
      </c>
      <c r="AL16" s="37" t="s">
        <v>230</v>
      </c>
      <c r="AM16" s="37" t="s">
        <v>230</v>
      </c>
      <c r="AN16" s="37" t="s">
        <v>230</v>
      </c>
      <c r="AO16" s="37" t="s">
        <v>230</v>
      </c>
      <c r="AP16" s="40">
        <f t="shared" si="7"/>
        <v>0.69058585858585853</v>
      </c>
    </row>
    <row r="17" spans="1:42" x14ac:dyDescent="0.25">
      <c r="A17" t="s">
        <v>14</v>
      </c>
      <c r="B17" s="35" t="s">
        <v>230</v>
      </c>
      <c r="C17" s="35">
        <v>2</v>
      </c>
      <c r="D17" s="35">
        <v>4</v>
      </c>
      <c r="E17" s="35">
        <v>1</v>
      </c>
      <c r="F17" s="35">
        <v>0</v>
      </c>
      <c r="G17" s="35">
        <v>0</v>
      </c>
      <c r="H17" s="35">
        <v>0</v>
      </c>
      <c r="I17" s="35">
        <v>3</v>
      </c>
      <c r="J17" s="35">
        <v>5</v>
      </c>
      <c r="K17" s="35">
        <v>0</v>
      </c>
      <c r="L17" s="45">
        <f t="shared" si="0"/>
        <v>15</v>
      </c>
      <c r="M17" s="35">
        <f t="shared" si="1"/>
        <v>1.6666666666666667</v>
      </c>
      <c r="N17" s="35">
        <f>(L17/(L17+'Cull Yield'!L17))*100</f>
        <v>37.5</v>
      </c>
      <c r="Q17" s="35" t="s">
        <v>230</v>
      </c>
      <c r="R17" s="35">
        <v>1.95</v>
      </c>
      <c r="S17" s="35">
        <v>1.65</v>
      </c>
      <c r="T17" s="35">
        <v>0.61</v>
      </c>
      <c r="U17" s="35">
        <v>0</v>
      </c>
      <c r="V17" s="35">
        <v>0</v>
      </c>
      <c r="W17" s="35">
        <v>0</v>
      </c>
      <c r="X17" s="35">
        <v>1.35</v>
      </c>
      <c r="Y17" s="35">
        <v>3.5</v>
      </c>
      <c r="Z17" s="35">
        <v>0</v>
      </c>
      <c r="AA17" s="47">
        <f t="shared" si="2"/>
        <v>9.06</v>
      </c>
      <c r="AB17" s="35">
        <f t="shared" si="3"/>
        <v>1.0066666666666668</v>
      </c>
      <c r="AC17" s="35">
        <f>(AA17/(AA17+'Cull Yield'!AA17))*100</f>
        <v>40.195208518189887</v>
      </c>
      <c r="AF17" s="35" t="s">
        <v>230</v>
      </c>
      <c r="AG17" s="35">
        <f t="shared" si="5"/>
        <v>15.6</v>
      </c>
      <c r="AH17" s="35">
        <f t="shared" si="6"/>
        <v>6.6</v>
      </c>
      <c r="AI17" s="35">
        <f t="shared" ref="AI17:AI67" si="8">(T17/E17)*16</f>
        <v>9.76</v>
      </c>
      <c r="AJ17" s="35" t="s">
        <v>230</v>
      </c>
      <c r="AK17" s="35" t="s">
        <v>230</v>
      </c>
      <c r="AL17" s="35" t="s">
        <v>230</v>
      </c>
      <c r="AM17" s="35">
        <f>(X17/I17)*16</f>
        <v>7.2</v>
      </c>
      <c r="AN17" s="35">
        <f>(Y17/J17)*16</f>
        <v>11.2</v>
      </c>
      <c r="AO17" s="35" t="s">
        <v>230</v>
      </c>
      <c r="AP17" s="39">
        <f t="shared" si="7"/>
        <v>10.071999999999999</v>
      </c>
    </row>
    <row r="18" spans="1:42" x14ac:dyDescent="0.25">
      <c r="A18" t="s">
        <v>15</v>
      </c>
      <c r="B18" s="37">
        <v>1</v>
      </c>
      <c r="C18" s="37">
        <v>24</v>
      </c>
      <c r="D18" s="37">
        <v>17</v>
      </c>
      <c r="E18" s="37" t="s">
        <v>230</v>
      </c>
      <c r="F18" s="37" t="s">
        <v>230</v>
      </c>
      <c r="G18" s="37" t="s">
        <v>230</v>
      </c>
      <c r="H18" s="37" t="s">
        <v>230</v>
      </c>
      <c r="I18" s="37" t="s">
        <v>230</v>
      </c>
      <c r="J18" s="37" t="s">
        <v>230</v>
      </c>
      <c r="K18" s="37" t="s">
        <v>230</v>
      </c>
      <c r="L18" s="44">
        <f t="shared" si="0"/>
        <v>42</v>
      </c>
      <c r="M18" s="37">
        <f t="shared" si="1"/>
        <v>14</v>
      </c>
      <c r="N18" s="37">
        <f>(L18/(L18+'Cull Yield'!L18))*100</f>
        <v>68.852459016393439</v>
      </c>
      <c r="Q18" s="37">
        <v>0.03</v>
      </c>
      <c r="R18" s="37">
        <v>0.69</v>
      </c>
      <c r="S18" s="37">
        <v>0.34</v>
      </c>
      <c r="T18" s="37">
        <v>0.76</v>
      </c>
      <c r="U18" s="37">
        <v>0.16</v>
      </c>
      <c r="V18" s="37">
        <v>0.31</v>
      </c>
      <c r="W18" s="37">
        <v>1.1299999999999999</v>
      </c>
      <c r="X18" s="37">
        <v>0.21</v>
      </c>
      <c r="Y18" s="37">
        <v>0.89</v>
      </c>
      <c r="Z18" s="37">
        <v>4.6100000000000003</v>
      </c>
      <c r="AA18" s="46">
        <f t="shared" si="2"/>
        <v>9.129999999999999</v>
      </c>
      <c r="AB18" s="37">
        <f t="shared" si="3"/>
        <v>0.91299999999999992</v>
      </c>
      <c r="AC18" s="37">
        <f>(AA18/(AA18+'Cull Yield'!AA18))*100</f>
        <v>76.146788990825684</v>
      </c>
      <c r="AF18" s="37">
        <f t="shared" si="4"/>
        <v>0.48</v>
      </c>
      <c r="AG18" s="37">
        <f t="shared" si="5"/>
        <v>0.45999999999999996</v>
      </c>
      <c r="AH18" s="37">
        <f t="shared" si="6"/>
        <v>0.32</v>
      </c>
      <c r="AI18" s="37" t="s">
        <v>230</v>
      </c>
      <c r="AJ18" s="37" t="s">
        <v>230</v>
      </c>
      <c r="AK18" s="37" t="s">
        <v>230</v>
      </c>
      <c r="AL18" s="37" t="s">
        <v>230</v>
      </c>
      <c r="AM18" s="37" t="s">
        <v>230</v>
      </c>
      <c r="AN18" s="37" t="s">
        <v>230</v>
      </c>
      <c r="AO18" s="37" t="s">
        <v>230</v>
      </c>
      <c r="AP18" s="40">
        <f t="shared" si="7"/>
        <v>0.42</v>
      </c>
    </row>
    <row r="19" spans="1:42" x14ac:dyDescent="0.25">
      <c r="A19" t="s">
        <v>16</v>
      </c>
      <c r="B19" s="37">
        <v>18</v>
      </c>
      <c r="C19" s="37">
        <v>77</v>
      </c>
      <c r="D19" s="37">
        <v>26</v>
      </c>
      <c r="E19" s="37" t="s">
        <v>230</v>
      </c>
      <c r="F19" s="37" t="s">
        <v>230</v>
      </c>
      <c r="G19" s="37" t="s">
        <v>230</v>
      </c>
      <c r="H19" s="37" t="s">
        <v>230</v>
      </c>
      <c r="I19" s="37" t="s">
        <v>230</v>
      </c>
      <c r="J19" s="37" t="s">
        <v>230</v>
      </c>
      <c r="K19" s="37" t="s">
        <v>230</v>
      </c>
      <c r="L19" s="44">
        <f t="shared" si="0"/>
        <v>121</v>
      </c>
      <c r="M19" s="37">
        <f t="shared" si="1"/>
        <v>40.333333333333336</v>
      </c>
      <c r="N19" s="37">
        <f>(L19/(L19+'Cull Yield'!L19))*100</f>
        <v>81.756756756756758</v>
      </c>
      <c r="Q19" s="37">
        <v>1.28</v>
      </c>
      <c r="R19" s="37">
        <v>5.36</v>
      </c>
      <c r="S19" s="37">
        <v>0.89</v>
      </c>
      <c r="T19" s="37">
        <v>7.29</v>
      </c>
      <c r="U19" s="37">
        <v>3</v>
      </c>
      <c r="V19" s="37">
        <v>2.0499999999999998</v>
      </c>
      <c r="W19" s="37">
        <v>3.31</v>
      </c>
      <c r="X19" s="37">
        <v>2.08</v>
      </c>
      <c r="Y19" s="37">
        <v>4.28</v>
      </c>
      <c r="Z19" s="37">
        <v>3.93</v>
      </c>
      <c r="AA19" s="46">
        <f t="shared" si="2"/>
        <v>33.47</v>
      </c>
      <c r="AB19" s="37">
        <f t="shared" si="3"/>
        <v>3.347</v>
      </c>
      <c r="AC19" s="37">
        <f>(AA19/(AA19+'Cull Yield'!AA19))*100</f>
        <v>78.200934579439249</v>
      </c>
      <c r="AF19" s="37">
        <f t="shared" si="4"/>
        <v>1.1377777777777778</v>
      </c>
      <c r="AG19" s="37">
        <f t="shared" si="5"/>
        <v>1.1137662337662337</v>
      </c>
      <c r="AH19" s="37">
        <f t="shared" si="6"/>
        <v>0.5476923076923077</v>
      </c>
      <c r="AI19" s="37" t="s">
        <v>230</v>
      </c>
      <c r="AJ19" s="37" t="s">
        <v>230</v>
      </c>
      <c r="AK19" s="37" t="s">
        <v>230</v>
      </c>
      <c r="AL19" s="37" t="s">
        <v>230</v>
      </c>
      <c r="AM19" s="37" t="s">
        <v>230</v>
      </c>
      <c r="AN19" s="37" t="s">
        <v>230</v>
      </c>
      <c r="AO19" s="37" t="s">
        <v>230</v>
      </c>
      <c r="AP19" s="40">
        <f t="shared" si="7"/>
        <v>0.93307877307877307</v>
      </c>
    </row>
    <row r="20" spans="1:42" x14ac:dyDescent="0.25"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45"/>
      <c r="M20" s="35"/>
      <c r="N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47"/>
      <c r="AB20" s="35"/>
      <c r="AC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9"/>
    </row>
    <row r="21" spans="1:42" x14ac:dyDescent="0.25">
      <c r="A21" t="s">
        <v>18</v>
      </c>
      <c r="B21" s="37">
        <v>39</v>
      </c>
      <c r="C21" s="37">
        <v>151</v>
      </c>
      <c r="D21" s="37">
        <v>108</v>
      </c>
      <c r="E21" s="37" t="s">
        <v>230</v>
      </c>
      <c r="F21" s="37" t="s">
        <v>230</v>
      </c>
      <c r="G21" s="37" t="s">
        <v>230</v>
      </c>
      <c r="H21" s="37" t="s">
        <v>230</v>
      </c>
      <c r="I21" s="37" t="s">
        <v>230</v>
      </c>
      <c r="J21" s="37" t="s">
        <v>230</v>
      </c>
      <c r="K21" s="37" t="s">
        <v>230</v>
      </c>
      <c r="L21" s="44">
        <f t="shared" si="0"/>
        <v>298</v>
      </c>
      <c r="M21" s="37">
        <f t="shared" si="1"/>
        <v>99.333333333333329</v>
      </c>
      <c r="N21" s="37">
        <f>(L21/(L21+'Cull Yield'!L21))*100</f>
        <v>84.419263456090647</v>
      </c>
      <c r="Q21" s="37">
        <v>1.95</v>
      </c>
      <c r="R21" s="37">
        <v>6.63</v>
      </c>
      <c r="S21" s="37">
        <v>3.41</v>
      </c>
      <c r="T21" s="37">
        <v>1.54</v>
      </c>
      <c r="U21" s="37">
        <v>0.56000000000000005</v>
      </c>
      <c r="V21" s="37">
        <v>1.19</v>
      </c>
      <c r="W21" s="37">
        <v>0.55000000000000004</v>
      </c>
      <c r="X21" s="37">
        <v>0.89</v>
      </c>
      <c r="Y21" s="37">
        <v>0.38</v>
      </c>
      <c r="Z21" s="37">
        <v>1.86</v>
      </c>
      <c r="AA21" s="46">
        <f t="shared" si="2"/>
        <v>18.96</v>
      </c>
      <c r="AB21" s="37">
        <f t="shared" si="3"/>
        <v>1.8960000000000001</v>
      </c>
      <c r="AC21" s="37">
        <f>(AA21/(AA21+'Cull Yield'!AA21))*100</f>
        <v>66.901905434015532</v>
      </c>
      <c r="AF21" s="37">
        <f t="shared" si="4"/>
        <v>0.79999999999999993</v>
      </c>
      <c r="AG21" s="37">
        <f t="shared" si="5"/>
        <v>0.70251655629139076</v>
      </c>
      <c r="AH21" s="37">
        <f t="shared" si="6"/>
        <v>0.50518518518518518</v>
      </c>
      <c r="AI21" s="37" t="s">
        <v>230</v>
      </c>
      <c r="AJ21" s="37" t="s">
        <v>230</v>
      </c>
      <c r="AK21" s="37" t="s">
        <v>230</v>
      </c>
      <c r="AL21" s="37" t="s">
        <v>230</v>
      </c>
      <c r="AM21" s="37" t="s">
        <v>230</v>
      </c>
      <c r="AN21" s="37" t="s">
        <v>230</v>
      </c>
      <c r="AO21" s="37" t="s">
        <v>230</v>
      </c>
      <c r="AP21" s="40">
        <f t="shared" si="7"/>
        <v>0.66923391382552533</v>
      </c>
    </row>
    <row r="22" spans="1:42" x14ac:dyDescent="0.25">
      <c r="A22" t="s">
        <v>19</v>
      </c>
      <c r="B22" s="35">
        <v>0</v>
      </c>
      <c r="C22" s="35">
        <v>2</v>
      </c>
      <c r="D22" s="35">
        <v>1</v>
      </c>
      <c r="E22" s="35">
        <v>6</v>
      </c>
      <c r="F22" s="35">
        <v>1</v>
      </c>
      <c r="G22" s="35">
        <v>1</v>
      </c>
      <c r="H22" s="35">
        <v>0</v>
      </c>
      <c r="I22" s="35">
        <v>5</v>
      </c>
      <c r="J22" s="35">
        <v>0</v>
      </c>
      <c r="K22" s="35">
        <v>2</v>
      </c>
      <c r="L22" s="45">
        <f t="shared" si="0"/>
        <v>18</v>
      </c>
      <c r="M22" s="35">
        <f t="shared" si="1"/>
        <v>1.8</v>
      </c>
      <c r="N22" s="35">
        <f>(L22/(L22+'Cull Yield'!L22))*100</f>
        <v>28.125</v>
      </c>
      <c r="Q22" s="35">
        <v>0</v>
      </c>
      <c r="R22" s="35">
        <v>1.35</v>
      </c>
      <c r="S22" s="35">
        <v>0.65</v>
      </c>
      <c r="T22" s="35">
        <v>2.16</v>
      </c>
      <c r="U22" s="35">
        <v>0.85</v>
      </c>
      <c r="V22" s="35">
        <v>0.85</v>
      </c>
      <c r="W22" s="35">
        <v>0</v>
      </c>
      <c r="X22" s="35">
        <v>3.05</v>
      </c>
      <c r="Y22" s="35">
        <v>0</v>
      </c>
      <c r="Z22" s="35">
        <v>0.35</v>
      </c>
      <c r="AA22" s="47">
        <f t="shared" si="2"/>
        <v>9.26</v>
      </c>
      <c r="AB22" s="35">
        <f t="shared" si="3"/>
        <v>0.92599999999999993</v>
      </c>
      <c r="AC22" s="35">
        <f>(AA22/(AA22+'Cull Yield'!AA22))*100</f>
        <v>23.330813807004283</v>
      </c>
      <c r="AF22" s="35" t="s">
        <v>230</v>
      </c>
      <c r="AG22" s="35">
        <f t="shared" si="5"/>
        <v>10.8</v>
      </c>
      <c r="AH22" s="35">
        <f t="shared" si="6"/>
        <v>10.4</v>
      </c>
      <c r="AI22" s="35">
        <f t="shared" si="8"/>
        <v>5.7600000000000007</v>
      </c>
      <c r="AJ22" s="35">
        <f t="shared" ref="AJ22:AJ67" si="9">(U22/F22)*16</f>
        <v>13.6</v>
      </c>
      <c r="AK22" s="35">
        <f>(V22/G22)*16</f>
        <v>13.6</v>
      </c>
      <c r="AL22" s="35" t="s">
        <v>230</v>
      </c>
      <c r="AM22" s="35">
        <f>(X22/I22)*16</f>
        <v>9.76</v>
      </c>
      <c r="AN22" s="35" t="s">
        <v>230</v>
      </c>
      <c r="AO22" s="35">
        <f>(Z22/K22)*16</f>
        <v>2.8</v>
      </c>
      <c r="AP22" s="39">
        <f t="shared" si="7"/>
        <v>9.531428571428572</v>
      </c>
    </row>
    <row r="23" spans="1:42" x14ac:dyDescent="0.25">
      <c r="A23" t="s">
        <v>20</v>
      </c>
      <c r="B23" s="35">
        <v>3</v>
      </c>
      <c r="C23" s="35">
        <v>0</v>
      </c>
      <c r="D23" s="35">
        <v>2</v>
      </c>
      <c r="E23" s="35">
        <v>8</v>
      </c>
      <c r="F23" s="35">
        <v>2</v>
      </c>
      <c r="G23" s="35">
        <v>1</v>
      </c>
      <c r="H23" s="35">
        <v>0</v>
      </c>
      <c r="I23" s="35">
        <v>1</v>
      </c>
      <c r="J23" s="35">
        <v>3</v>
      </c>
      <c r="K23" s="35">
        <v>4</v>
      </c>
      <c r="L23" s="45">
        <f t="shared" si="0"/>
        <v>24</v>
      </c>
      <c r="M23" s="35">
        <f t="shared" si="1"/>
        <v>2.4</v>
      </c>
      <c r="N23" s="35">
        <f>(L23/(L23+'Cull Yield'!L23))*100</f>
        <v>41.379310344827587</v>
      </c>
      <c r="Q23" s="35">
        <v>3.35</v>
      </c>
      <c r="R23" s="35">
        <v>0</v>
      </c>
      <c r="S23" s="35">
        <v>1.5</v>
      </c>
      <c r="T23" s="35">
        <v>2.44</v>
      </c>
      <c r="U23" s="35">
        <v>1.75</v>
      </c>
      <c r="V23" s="35">
        <v>0.7</v>
      </c>
      <c r="W23" s="35">
        <v>0</v>
      </c>
      <c r="X23" s="35">
        <v>0.15</v>
      </c>
      <c r="Y23" s="35">
        <v>1.55</v>
      </c>
      <c r="Z23" s="35">
        <v>2.4</v>
      </c>
      <c r="AA23" s="47">
        <f t="shared" si="2"/>
        <v>13.84</v>
      </c>
      <c r="AB23" s="35">
        <f t="shared" si="3"/>
        <v>1.3839999999999999</v>
      </c>
      <c r="AC23" s="35">
        <f>(AA23/(AA23+'Cull Yield'!AA23))*100</f>
        <v>36.808510638297868</v>
      </c>
      <c r="AF23" s="35">
        <f t="shared" si="4"/>
        <v>17.866666666666667</v>
      </c>
      <c r="AG23" s="35" t="s">
        <v>230</v>
      </c>
      <c r="AH23" s="35">
        <f t="shared" si="6"/>
        <v>12</v>
      </c>
      <c r="AI23" s="35">
        <f t="shared" si="8"/>
        <v>4.88</v>
      </c>
      <c r="AJ23" s="35">
        <f t="shared" si="9"/>
        <v>14</v>
      </c>
      <c r="AK23" s="35">
        <f>(V23/G23)*16</f>
        <v>11.2</v>
      </c>
      <c r="AL23" s="35" t="s">
        <v>230</v>
      </c>
      <c r="AM23" s="35">
        <f>(X23/I23)*16</f>
        <v>2.4</v>
      </c>
      <c r="AN23" s="35">
        <f t="shared" ref="AN23:AN28" si="10">(Y23/J23)*16</f>
        <v>8.2666666666666675</v>
      </c>
      <c r="AO23" s="35">
        <f>(Z23/K23)*16</f>
        <v>9.6</v>
      </c>
      <c r="AP23" s="39">
        <f t="shared" si="7"/>
        <v>10.026666666666667</v>
      </c>
    </row>
    <row r="24" spans="1:42" x14ac:dyDescent="0.25">
      <c r="A24" t="s">
        <v>21</v>
      </c>
      <c r="B24" s="35">
        <v>1</v>
      </c>
      <c r="C24" s="35">
        <v>3</v>
      </c>
      <c r="D24" s="35">
        <v>1</v>
      </c>
      <c r="E24" s="35">
        <v>1</v>
      </c>
      <c r="F24" s="35">
        <v>6</v>
      </c>
      <c r="G24" s="35">
        <v>12</v>
      </c>
      <c r="H24" s="35">
        <v>2</v>
      </c>
      <c r="I24" s="35">
        <v>5</v>
      </c>
      <c r="J24" s="35">
        <v>17</v>
      </c>
      <c r="K24" s="35">
        <v>10</v>
      </c>
      <c r="L24" s="45">
        <f t="shared" si="0"/>
        <v>58</v>
      </c>
      <c r="M24" s="35">
        <f t="shared" si="1"/>
        <v>5.8</v>
      </c>
      <c r="N24" s="35">
        <f>(L24/(L24+'Cull Yield'!L24))*100</f>
        <v>58.585858585858588</v>
      </c>
      <c r="Q24" s="35">
        <v>1.05</v>
      </c>
      <c r="R24" s="35">
        <v>2.4</v>
      </c>
      <c r="S24" s="35">
        <v>0.65</v>
      </c>
      <c r="T24" s="35">
        <v>0.38</v>
      </c>
      <c r="U24" s="35">
        <v>3.9</v>
      </c>
      <c r="V24" s="35" t="s">
        <v>367</v>
      </c>
      <c r="W24" s="35">
        <v>0.75</v>
      </c>
      <c r="X24" s="35">
        <v>1.85</v>
      </c>
      <c r="Y24" s="35">
        <v>6.85</v>
      </c>
      <c r="Z24" s="35">
        <v>3.75</v>
      </c>
      <c r="AA24" s="47">
        <f t="shared" si="2"/>
        <v>21.58</v>
      </c>
      <c r="AB24" s="35">
        <f t="shared" si="3"/>
        <v>2.3977777777777778</v>
      </c>
      <c r="AC24" s="35">
        <f>(AA24/(AA24+'Cull Yield'!AA24))*100</f>
        <v>53.468780971258667</v>
      </c>
      <c r="AF24" s="35">
        <f t="shared" si="4"/>
        <v>16.8</v>
      </c>
      <c r="AG24" s="35">
        <f t="shared" si="5"/>
        <v>12.799999999999999</v>
      </c>
      <c r="AH24" s="35">
        <f t="shared" si="6"/>
        <v>10.4</v>
      </c>
      <c r="AI24" s="35">
        <f t="shared" si="8"/>
        <v>6.08</v>
      </c>
      <c r="AJ24" s="35">
        <f t="shared" si="9"/>
        <v>10.4</v>
      </c>
      <c r="AK24" s="35" t="s">
        <v>230</v>
      </c>
      <c r="AL24" s="35">
        <f>(W24/H24)*16</f>
        <v>6</v>
      </c>
      <c r="AM24" s="35">
        <f>(X24/I24)*16</f>
        <v>5.92</v>
      </c>
      <c r="AN24" s="35">
        <f t="shared" si="10"/>
        <v>6.4470588235294111</v>
      </c>
      <c r="AO24" s="35">
        <f>(Z24/K24)*16</f>
        <v>6</v>
      </c>
      <c r="AP24" s="39">
        <f t="shared" si="7"/>
        <v>8.9830065359477125</v>
      </c>
    </row>
    <row r="25" spans="1:42" x14ac:dyDescent="0.25">
      <c r="A25" t="s">
        <v>28</v>
      </c>
      <c r="B25" s="35" t="s">
        <v>230</v>
      </c>
      <c r="C25" s="35">
        <v>1</v>
      </c>
      <c r="D25" s="35">
        <v>3</v>
      </c>
      <c r="E25" s="35">
        <v>18</v>
      </c>
      <c r="F25" s="35">
        <v>0</v>
      </c>
      <c r="G25" s="35">
        <v>0</v>
      </c>
      <c r="H25" s="35">
        <v>0</v>
      </c>
      <c r="I25" s="35">
        <v>0</v>
      </c>
      <c r="J25" s="35">
        <v>4</v>
      </c>
      <c r="K25" s="35">
        <v>0</v>
      </c>
      <c r="L25" s="45">
        <f t="shared" si="0"/>
        <v>26</v>
      </c>
      <c r="M25" s="35">
        <f t="shared" si="1"/>
        <v>2.8888888888888888</v>
      </c>
      <c r="N25" s="35">
        <f>(L25/(L25+'Cull Yield'!L25))*100</f>
        <v>43.333333333333336</v>
      </c>
      <c r="Q25" s="35" t="s">
        <v>230</v>
      </c>
      <c r="R25" s="35">
        <v>1.05</v>
      </c>
      <c r="S25" s="35">
        <v>1.65</v>
      </c>
      <c r="T25" s="35">
        <v>6.48</v>
      </c>
      <c r="U25" s="35">
        <v>0</v>
      </c>
      <c r="V25" s="35">
        <v>0</v>
      </c>
      <c r="W25" s="35">
        <v>0</v>
      </c>
      <c r="X25" s="35">
        <v>0</v>
      </c>
      <c r="Y25" s="35">
        <v>2.85</v>
      </c>
      <c r="Z25" s="35">
        <v>0</v>
      </c>
      <c r="AA25" s="47">
        <f t="shared" si="2"/>
        <v>12.03</v>
      </c>
      <c r="AB25" s="35">
        <f t="shared" si="3"/>
        <v>1.3366666666666667</v>
      </c>
      <c r="AC25" s="35">
        <f>(AA25/(AA25+'Cull Yield'!AA25))*100</f>
        <v>41.843478260869567</v>
      </c>
      <c r="AF25" s="35" t="s">
        <v>230</v>
      </c>
      <c r="AG25" s="35">
        <f t="shared" si="5"/>
        <v>16.8</v>
      </c>
      <c r="AH25" s="35">
        <f t="shared" si="6"/>
        <v>8.7999999999999989</v>
      </c>
      <c r="AI25" s="35">
        <f t="shared" si="8"/>
        <v>5.7600000000000007</v>
      </c>
      <c r="AJ25" s="35" t="s">
        <v>230</v>
      </c>
      <c r="AK25" s="35" t="s">
        <v>230</v>
      </c>
      <c r="AL25" s="35" t="s">
        <v>230</v>
      </c>
      <c r="AM25" s="35" t="s">
        <v>230</v>
      </c>
      <c r="AN25" s="35">
        <f t="shared" si="10"/>
        <v>11.4</v>
      </c>
      <c r="AO25" s="35" t="s">
        <v>230</v>
      </c>
      <c r="AP25" s="39">
        <f t="shared" si="7"/>
        <v>10.690000000000001</v>
      </c>
    </row>
    <row r="26" spans="1:42" x14ac:dyDescent="0.25">
      <c r="A26" t="s">
        <v>29</v>
      </c>
      <c r="B26" s="35">
        <v>0</v>
      </c>
      <c r="C26" s="35">
        <v>2</v>
      </c>
      <c r="D26" s="35">
        <v>5</v>
      </c>
      <c r="E26" s="35">
        <v>14</v>
      </c>
      <c r="F26" s="35">
        <v>2</v>
      </c>
      <c r="G26" s="35">
        <v>0</v>
      </c>
      <c r="H26" s="35">
        <v>0</v>
      </c>
      <c r="I26" s="35">
        <v>0</v>
      </c>
      <c r="J26" s="35">
        <v>2</v>
      </c>
      <c r="K26" s="35">
        <v>0</v>
      </c>
      <c r="L26" s="45">
        <f t="shared" si="0"/>
        <v>25</v>
      </c>
      <c r="M26" s="35">
        <f t="shared" si="1"/>
        <v>2.5</v>
      </c>
      <c r="N26" s="35">
        <f>(L26/(L26+'Cull Yield'!L26))*100</f>
        <v>37.878787878787875</v>
      </c>
      <c r="Q26" s="35">
        <v>0</v>
      </c>
      <c r="R26" s="35">
        <v>0.85</v>
      </c>
      <c r="S26" s="35">
        <v>4.8499999999999996</v>
      </c>
      <c r="T26" s="35">
        <v>3.75</v>
      </c>
      <c r="U26" s="35">
        <v>1.45</v>
      </c>
      <c r="V26" s="35">
        <v>0</v>
      </c>
      <c r="W26" s="35">
        <v>0</v>
      </c>
      <c r="X26" s="35">
        <v>0</v>
      </c>
      <c r="Y26" s="35">
        <v>1.55</v>
      </c>
      <c r="Z26" s="35">
        <v>0</v>
      </c>
      <c r="AA26" s="47">
        <f t="shared" si="2"/>
        <v>12.45</v>
      </c>
      <c r="AB26" s="35">
        <f t="shared" si="3"/>
        <v>1.2449999999999999</v>
      </c>
      <c r="AC26" s="35">
        <f>(AA26/(AA26+'Cull Yield'!AA26))*100</f>
        <v>35.714285714285715</v>
      </c>
      <c r="AF26" s="35" t="s">
        <v>230</v>
      </c>
      <c r="AG26" s="35">
        <f t="shared" si="5"/>
        <v>6.8</v>
      </c>
      <c r="AH26" s="35">
        <f t="shared" si="6"/>
        <v>15.52</v>
      </c>
      <c r="AI26" s="35">
        <f t="shared" si="8"/>
        <v>4.2857142857142856</v>
      </c>
      <c r="AJ26" s="35">
        <f t="shared" si="9"/>
        <v>11.6</v>
      </c>
      <c r="AK26" s="35" t="s">
        <v>230</v>
      </c>
      <c r="AL26" s="35" t="s">
        <v>230</v>
      </c>
      <c r="AM26" s="35" t="s">
        <v>230</v>
      </c>
      <c r="AN26" s="35">
        <f t="shared" si="10"/>
        <v>12.4</v>
      </c>
      <c r="AO26" s="35" t="s">
        <v>230</v>
      </c>
      <c r="AP26" s="39">
        <f t="shared" si="7"/>
        <v>10.121142857142857</v>
      </c>
    </row>
    <row r="27" spans="1:42" x14ac:dyDescent="0.25">
      <c r="A27" t="s">
        <v>30</v>
      </c>
      <c r="B27" s="35" t="s">
        <v>230</v>
      </c>
      <c r="C27" s="35">
        <v>0</v>
      </c>
      <c r="D27" s="35">
        <v>4</v>
      </c>
      <c r="E27" s="35">
        <v>1</v>
      </c>
      <c r="F27" s="35">
        <v>1</v>
      </c>
      <c r="G27" s="35">
        <v>0</v>
      </c>
      <c r="H27" s="35">
        <v>0</v>
      </c>
      <c r="I27" s="35">
        <v>7</v>
      </c>
      <c r="J27" s="35">
        <v>8</v>
      </c>
      <c r="K27" s="35">
        <v>0</v>
      </c>
      <c r="L27" s="45">
        <f t="shared" si="0"/>
        <v>21</v>
      </c>
      <c r="M27" s="35">
        <f t="shared" si="1"/>
        <v>2.3333333333333335</v>
      </c>
      <c r="N27" s="35">
        <f>(L27/(L27+'Cull Yield'!L27))*100</f>
        <v>32.8125</v>
      </c>
      <c r="Q27" s="35" t="s">
        <v>230</v>
      </c>
      <c r="R27" s="35">
        <v>0</v>
      </c>
      <c r="S27" s="35">
        <v>2.75</v>
      </c>
      <c r="T27" s="35">
        <v>0.2</v>
      </c>
      <c r="U27" s="35">
        <v>0.65</v>
      </c>
      <c r="V27" s="35">
        <v>0</v>
      </c>
      <c r="W27" s="35">
        <v>0</v>
      </c>
      <c r="X27" s="35">
        <v>2.85</v>
      </c>
      <c r="Y27" s="35">
        <v>3.1</v>
      </c>
      <c r="Z27" s="35">
        <v>0</v>
      </c>
      <c r="AA27" s="47">
        <f t="shared" si="2"/>
        <v>9.5500000000000007</v>
      </c>
      <c r="AB27" s="35">
        <f t="shared" si="3"/>
        <v>1.0611111111111111</v>
      </c>
      <c r="AC27" s="35">
        <f>(AA27/(AA27+'Cull Yield'!AA27))*100</f>
        <v>33.252089136490248</v>
      </c>
      <c r="AF27" s="35" t="s">
        <v>230</v>
      </c>
      <c r="AG27" s="35" t="s">
        <v>230</v>
      </c>
      <c r="AH27" s="35">
        <f t="shared" si="6"/>
        <v>11</v>
      </c>
      <c r="AI27" s="35">
        <f t="shared" si="8"/>
        <v>3.2</v>
      </c>
      <c r="AJ27" s="35">
        <f t="shared" si="9"/>
        <v>10.4</v>
      </c>
      <c r="AK27" s="35" t="s">
        <v>230</v>
      </c>
      <c r="AL27" s="35" t="s">
        <v>230</v>
      </c>
      <c r="AM27" s="35">
        <f>(X27/I27)*16</f>
        <v>6.5142857142857142</v>
      </c>
      <c r="AN27" s="35">
        <f t="shared" si="10"/>
        <v>6.2</v>
      </c>
      <c r="AO27" s="35" t="s">
        <v>230</v>
      </c>
      <c r="AP27" s="39">
        <f t="shared" si="7"/>
        <v>7.4628571428571435</v>
      </c>
    </row>
    <row r="28" spans="1:42" x14ac:dyDescent="0.25">
      <c r="A28" t="s">
        <v>31</v>
      </c>
      <c r="B28" s="35">
        <v>1</v>
      </c>
      <c r="C28" s="35">
        <v>6</v>
      </c>
      <c r="D28" s="35">
        <v>9</v>
      </c>
      <c r="E28" s="35">
        <v>24</v>
      </c>
      <c r="F28" s="35">
        <v>5</v>
      </c>
      <c r="G28" s="35">
        <v>0</v>
      </c>
      <c r="H28" s="35">
        <v>2</v>
      </c>
      <c r="I28" s="35">
        <v>5</v>
      </c>
      <c r="J28" s="35">
        <v>13</v>
      </c>
      <c r="K28" s="35">
        <v>4</v>
      </c>
      <c r="L28" s="45">
        <f t="shared" si="0"/>
        <v>69</v>
      </c>
      <c r="M28" s="35">
        <f t="shared" si="1"/>
        <v>6.9</v>
      </c>
      <c r="N28" s="35">
        <f>(L28/(L28+'Cull Yield'!L28))*100</f>
        <v>62.727272727272734</v>
      </c>
      <c r="Q28" s="35">
        <v>0.8</v>
      </c>
      <c r="R28" s="35">
        <v>4.1500000000000004</v>
      </c>
      <c r="S28" s="35">
        <v>5.65</v>
      </c>
      <c r="T28" s="35">
        <v>6.8</v>
      </c>
      <c r="U28" s="35">
        <v>3.25</v>
      </c>
      <c r="V28" s="35">
        <v>0</v>
      </c>
      <c r="W28" s="35">
        <v>0.7</v>
      </c>
      <c r="X28" s="35">
        <v>1.8</v>
      </c>
      <c r="Y28" s="35">
        <v>5.2</v>
      </c>
      <c r="Z28" s="35">
        <v>1.25</v>
      </c>
      <c r="AA28" s="47">
        <f t="shared" si="2"/>
        <v>29.6</v>
      </c>
      <c r="AB28" s="35">
        <f t="shared" si="3"/>
        <v>2.96</v>
      </c>
      <c r="AC28" s="35">
        <f>(AA28/(AA28+'Cull Yield'!AA28))*100</f>
        <v>59.91902834008097</v>
      </c>
      <c r="AF28" s="35">
        <f t="shared" si="4"/>
        <v>12.8</v>
      </c>
      <c r="AG28" s="35">
        <f t="shared" si="5"/>
        <v>11.066666666666668</v>
      </c>
      <c r="AH28" s="35">
        <f t="shared" si="6"/>
        <v>10.044444444444444</v>
      </c>
      <c r="AI28" s="35">
        <f t="shared" si="8"/>
        <v>4.5333333333333332</v>
      </c>
      <c r="AJ28" s="35">
        <f t="shared" si="9"/>
        <v>10.4</v>
      </c>
      <c r="AK28" s="35" t="s">
        <v>230</v>
      </c>
      <c r="AL28" s="35">
        <f>(W28/H28)*16</f>
        <v>5.6</v>
      </c>
      <c r="AM28" s="35">
        <f>(X28/I28)*16</f>
        <v>5.76</v>
      </c>
      <c r="AN28" s="35">
        <f t="shared" si="10"/>
        <v>6.4</v>
      </c>
      <c r="AO28" s="35">
        <f>(Z28/K28)*16</f>
        <v>5</v>
      </c>
      <c r="AP28" s="39">
        <f t="shared" si="7"/>
        <v>7.9560493827160492</v>
      </c>
    </row>
    <row r="29" spans="1:42" x14ac:dyDescent="0.25">
      <c r="A29" t="s">
        <v>32</v>
      </c>
      <c r="B29" s="35" t="s">
        <v>230</v>
      </c>
      <c r="C29" s="35">
        <v>1</v>
      </c>
      <c r="D29" s="35">
        <v>1</v>
      </c>
      <c r="E29" s="35" t="s">
        <v>368</v>
      </c>
      <c r="F29" s="35">
        <v>1</v>
      </c>
      <c r="G29" s="35">
        <v>0</v>
      </c>
      <c r="H29" s="35">
        <v>0</v>
      </c>
      <c r="I29" s="35">
        <v>0</v>
      </c>
      <c r="J29" s="35">
        <v>0</v>
      </c>
      <c r="K29" s="35">
        <v>0</v>
      </c>
      <c r="L29" s="45">
        <f t="shared" si="0"/>
        <v>3</v>
      </c>
      <c r="M29" s="35">
        <f t="shared" si="1"/>
        <v>0.375</v>
      </c>
      <c r="N29" s="35">
        <f>(L29/(L29+'Cull Yield'!L29))*100</f>
        <v>3.9473684210526314</v>
      </c>
      <c r="Q29" s="35" t="s">
        <v>230</v>
      </c>
      <c r="R29" s="35">
        <v>0.65</v>
      </c>
      <c r="S29" s="35">
        <v>0.8</v>
      </c>
      <c r="T29" s="35" t="s">
        <v>230</v>
      </c>
      <c r="U29" s="35">
        <v>1.25</v>
      </c>
      <c r="V29" s="35">
        <v>0</v>
      </c>
      <c r="W29" s="35">
        <v>0</v>
      </c>
      <c r="X29" s="35">
        <v>0</v>
      </c>
      <c r="Y29" s="35">
        <v>0</v>
      </c>
      <c r="Z29" s="35">
        <v>0</v>
      </c>
      <c r="AA29" s="47">
        <f t="shared" si="2"/>
        <v>2.7</v>
      </c>
      <c r="AB29" s="35">
        <f t="shared" si="3"/>
        <v>0.33750000000000002</v>
      </c>
      <c r="AC29" s="35">
        <f>(AA29/(AA29+'Cull Yield'!AA29))*100</f>
        <v>7.1240105540897085</v>
      </c>
      <c r="AF29" s="35" t="s">
        <v>230</v>
      </c>
      <c r="AG29" s="35">
        <f t="shared" si="5"/>
        <v>10.4</v>
      </c>
      <c r="AH29" s="35">
        <f t="shared" si="6"/>
        <v>12.8</v>
      </c>
      <c r="AI29" s="35" t="s">
        <v>230</v>
      </c>
      <c r="AJ29" s="35">
        <f t="shared" si="9"/>
        <v>20</v>
      </c>
      <c r="AK29" s="35" t="s">
        <v>230</v>
      </c>
      <c r="AL29" s="35" t="s">
        <v>230</v>
      </c>
      <c r="AM29" s="35" t="s">
        <v>230</v>
      </c>
      <c r="AN29" s="35" t="s">
        <v>230</v>
      </c>
      <c r="AO29" s="35" t="s">
        <v>230</v>
      </c>
      <c r="AP29" s="39">
        <f t="shared" si="7"/>
        <v>14.4</v>
      </c>
    </row>
    <row r="30" spans="1:42" x14ac:dyDescent="0.25">
      <c r="A30" t="s">
        <v>33</v>
      </c>
      <c r="B30" s="35" t="s">
        <v>230</v>
      </c>
      <c r="C30" s="35">
        <v>0</v>
      </c>
      <c r="D30" s="35">
        <v>1</v>
      </c>
      <c r="E30" s="35">
        <v>7</v>
      </c>
      <c r="F30" s="35">
        <v>3</v>
      </c>
      <c r="G30" s="35">
        <v>0</v>
      </c>
      <c r="H30" s="35">
        <v>3</v>
      </c>
      <c r="I30" s="35">
        <v>12</v>
      </c>
      <c r="J30" s="35">
        <v>12</v>
      </c>
      <c r="K30" s="35">
        <v>0</v>
      </c>
      <c r="L30" s="45">
        <f t="shared" si="0"/>
        <v>38</v>
      </c>
      <c r="M30" s="35">
        <f t="shared" si="1"/>
        <v>4.2222222222222223</v>
      </c>
      <c r="N30" s="35">
        <f>(L30/(L30+'Cull Yield'!L30))*100</f>
        <v>34.545454545454547</v>
      </c>
      <c r="Q30" s="35" t="s">
        <v>230</v>
      </c>
      <c r="R30" s="35">
        <v>0</v>
      </c>
      <c r="S30" s="35">
        <v>0.95</v>
      </c>
      <c r="T30" s="35">
        <v>5.35</v>
      </c>
      <c r="U30" s="35">
        <v>0.95</v>
      </c>
      <c r="V30" s="35">
        <v>0</v>
      </c>
      <c r="W30" s="35">
        <v>0.85</v>
      </c>
      <c r="X30" s="35">
        <v>5.2</v>
      </c>
      <c r="Y30" s="35">
        <v>4.45</v>
      </c>
      <c r="Z30" s="35">
        <v>0</v>
      </c>
      <c r="AA30" s="47">
        <f t="shared" si="2"/>
        <v>17.75</v>
      </c>
      <c r="AB30" s="35">
        <f t="shared" si="3"/>
        <v>1.9722222222222223</v>
      </c>
      <c r="AC30" s="35">
        <f>(AA30/(AA30+'Cull Yield'!AA30))*100</f>
        <v>42.874396135265698</v>
      </c>
      <c r="AF30" s="35" t="s">
        <v>230</v>
      </c>
      <c r="AG30" s="35" t="s">
        <v>230</v>
      </c>
      <c r="AH30" s="35">
        <f t="shared" si="6"/>
        <v>15.2</v>
      </c>
      <c r="AI30" s="35">
        <f t="shared" si="8"/>
        <v>12.228571428571428</v>
      </c>
      <c r="AJ30" s="35">
        <f t="shared" si="9"/>
        <v>5.0666666666666664</v>
      </c>
      <c r="AK30" s="35" t="s">
        <v>230</v>
      </c>
      <c r="AL30" s="35">
        <f>(W30/H30)*16</f>
        <v>4.5333333333333332</v>
      </c>
      <c r="AM30" s="35">
        <f>(X30/I30)*16</f>
        <v>6.9333333333333336</v>
      </c>
      <c r="AN30" s="35">
        <f>(Y30/J30)*16</f>
        <v>5.9333333333333336</v>
      </c>
      <c r="AO30" s="35" t="s">
        <v>230</v>
      </c>
      <c r="AP30" s="39">
        <f t="shared" si="7"/>
        <v>8.3158730158730165</v>
      </c>
    </row>
    <row r="31" spans="1:42" x14ac:dyDescent="0.25">
      <c r="A31" t="s">
        <v>34</v>
      </c>
      <c r="B31" s="35">
        <v>0</v>
      </c>
      <c r="C31" s="35">
        <v>0</v>
      </c>
      <c r="D31" s="35">
        <v>4</v>
      </c>
      <c r="E31" s="35">
        <v>3</v>
      </c>
      <c r="F31" s="35">
        <v>0</v>
      </c>
      <c r="G31" s="35">
        <v>0</v>
      </c>
      <c r="H31" s="35">
        <v>0</v>
      </c>
      <c r="I31" s="35">
        <v>1</v>
      </c>
      <c r="J31" s="35">
        <v>0</v>
      </c>
      <c r="K31" s="35">
        <v>0</v>
      </c>
      <c r="L31" s="45">
        <f t="shared" si="0"/>
        <v>8</v>
      </c>
      <c r="M31" s="35">
        <f t="shared" si="1"/>
        <v>0.8</v>
      </c>
      <c r="N31" s="35">
        <f>(L31/(L31+'Cull Yield'!L31))*100</f>
        <v>12.698412698412698</v>
      </c>
      <c r="Q31" s="35">
        <v>0</v>
      </c>
      <c r="R31" s="35">
        <v>0</v>
      </c>
      <c r="S31" s="35">
        <v>3.2</v>
      </c>
      <c r="T31" s="35">
        <v>2.0499999999999998</v>
      </c>
      <c r="U31" s="35">
        <v>0</v>
      </c>
      <c r="V31" s="35">
        <v>0</v>
      </c>
      <c r="W31" s="35">
        <v>0</v>
      </c>
      <c r="X31" s="35">
        <v>0.45</v>
      </c>
      <c r="Y31" s="35">
        <v>0</v>
      </c>
      <c r="Z31" s="35">
        <v>0</v>
      </c>
      <c r="AA31" s="47">
        <f t="shared" si="2"/>
        <v>5.7</v>
      </c>
      <c r="AB31" s="35">
        <f t="shared" si="3"/>
        <v>0.57000000000000006</v>
      </c>
      <c r="AC31" s="35">
        <f>(AA31/(AA31+'Cull Yield'!AA31))*100</f>
        <v>13.953488372093023</v>
      </c>
      <c r="AF31" s="35" t="s">
        <v>230</v>
      </c>
      <c r="AG31" s="35" t="s">
        <v>230</v>
      </c>
      <c r="AH31" s="35">
        <f t="shared" si="6"/>
        <v>12.8</v>
      </c>
      <c r="AI31" s="35">
        <f t="shared" si="8"/>
        <v>10.933333333333332</v>
      </c>
      <c r="AJ31" s="35" t="s">
        <v>230</v>
      </c>
      <c r="AK31" s="35" t="s">
        <v>230</v>
      </c>
      <c r="AL31" s="35" t="s">
        <v>230</v>
      </c>
      <c r="AM31" s="35">
        <f>(X31/I31)*16</f>
        <v>7.2</v>
      </c>
      <c r="AN31" s="35" t="s">
        <v>230</v>
      </c>
      <c r="AO31" s="35" t="s">
        <v>230</v>
      </c>
      <c r="AP31" s="39">
        <f t="shared" si="7"/>
        <v>10.311111111111112</v>
      </c>
    </row>
    <row r="32" spans="1:42" x14ac:dyDescent="0.25">
      <c r="A32" t="s">
        <v>35</v>
      </c>
      <c r="B32" s="35" t="s">
        <v>230</v>
      </c>
      <c r="C32" s="35">
        <v>0</v>
      </c>
      <c r="D32" s="35">
        <v>9</v>
      </c>
      <c r="E32" s="35">
        <v>12</v>
      </c>
      <c r="F32" s="35">
        <v>4</v>
      </c>
      <c r="G32" s="35">
        <v>1</v>
      </c>
      <c r="H32" s="35">
        <v>1</v>
      </c>
      <c r="I32" s="35">
        <v>3</v>
      </c>
      <c r="J32" s="35">
        <v>2</v>
      </c>
      <c r="K32" s="35">
        <v>3</v>
      </c>
      <c r="L32" s="45">
        <f t="shared" si="0"/>
        <v>35</v>
      </c>
      <c r="M32" s="35">
        <f t="shared" si="1"/>
        <v>3.8888888888888888</v>
      </c>
      <c r="N32" s="35">
        <f>(L32/(L32+'Cull Yield'!L32))*100</f>
        <v>50</v>
      </c>
      <c r="Q32" s="35" t="s">
        <v>230</v>
      </c>
      <c r="R32" s="35">
        <v>0</v>
      </c>
      <c r="S32" s="35">
        <v>9.65</v>
      </c>
      <c r="T32" s="35">
        <v>9.0500000000000007</v>
      </c>
      <c r="U32" s="35">
        <v>3.3</v>
      </c>
      <c r="V32" s="35">
        <v>0.85</v>
      </c>
      <c r="W32" s="35">
        <v>0.8</v>
      </c>
      <c r="X32" s="35">
        <v>1.35</v>
      </c>
      <c r="Y32" s="35">
        <v>1.1000000000000001</v>
      </c>
      <c r="Z32" s="35">
        <v>1.2</v>
      </c>
      <c r="AA32" s="47">
        <f t="shared" si="2"/>
        <v>27.300000000000008</v>
      </c>
      <c r="AB32" s="35">
        <f t="shared" si="3"/>
        <v>3.0333333333333341</v>
      </c>
      <c r="AC32" s="35">
        <f>(AA32/(AA32+'Cull Yield'!AA32))*100</f>
        <v>51.851851851851862</v>
      </c>
      <c r="AF32" s="35" t="s">
        <v>230</v>
      </c>
      <c r="AG32" s="35" t="s">
        <v>230</v>
      </c>
      <c r="AH32" s="35">
        <f t="shared" si="6"/>
        <v>17.155555555555555</v>
      </c>
      <c r="AI32" s="35">
        <f t="shared" si="8"/>
        <v>12.066666666666668</v>
      </c>
      <c r="AJ32" s="35">
        <f t="shared" si="9"/>
        <v>13.2</v>
      </c>
      <c r="AK32" s="35">
        <f>(V32/G32)*16</f>
        <v>13.6</v>
      </c>
      <c r="AL32" s="35">
        <f>(W32/H32)*16</f>
        <v>12.8</v>
      </c>
      <c r="AM32" s="35">
        <f>(X32/I32)*16</f>
        <v>7.2</v>
      </c>
      <c r="AN32" s="35">
        <f t="shared" ref="AN32:AO34" si="11">(Y32/J32)*16</f>
        <v>8.8000000000000007</v>
      </c>
      <c r="AO32" s="35">
        <f t="shared" si="11"/>
        <v>6.3999999999999995</v>
      </c>
      <c r="AP32" s="39">
        <f t="shared" si="7"/>
        <v>11.402777777777779</v>
      </c>
    </row>
    <row r="33" spans="1:42" x14ac:dyDescent="0.25">
      <c r="A33" t="s">
        <v>36</v>
      </c>
      <c r="B33" s="35">
        <v>3</v>
      </c>
      <c r="C33" s="35">
        <v>8</v>
      </c>
      <c r="D33" s="35">
        <v>4</v>
      </c>
      <c r="E33" s="35">
        <v>16</v>
      </c>
      <c r="F33" s="35">
        <v>4</v>
      </c>
      <c r="G33" s="35">
        <v>3</v>
      </c>
      <c r="H33" s="35">
        <v>0</v>
      </c>
      <c r="I33" s="35">
        <v>4</v>
      </c>
      <c r="J33" s="35">
        <v>6</v>
      </c>
      <c r="K33" s="35">
        <v>8</v>
      </c>
      <c r="L33" s="45">
        <f t="shared" si="0"/>
        <v>56</v>
      </c>
      <c r="M33" s="35">
        <f t="shared" si="1"/>
        <v>5.6</v>
      </c>
      <c r="N33" s="35">
        <f>(L33/(L33+'Cull Yield'!L33))*100</f>
        <v>60.215053763440864</v>
      </c>
      <c r="Q33" s="35">
        <v>2.2000000000000002</v>
      </c>
      <c r="R33" s="35">
        <v>5.6</v>
      </c>
      <c r="S33" s="35">
        <v>1.65</v>
      </c>
      <c r="T33" s="35">
        <v>8.9499999999999993</v>
      </c>
      <c r="U33" s="35">
        <v>1.75</v>
      </c>
      <c r="V33" s="35">
        <v>2.25</v>
      </c>
      <c r="W33" s="35">
        <v>0</v>
      </c>
      <c r="X33" s="35">
        <v>1.7</v>
      </c>
      <c r="Y33" s="35">
        <v>2.2999999999999998</v>
      </c>
      <c r="Z33" s="35">
        <v>3.85</v>
      </c>
      <c r="AA33" s="47">
        <f t="shared" si="2"/>
        <v>30.25</v>
      </c>
      <c r="AB33" s="35">
        <f t="shared" si="3"/>
        <v>3.0249999999999999</v>
      </c>
      <c r="AC33" s="35">
        <f>(AA33/(AA33+'Cull Yield'!AA33))*100</f>
        <v>63.617245005257629</v>
      </c>
      <c r="AF33" s="35">
        <f t="shared" si="4"/>
        <v>11.733333333333334</v>
      </c>
      <c r="AG33" s="35">
        <f t="shared" si="5"/>
        <v>11.2</v>
      </c>
      <c r="AH33" s="35">
        <f t="shared" si="6"/>
        <v>6.6</v>
      </c>
      <c r="AI33" s="35">
        <f t="shared" si="8"/>
        <v>8.9499999999999993</v>
      </c>
      <c r="AJ33" s="35">
        <f t="shared" si="9"/>
        <v>7</v>
      </c>
      <c r="AK33" s="35">
        <f>(V33/G33)*16</f>
        <v>12</v>
      </c>
      <c r="AL33" s="35" t="s">
        <v>230</v>
      </c>
      <c r="AM33" s="35">
        <f>(X33/I33)*16</f>
        <v>6.8</v>
      </c>
      <c r="AN33" s="35">
        <f t="shared" si="11"/>
        <v>6.1333333333333329</v>
      </c>
      <c r="AO33" s="35">
        <f t="shared" si="11"/>
        <v>7.7</v>
      </c>
      <c r="AP33" s="39">
        <f t="shared" si="7"/>
        <v>8.6796296296296287</v>
      </c>
    </row>
    <row r="34" spans="1:42" x14ac:dyDescent="0.25">
      <c r="A34" t="s">
        <v>37</v>
      </c>
      <c r="B34" s="35">
        <v>1</v>
      </c>
      <c r="C34" s="35">
        <v>9</v>
      </c>
      <c r="D34" s="35">
        <v>7</v>
      </c>
      <c r="E34" s="35">
        <v>42</v>
      </c>
      <c r="F34" s="35">
        <v>26</v>
      </c>
      <c r="G34" s="35">
        <v>11</v>
      </c>
      <c r="H34" s="35">
        <v>5</v>
      </c>
      <c r="I34" s="35">
        <v>8</v>
      </c>
      <c r="J34" s="35">
        <v>16</v>
      </c>
      <c r="K34" s="35">
        <v>7</v>
      </c>
      <c r="L34" s="45">
        <f t="shared" si="0"/>
        <v>132</v>
      </c>
      <c r="M34" s="35">
        <f t="shared" si="1"/>
        <v>13.2</v>
      </c>
      <c r="N34" s="35">
        <f>(L34/(L34+'Cull Yield'!L34))*100</f>
        <v>58.666666666666664</v>
      </c>
      <c r="Q34" s="35">
        <v>0.5</v>
      </c>
      <c r="R34" s="35">
        <v>3.15</v>
      </c>
      <c r="S34" s="35">
        <v>2.9</v>
      </c>
      <c r="T34" s="35">
        <v>14.75</v>
      </c>
      <c r="U34" s="35">
        <v>8.6999999999999993</v>
      </c>
      <c r="V34" s="35">
        <v>2.8</v>
      </c>
      <c r="W34" s="35">
        <v>1.35</v>
      </c>
      <c r="X34" s="35">
        <v>2.25</v>
      </c>
      <c r="Y34" s="35">
        <v>3.65</v>
      </c>
      <c r="Z34" s="35">
        <v>1.7</v>
      </c>
      <c r="AA34" s="47">
        <f t="shared" si="2"/>
        <v>41.75</v>
      </c>
      <c r="AB34" s="35">
        <f t="shared" si="3"/>
        <v>4.1749999999999998</v>
      </c>
      <c r="AC34" s="35">
        <f>(AA34/(AA34+'Cull Yield'!AA34))*100</f>
        <v>63.886763580719197</v>
      </c>
      <c r="AF34" s="35">
        <f t="shared" si="4"/>
        <v>8</v>
      </c>
      <c r="AG34" s="35">
        <f t="shared" si="5"/>
        <v>5.6</v>
      </c>
      <c r="AH34" s="35">
        <f t="shared" si="6"/>
        <v>6.6285714285714281</v>
      </c>
      <c r="AI34" s="35">
        <f t="shared" si="8"/>
        <v>5.6190476190476186</v>
      </c>
      <c r="AJ34" s="35">
        <f t="shared" si="9"/>
        <v>5.3538461538461535</v>
      </c>
      <c r="AK34" s="35">
        <f>(V34/G34)*16</f>
        <v>4.0727272727272723</v>
      </c>
      <c r="AL34" s="35">
        <f>(W34/H34)*16</f>
        <v>4.32</v>
      </c>
      <c r="AM34" s="35">
        <f>(X34/I34)*16</f>
        <v>4.5</v>
      </c>
      <c r="AN34" s="35">
        <f t="shared" si="11"/>
        <v>3.65</v>
      </c>
      <c r="AO34" s="35">
        <f t="shared" si="11"/>
        <v>3.8857142857142857</v>
      </c>
      <c r="AP34" s="39">
        <f t="shared" si="7"/>
        <v>5.1629906759906756</v>
      </c>
    </row>
    <row r="35" spans="1:42" x14ac:dyDescent="0.25">
      <c r="A35" t="s">
        <v>38</v>
      </c>
      <c r="B35" s="35">
        <v>1</v>
      </c>
      <c r="C35" s="35">
        <v>8</v>
      </c>
      <c r="D35" s="35">
        <v>21</v>
      </c>
      <c r="E35" s="35">
        <v>37</v>
      </c>
      <c r="F35" s="35">
        <v>27</v>
      </c>
      <c r="G35" s="35">
        <v>6</v>
      </c>
      <c r="H35" s="35">
        <v>3</v>
      </c>
      <c r="I35" s="35">
        <v>0</v>
      </c>
      <c r="J35" s="35">
        <v>3</v>
      </c>
      <c r="K35" s="35">
        <v>0</v>
      </c>
      <c r="L35" s="45">
        <f t="shared" si="0"/>
        <v>106</v>
      </c>
      <c r="M35" s="35">
        <f t="shared" si="1"/>
        <v>10.6</v>
      </c>
      <c r="N35" s="35">
        <f>(L35/(L35+'Cull Yield'!L35))*100</f>
        <v>44.166666666666664</v>
      </c>
      <c r="Q35" s="35">
        <v>0.3</v>
      </c>
      <c r="R35" s="35">
        <v>1.85</v>
      </c>
      <c r="S35" s="35">
        <v>4.3499999999999996</v>
      </c>
      <c r="T35" s="35">
        <v>8.25</v>
      </c>
      <c r="U35" s="35">
        <v>4.9000000000000004</v>
      </c>
      <c r="V35" s="35">
        <v>0.9</v>
      </c>
      <c r="W35" s="35">
        <v>0.45</v>
      </c>
      <c r="X35" s="35">
        <v>0</v>
      </c>
      <c r="Y35" s="35">
        <v>0.5</v>
      </c>
      <c r="Z35" s="35">
        <v>0</v>
      </c>
      <c r="AA35" s="47">
        <f t="shared" si="2"/>
        <v>21.499999999999996</v>
      </c>
      <c r="AB35" s="35">
        <f t="shared" si="3"/>
        <v>2.1499999999999995</v>
      </c>
      <c r="AC35" s="35">
        <f>(AA35/(AA35+'Cull Yield'!AA35))*100</f>
        <v>52.247873633049821</v>
      </c>
      <c r="AF35" s="35">
        <f t="shared" si="4"/>
        <v>4.8</v>
      </c>
      <c r="AG35" s="35">
        <f t="shared" si="5"/>
        <v>3.7</v>
      </c>
      <c r="AH35" s="35">
        <f t="shared" si="6"/>
        <v>3.3142857142857141</v>
      </c>
      <c r="AI35" s="35">
        <f t="shared" si="8"/>
        <v>3.5675675675675675</v>
      </c>
      <c r="AJ35" s="35">
        <f t="shared" si="9"/>
        <v>2.9037037037037039</v>
      </c>
      <c r="AK35" s="35">
        <f>(V35/G35)*16</f>
        <v>2.4</v>
      </c>
      <c r="AL35" s="35">
        <f>(W35/H35)*16</f>
        <v>2.4</v>
      </c>
      <c r="AM35" s="35" t="s">
        <v>230</v>
      </c>
      <c r="AN35" s="35">
        <f>(Y35/J35)*16</f>
        <v>2.6666666666666665</v>
      </c>
      <c r="AO35" s="35" t="s">
        <v>230</v>
      </c>
      <c r="AP35" s="39">
        <f t="shared" si="7"/>
        <v>3.2190279565279565</v>
      </c>
    </row>
    <row r="36" spans="1:42" x14ac:dyDescent="0.25">
      <c r="A36" t="s">
        <v>39</v>
      </c>
      <c r="B36" s="35">
        <v>2</v>
      </c>
      <c r="C36" s="35">
        <v>5</v>
      </c>
      <c r="D36" s="35">
        <v>23</v>
      </c>
      <c r="E36" s="35">
        <v>15</v>
      </c>
      <c r="F36" s="35">
        <v>13</v>
      </c>
      <c r="G36" s="35">
        <v>7</v>
      </c>
      <c r="H36" s="35">
        <v>7</v>
      </c>
      <c r="I36" s="35">
        <v>3</v>
      </c>
      <c r="J36" s="35">
        <v>1</v>
      </c>
      <c r="K36" s="35">
        <v>18</v>
      </c>
      <c r="L36" s="45">
        <f t="shared" si="0"/>
        <v>94</v>
      </c>
      <c r="M36" s="35">
        <f t="shared" si="1"/>
        <v>9.4</v>
      </c>
      <c r="N36" s="35">
        <f>(L36/(L36+'Cull Yield'!L36))*100</f>
        <v>41.777777777777779</v>
      </c>
      <c r="Q36" s="35">
        <v>0.85</v>
      </c>
      <c r="R36" s="35">
        <v>2.1</v>
      </c>
      <c r="S36" s="35">
        <v>9.5500000000000007</v>
      </c>
      <c r="T36" s="35">
        <v>6.1</v>
      </c>
      <c r="U36" s="35">
        <v>5.0999999999999996</v>
      </c>
      <c r="V36" s="35">
        <v>1.95</v>
      </c>
      <c r="W36" s="35">
        <v>1.95</v>
      </c>
      <c r="X36" s="35">
        <v>0.95</v>
      </c>
      <c r="Y36" s="35">
        <v>0.1</v>
      </c>
      <c r="Z36" s="35">
        <v>3.1</v>
      </c>
      <c r="AA36" s="47">
        <f t="shared" si="2"/>
        <v>31.750000000000004</v>
      </c>
      <c r="AB36" s="35">
        <f t="shared" si="3"/>
        <v>3.1750000000000003</v>
      </c>
      <c r="AC36" s="35">
        <f>(AA36/(AA36+'Cull Yield'!AA36))*100</f>
        <v>51.045016077170423</v>
      </c>
      <c r="AF36" s="35">
        <f t="shared" si="4"/>
        <v>6.8</v>
      </c>
      <c r="AG36" s="35">
        <f t="shared" si="5"/>
        <v>6.7200000000000006</v>
      </c>
      <c r="AH36" s="35">
        <f t="shared" si="6"/>
        <v>6.6434782608695659</v>
      </c>
      <c r="AI36" s="35">
        <f t="shared" si="8"/>
        <v>6.5066666666666659</v>
      </c>
      <c r="AJ36" s="35">
        <f t="shared" si="9"/>
        <v>6.2769230769230768</v>
      </c>
      <c r="AK36" s="35">
        <f>(V36/G36)*16</f>
        <v>4.4571428571428573</v>
      </c>
      <c r="AL36" s="35">
        <f>(W36/H36)*16</f>
        <v>4.4571428571428573</v>
      </c>
      <c r="AM36" s="35">
        <f>(X36/I36)*16</f>
        <v>5.0666666666666664</v>
      </c>
      <c r="AN36" s="35">
        <f>(Y36/J36)*16</f>
        <v>1.6</v>
      </c>
      <c r="AO36" s="35">
        <f>(Z36/K36)*16</f>
        <v>2.7555555555555555</v>
      </c>
      <c r="AP36" s="39">
        <f t="shared" si="7"/>
        <v>5.1283575940967241</v>
      </c>
    </row>
    <row r="37" spans="1:42" x14ac:dyDescent="0.25"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45"/>
      <c r="M37" s="35"/>
      <c r="N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47"/>
      <c r="AB37" s="35"/>
      <c r="AC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9"/>
    </row>
    <row r="38" spans="1:42" x14ac:dyDescent="0.25">
      <c r="A38" t="s">
        <v>50</v>
      </c>
      <c r="B38" s="35">
        <v>2</v>
      </c>
      <c r="C38" s="35">
        <v>2</v>
      </c>
      <c r="D38" s="35">
        <v>2</v>
      </c>
      <c r="E38" s="35">
        <v>1</v>
      </c>
      <c r="F38" s="35">
        <v>0</v>
      </c>
      <c r="G38" s="35">
        <v>0</v>
      </c>
      <c r="H38" s="35">
        <v>0</v>
      </c>
      <c r="I38" s="35">
        <v>0</v>
      </c>
      <c r="J38" s="35">
        <v>0</v>
      </c>
      <c r="K38" s="35">
        <v>0</v>
      </c>
      <c r="L38" s="45">
        <f t="shared" si="0"/>
        <v>7</v>
      </c>
      <c r="M38" s="35">
        <f t="shared" si="1"/>
        <v>0.7</v>
      </c>
      <c r="N38" s="35">
        <f>(L38/(L38+'Cull Yield'!L38))*100</f>
        <v>9.4594594594594597</v>
      </c>
      <c r="Q38" s="35">
        <v>1.35</v>
      </c>
      <c r="R38" s="35">
        <v>0.9</v>
      </c>
      <c r="S38" s="35">
        <v>1.1499999999999999</v>
      </c>
      <c r="T38" s="35">
        <v>0.26</v>
      </c>
      <c r="U38" s="35">
        <v>0</v>
      </c>
      <c r="V38" s="35">
        <v>0</v>
      </c>
      <c r="W38" s="35">
        <v>0</v>
      </c>
      <c r="X38" s="35">
        <v>0</v>
      </c>
      <c r="Y38" s="35">
        <v>0</v>
      </c>
      <c r="Z38" s="35">
        <v>0</v>
      </c>
      <c r="AA38" s="47">
        <f t="shared" si="2"/>
        <v>3.66</v>
      </c>
      <c r="AB38" s="35">
        <f t="shared" si="3"/>
        <v>0.36599999999999999</v>
      </c>
      <c r="AC38" s="35">
        <f>(AA38/(AA38+'Cull Yield'!AA38))*100</f>
        <v>9.3272171253822638</v>
      </c>
      <c r="AF38" s="35">
        <f t="shared" si="4"/>
        <v>10.8</v>
      </c>
      <c r="AG38" s="35">
        <f t="shared" si="5"/>
        <v>7.2</v>
      </c>
      <c r="AH38" s="35">
        <f t="shared" si="6"/>
        <v>9.1999999999999993</v>
      </c>
      <c r="AI38" s="35">
        <f t="shared" si="8"/>
        <v>4.16</v>
      </c>
      <c r="AJ38" s="35" t="s">
        <v>230</v>
      </c>
      <c r="AK38" s="35" t="s">
        <v>230</v>
      </c>
      <c r="AL38" s="35" t="s">
        <v>230</v>
      </c>
      <c r="AM38" s="35" t="s">
        <v>230</v>
      </c>
      <c r="AN38" s="35" t="s">
        <v>230</v>
      </c>
      <c r="AO38" s="35" t="s">
        <v>230</v>
      </c>
      <c r="AP38" s="39">
        <f t="shared" si="7"/>
        <v>7.84</v>
      </c>
    </row>
    <row r="39" spans="1:42" x14ac:dyDescent="0.25">
      <c r="A39" t="s">
        <v>41</v>
      </c>
      <c r="B39" s="35">
        <v>3</v>
      </c>
      <c r="C39" s="35">
        <v>38</v>
      </c>
      <c r="D39" s="35">
        <v>19</v>
      </c>
      <c r="E39" s="35">
        <v>15</v>
      </c>
      <c r="F39" s="35">
        <v>6</v>
      </c>
      <c r="G39" s="35">
        <v>1</v>
      </c>
      <c r="H39" s="35">
        <v>8</v>
      </c>
      <c r="I39" s="35">
        <v>10</v>
      </c>
      <c r="J39" s="35">
        <v>8</v>
      </c>
      <c r="K39" s="35">
        <v>4</v>
      </c>
      <c r="L39" s="45">
        <f t="shared" si="0"/>
        <v>112</v>
      </c>
      <c r="M39" s="35">
        <f t="shared" si="1"/>
        <v>11.2</v>
      </c>
      <c r="N39" s="35">
        <f>(L39/(L39+'Cull Yield'!L39))*100</f>
        <v>58.333333333333336</v>
      </c>
      <c r="Q39" s="35">
        <v>1.45</v>
      </c>
      <c r="R39" s="35">
        <v>9.75</v>
      </c>
      <c r="S39" s="35">
        <v>4.9000000000000004</v>
      </c>
      <c r="T39" s="35">
        <v>2.04</v>
      </c>
      <c r="U39" s="35">
        <v>1.9</v>
      </c>
      <c r="V39" s="35">
        <v>0.3</v>
      </c>
      <c r="W39" s="35">
        <v>2.2999999999999998</v>
      </c>
      <c r="X39" s="35">
        <v>2.75</v>
      </c>
      <c r="Y39" s="35">
        <v>1.7</v>
      </c>
      <c r="Z39" s="35">
        <v>0.65</v>
      </c>
      <c r="AA39" s="47">
        <f t="shared" si="2"/>
        <v>27.74</v>
      </c>
      <c r="AB39" s="35">
        <f t="shared" si="3"/>
        <v>2.774</v>
      </c>
      <c r="AC39" s="35">
        <f>(AA39/(AA39+'Cull Yield'!AA39))*100</f>
        <v>61.781737193763909</v>
      </c>
      <c r="AF39" s="35">
        <f t="shared" si="4"/>
        <v>7.7333333333333334</v>
      </c>
      <c r="AG39" s="35">
        <f t="shared" si="5"/>
        <v>4.1052631578947372</v>
      </c>
      <c r="AH39" s="35">
        <f t="shared" si="6"/>
        <v>4.1263157894736846</v>
      </c>
      <c r="AI39" s="35">
        <f t="shared" si="8"/>
        <v>2.1760000000000002</v>
      </c>
      <c r="AJ39" s="35">
        <f t="shared" si="9"/>
        <v>5.0666666666666664</v>
      </c>
      <c r="AK39" s="35">
        <f>(V39/G39)*16</f>
        <v>4.8</v>
      </c>
      <c r="AL39" s="35">
        <f>(W39/H39)*16</f>
        <v>4.5999999999999996</v>
      </c>
      <c r="AM39" s="35">
        <f>(X39/I39)*16</f>
        <v>4.4000000000000004</v>
      </c>
      <c r="AN39" s="35">
        <f>(Y39/J39)*16</f>
        <v>3.4</v>
      </c>
      <c r="AO39" s="35">
        <f>(Z39/K39)*16</f>
        <v>2.6</v>
      </c>
      <c r="AP39" s="39">
        <f t="shared" si="7"/>
        <v>4.3007578947368419</v>
      </c>
    </row>
    <row r="40" spans="1:42" x14ac:dyDescent="0.25">
      <c r="A40" t="s">
        <v>42</v>
      </c>
      <c r="B40" s="35">
        <v>1</v>
      </c>
      <c r="C40" s="35">
        <v>13</v>
      </c>
      <c r="D40" s="35">
        <v>15</v>
      </c>
      <c r="E40" s="35">
        <v>7</v>
      </c>
      <c r="F40" s="35">
        <v>6</v>
      </c>
      <c r="G40" s="35">
        <v>0</v>
      </c>
      <c r="H40" s="35">
        <v>10</v>
      </c>
      <c r="I40" s="35">
        <v>0</v>
      </c>
      <c r="J40" s="35">
        <v>0</v>
      </c>
      <c r="K40" s="35">
        <v>5</v>
      </c>
      <c r="L40" s="45">
        <f t="shared" si="0"/>
        <v>57</v>
      </c>
      <c r="M40" s="35">
        <f t="shared" si="1"/>
        <v>5.7</v>
      </c>
      <c r="N40" s="35">
        <f>(L40/(L40+'Cull Yield'!L40))*100</f>
        <v>45.6</v>
      </c>
      <c r="Q40" s="35">
        <v>0.35</v>
      </c>
      <c r="R40" s="35">
        <v>4.2</v>
      </c>
      <c r="S40" s="35">
        <v>5.7</v>
      </c>
      <c r="T40" s="35">
        <v>1.06</v>
      </c>
      <c r="U40" s="35">
        <v>1.9</v>
      </c>
      <c r="V40" s="35">
        <v>0</v>
      </c>
      <c r="W40" s="35">
        <v>2.5499999999999998</v>
      </c>
      <c r="X40" s="35">
        <v>0</v>
      </c>
      <c r="Y40" s="35">
        <v>0</v>
      </c>
      <c r="Z40" s="35">
        <v>0.5</v>
      </c>
      <c r="AA40" s="47">
        <f t="shared" si="2"/>
        <v>16.260000000000002</v>
      </c>
      <c r="AB40" s="35">
        <f t="shared" si="3"/>
        <v>1.6260000000000001</v>
      </c>
      <c r="AC40" s="35">
        <f>(AA40/(AA40+'Cull Yield'!AA40))*100</f>
        <v>52.964169381107496</v>
      </c>
      <c r="AF40" s="35">
        <f t="shared" si="4"/>
        <v>5.6</v>
      </c>
      <c r="AG40" s="35">
        <f t="shared" si="5"/>
        <v>5.1692307692307695</v>
      </c>
      <c r="AH40" s="35">
        <f t="shared" si="6"/>
        <v>6.08</v>
      </c>
      <c r="AI40" s="35">
        <f t="shared" si="8"/>
        <v>2.422857142857143</v>
      </c>
      <c r="AJ40" s="35">
        <f t="shared" si="9"/>
        <v>5.0666666666666664</v>
      </c>
      <c r="AK40" s="35" t="s">
        <v>230</v>
      </c>
      <c r="AL40" s="35">
        <f>(W40/H40)*16</f>
        <v>4.08</v>
      </c>
      <c r="AM40" s="35" t="s">
        <v>230</v>
      </c>
      <c r="AN40" s="35" t="s">
        <v>230</v>
      </c>
      <c r="AO40" s="35">
        <f t="shared" ref="AO40:AO46" si="12">(Z40/K40)*16</f>
        <v>1.6</v>
      </c>
      <c r="AP40" s="39">
        <f t="shared" si="7"/>
        <v>4.2883935112506544</v>
      </c>
    </row>
    <row r="41" spans="1:42" x14ac:dyDescent="0.25">
      <c r="A41" t="s">
        <v>43</v>
      </c>
      <c r="B41" s="35">
        <v>0</v>
      </c>
      <c r="C41" s="35">
        <v>5</v>
      </c>
      <c r="D41" s="35">
        <v>14</v>
      </c>
      <c r="E41" s="35">
        <v>13</v>
      </c>
      <c r="F41" s="35">
        <v>18</v>
      </c>
      <c r="G41" s="35">
        <v>4</v>
      </c>
      <c r="H41" s="35">
        <v>0</v>
      </c>
      <c r="I41" s="35">
        <v>18</v>
      </c>
      <c r="J41" s="35">
        <v>0</v>
      </c>
      <c r="K41" s="35">
        <v>4</v>
      </c>
      <c r="L41" s="45">
        <f t="shared" si="0"/>
        <v>76</v>
      </c>
      <c r="M41" s="35">
        <f t="shared" si="1"/>
        <v>7.6</v>
      </c>
      <c r="N41" s="35">
        <f>(L41/(L41+'Cull Yield'!L41))*100</f>
        <v>25</v>
      </c>
      <c r="Q41" s="35">
        <v>0</v>
      </c>
      <c r="R41" s="35">
        <v>1</v>
      </c>
      <c r="S41" s="35">
        <v>2.8</v>
      </c>
      <c r="T41" s="35">
        <v>1.3</v>
      </c>
      <c r="U41" s="35">
        <v>3.4</v>
      </c>
      <c r="V41" s="35">
        <v>0.55000000000000004</v>
      </c>
      <c r="W41" s="35">
        <v>0</v>
      </c>
      <c r="X41" s="35">
        <v>2.5</v>
      </c>
      <c r="Y41" s="35">
        <v>0</v>
      </c>
      <c r="Z41" s="35">
        <v>0.4</v>
      </c>
      <c r="AA41" s="47">
        <f t="shared" si="2"/>
        <v>11.950000000000001</v>
      </c>
      <c r="AB41" s="35">
        <f t="shared" si="3"/>
        <v>1.1950000000000001</v>
      </c>
      <c r="AC41" s="35">
        <f>(AA41/(AA41+'Cull Yield'!AA41))*100</f>
        <v>30.391658189216685</v>
      </c>
      <c r="AF41" s="35" t="s">
        <v>230</v>
      </c>
      <c r="AG41" s="35">
        <f t="shared" si="5"/>
        <v>3.2</v>
      </c>
      <c r="AH41" s="35">
        <f t="shared" si="6"/>
        <v>3.1999999999999997</v>
      </c>
      <c r="AI41" s="35">
        <f t="shared" si="8"/>
        <v>1.6</v>
      </c>
      <c r="AJ41" s="35">
        <f t="shared" si="9"/>
        <v>3.0222222222222221</v>
      </c>
      <c r="AK41" s="35">
        <f>(V41/G41)*16</f>
        <v>2.2000000000000002</v>
      </c>
      <c r="AL41" s="35" t="s">
        <v>230</v>
      </c>
      <c r="AM41" s="35">
        <f>(X41/I41)*16</f>
        <v>2.2222222222222223</v>
      </c>
      <c r="AN41" s="35" t="s">
        <v>230</v>
      </c>
      <c r="AO41" s="35">
        <f t="shared" si="12"/>
        <v>1.6</v>
      </c>
      <c r="AP41" s="39">
        <f t="shared" si="7"/>
        <v>2.4349206349206347</v>
      </c>
    </row>
    <row r="42" spans="1:42" x14ac:dyDescent="0.25">
      <c r="A42" t="s">
        <v>45</v>
      </c>
      <c r="B42" s="35">
        <v>2</v>
      </c>
      <c r="C42" s="35">
        <v>9</v>
      </c>
      <c r="D42" s="35">
        <v>15</v>
      </c>
      <c r="E42" s="35">
        <v>15</v>
      </c>
      <c r="F42" s="35">
        <v>15</v>
      </c>
      <c r="G42" s="35">
        <v>13</v>
      </c>
      <c r="H42" s="35">
        <v>8</v>
      </c>
      <c r="I42" s="35">
        <v>25</v>
      </c>
      <c r="J42" s="35">
        <v>10</v>
      </c>
      <c r="K42" s="35">
        <v>5</v>
      </c>
      <c r="L42" s="45">
        <f t="shared" si="0"/>
        <v>117</v>
      </c>
      <c r="M42" s="35">
        <f t="shared" si="1"/>
        <v>11.7</v>
      </c>
      <c r="N42" s="35">
        <f>(L42/(L42+'Cull Yield'!L42))*100</f>
        <v>66.477272727272734</v>
      </c>
      <c r="Q42" s="35">
        <v>0.5</v>
      </c>
      <c r="R42" s="35">
        <v>3.7</v>
      </c>
      <c r="S42" s="35">
        <v>6</v>
      </c>
      <c r="T42" s="35">
        <v>2.62</v>
      </c>
      <c r="U42" s="35">
        <v>6.05</v>
      </c>
      <c r="V42" s="35">
        <v>3.2</v>
      </c>
      <c r="W42" s="35">
        <v>2</v>
      </c>
      <c r="X42" s="35">
        <v>6.5</v>
      </c>
      <c r="Y42" s="35">
        <v>1.7</v>
      </c>
      <c r="Z42" s="35">
        <v>1.1000000000000001</v>
      </c>
      <c r="AA42" s="47">
        <f t="shared" si="2"/>
        <v>33.370000000000005</v>
      </c>
      <c r="AB42" s="35">
        <f t="shared" si="3"/>
        <v>3.3370000000000006</v>
      </c>
      <c r="AC42" s="35">
        <f>(AA42/(AA42+'Cull Yield'!AA42))*100</f>
        <v>74.139080204399022</v>
      </c>
      <c r="AF42" s="35">
        <f t="shared" si="4"/>
        <v>4</v>
      </c>
      <c r="AG42" s="35">
        <f t="shared" si="5"/>
        <v>6.5777777777777784</v>
      </c>
      <c r="AH42" s="35">
        <f t="shared" si="6"/>
        <v>6.4</v>
      </c>
      <c r="AI42" s="35">
        <f t="shared" si="8"/>
        <v>2.7946666666666666</v>
      </c>
      <c r="AJ42" s="35">
        <f t="shared" si="9"/>
        <v>6.4533333333333331</v>
      </c>
      <c r="AK42" s="35">
        <f>(V42/G42)*16</f>
        <v>3.9384615384615387</v>
      </c>
      <c r="AL42" s="35">
        <f>(W42/H42)*16</f>
        <v>4</v>
      </c>
      <c r="AM42" s="35">
        <f>(X42/I42)*16</f>
        <v>4.16</v>
      </c>
      <c r="AN42" s="35">
        <f>(Y42/J42)*16</f>
        <v>2.7199999999999998</v>
      </c>
      <c r="AO42" s="35">
        <f t="shared" si="12"/>
        <v>3.5200000000000005</v>
      </c>
      <c r="AP42" s="39">
        <f t="shared" si="7"/>
        <v>4.4564239316239318</v>
      </c>
    </row>
    <row r="43" spans="1:42" x14ac:dyDescent="0.25">
      <c r="A43" t="s">
        <v>46</v>
      </c>
      <c r="B43" s="35" t="s">
        <v>230</v>
      </c>
      <c r="C43" s="35">
        <v>10</v>
      </c>
      <c r="D43" s="35">
        <v>2</v>
      </c>
      <c r="E43" s="35">
        <v>2</v>
      </c>
      <c r="F43" s="35">
        <v>3</v>
      </c>
      <c r="G43" s="35">
        <v>0</v>
      </c>
      <c r="H43" s="35">
        <v>3</v>
      </c>
      <c r="I43" s="35">
        <v>4</v>
      </c>
      <c r="J43" s="35">
        <v>2</v>
      </c>
      <c r="K43" s="35">
        <v>1</v>
      </c>
      <c r="L43" s="45">
        <f t="shared" si="0"/>
        <v>27</v>
      </c>
      <c r="M43" s="35">
        <f t="shared" si="1"/>
        <v>3</v>
      </c>
      <c r="N43" s="35">
        <f>(L43/(L43+'Cull Yield'!L43))*100</f>
        <v>38.028169014084504</v>
      </c>
      <c r="Q43" s="35" t="s">
        <v>230</v>
      </c>
      <c r="R43" s="35">
        <v>4.8</v>
      </c>
      <c r="S43" s="35">
        <v>0.95</v>
      </c>
      <c r="T43" s="35">
        <v>0.36</v>
      </c>
      <c r="U43" s="35">
        <v>1.4</v>
      </c>
      <c r="V43" s="35">
        <v>0</v>
      </c>
      <c r="W43" s="35">
        <v>1</v>
      </c>
      <c r="X43" s="35">
        <v>1.3</v>
      </c>
      <c r="Y43" s="35">
        <v>0.9</v>
      </c>
      <c r="Z43" s="35">
        <v>0.35</v>
      </c>
      <c r="AA43" s="47">
        <f t="shared" si="2"/>
        <v>11.06</v>
      </c>
      <c r="AB43" s="35">
        <f t="shared" si="3"/>
        <v>1.2288888888888889</v>
      </c>
      <c r="AC43" s="35">
        <f>(AA43/(AA43+'Cull Yield'!AA43))*100</f>
        <v>48.423817863397552</v>
      </c>
      <c r="AF43" s="35" t="s">
        <v>230</v>
      </c>
      <c r="AG43" s="35">
        <f t="shared" si="5"/>
        <v>7.68</v>
      </c>
      <c r="AH43" s="35">
        <f t="shared" si="6"/>
        <v>7.6</v>
      </c>
      <c r="AI43" s="35">
        <f t="shared" si="8"/>
        <v>2.88</v>
      </c>
      <c r="AJ43" s="35">
        <f t="shared" si="9"/>
        <v>7.4666666666666659</v>
      </c>
      <c r="AK43" s="35" t="s">
        <v>230</v>
      </c>
      <c r="AL43" s="35">
        <f>(W43/H43)*16</f>
        <v>5.333333333333333</v>
      </c>
      <c r="AM43" s="35">
        <f>(X43/I43)*16</f>
        <v>5.2</v>
      </c>
      <c r="AN43" s="35">
        <f>(Y43/J43)*16</f>
        <v>7.2</v>
      </c>
      <c r="AO43" s="35">
        <f t="shared" si="12"/>
        <v>5.6</v>
      </c>
      <c r="AP43" s="39">
        <f t="shared" si="7"/>
        <v>6.12</v>
      </c>
    </row>
    <row r="44" spans="1:42" x14ac:dyDescent="0.25">
      <c r="A44" t="s">
        <v>47</v>
      </c>
      <c r="B44" s="35">
        <v>0</v>
      </c>
      <c r="C44" s="35">
        <v>4</v>
      </c>
      <c r="D44" s="35">
        <v>7</v>
      </c>
      <c r="E44" s="35">
        <v>3</v>
      </c>
      <c r="F44" s="35">
        <v>3</v>
      </c>
      <c r="G44" s="35">
        <v>12</v>
      </c>
      <c r="H44" s="35">
        <v>3</v>
      </c>
      <c r="I44" s="35">
        <v>0</v>
      </c>
      <c r="J44" s="35">
        <v>0</v>
      </c>
      <c r="K44" s="35">
        <v>2</v>
      </c>
      <c r="L44" s="45">
        <f t="shared" si="0"/>
        <v>34</v>
      </c>
      <c r="M44" s="35">
        <f t="shared" si="1"/>
        <v>3.4</v>
      </c>
      <c r="N44" s="35">
        <f>(L44/(L44+'Cull Yield'!L44))*100</f>
        <v>16.267942583732058</v>
      </c>
      <c r="Q44" s="35">
        <v>0</v>
      </c>
      <c r="R44" s="35">
        <v>1.45</v>
      </c>
      <c r="S44" s="35">
        <v>2.95</v>
      </c>
      <c r="T44" s="35">
        <v>0.68</v>
      </c>
      <c r="U44" s="35">
        <v>1.45</v>
      </c>
      <c r="V44" s="35">
        <v>4</v>
      </c>
      <c r="W44" s="35">
        <v>1</v>
      </c>
      <c r="X44" s="35">
        <v>0</v>
      </c>
      <c r="Y44" s="35">
        <v>0</v>
      </c>
      <c r="Z44" s="35">
        <v>0.35</v>
      </c>
      <c r="AA44" s="47">
        <f t="shared" si="2"/>
        <v>11.88</v>
      </c>
      <c r="AB44" s="35">
        <f t="shared" si="3"/>
        <v>1.1880000000000002</v>
      </c>
      <c r="AC44" s="35">
        <f>(AA44/(AA44+'Cull Yield'!AA44))*100</f>
        <v>18.785578747628083</v>
      </c>
      <c r="AF44" s="35" t="s">
        <v>230</v>
      </c>
      <c r="AG44" s="35">
        <f t="shared" si="5"/>
        <v>5.8</v>
      </c>
      <c r="AH44" s="35">
        <f t="shared" si="6"/>
        <v>6.7428571428571429</v>
      </c>
      <c r="AI44" s="35">
        <f t="shared" si="8"/>
        <v>3.6266666666666669</v>
      </c>
      <c r="AJ44" s="35">
        <f t="shared" si="9"/>
        <v>7.7333333333333334</v>
      </c>
      <c r="AK44" s="35">
        <f>(V44/G44)*16</f>
        <v>5.333333333333333</v>
      </c>
      <c r="AL44" s="35">
        <f>(W44/H44)*16</f>
        <v>5.333333333333333</v>
      </c>
      <c r="AM44" s="35" t="s">
        <v>230</v>
      </c>
      <c r="AN44" s="35" t="s">
        <v>230</v>
      </c>
      <c r="AO44" s="35">
        <f t="shared" si="12"/>
        <v>2.8</v>
      </c>
      <c r="AP44" s="39">
        <f t="shared" si="7"/>
        <v>5.3385034013605432</v>
      </c>
    </row>
    <row r="45" spans="1:42" x14ac:dyDescent="0.25">
      <c r="A45" t="s">
        <v>17</v>
      </c>
      <c r="B45" s="35" t="s">
        <v>230</v>
      </c>
      <c r="C45" s="35">
        <v>0</v>
      </c>
      <c r="D45" s="35">
        <v>2</v>
      </c>
      <c r="E45" s="35">
        <v>2</v>
      </c>
      <c r="F45" s="35">
        <v>0</v>
      </c>
      <c r="G45" s="35">
        <v>1</v>
      </c>
      <c r="H45" s="35">
        <v>0</v>
      </c>
      <c r="I45" s="35">
        <v>0</v>
      </c>
      <c r="J45" s="35">
        <v>0</v>
      </c>
      <c r="K45" s="35">
        <v>2</v>
      </c>
      <c r="L45" s="45">
        <f t="shared" si="0"/>
        <v>7</v>
      </c>
      <c r="M45" s="35">
        <f t="shared" si="1"/>
        <v>0.77777777777777779</v>
      </c>
      <c r="N45" s="35">
        <f>(L45/(L45+'Cull Yield'!L45))*100</f>
        <v>6.7307692307692308</v>
      </c>
      <c r="Q45" s="35" t="s">
        <v>230</v>
      </c>
      <c r="R45" s="35">
        <v>0</v>
      </c>
      <c r="S45" s="35">
        <v>0.55000000000000004</v>
      </c>
      <c r="T45" s="35">
        <v>0.24</v>
      </c>
      <c r="U45" s="35">
        <v>0</v>
      </c>
      <c r="V45" s="35">
        <v>0.1</v>
      </c>
      <c r="W45" s="35">
        <v>0</v>
      </c>
      <c r="X45" s="35">
        <v>0</v>
      </c>
      <c r="Y45" s="35">
        <v>0</v>
      </c>
      <c r="Z45" s="35">
        <v>0.3</v>
      </c>
      <c r="AA45" s="47">
        <f t="shared" si="2"/>
        <v>1.19</v>
      </c>
      <c r="AB45" s="35">
        <f t="shared" si="3"/>
        <v>0.13222222222222221</v>
      </c>
      <c r="AC45" s="35">
        <f>(AA45/(AA45+'Cull Yield'!AA45))*100</f>
        <v>10.067681895093061</v>
      </c>
      <c r="AF45" s="35" t="s">
        <v>230</v>
      </c>
      <c r="AG45" s="35" t="s">
        <v>230</v>
      </c>
      <c r="AH45" s="35">
        <f t="shared" si="6"/>
        <v>4.4000000000000004</v>
      </c>
      <c r="AI45" s="35">
        <f t="shared" si="8"/>
        <v>1.92</v>
      </c>
      <c r="AJ45" s="35" t="s">
        <v>230</v>
      </c>
      <c r="AK45" s="35">
        <f>(V45/G45)*16</f>
        <v>1.6</v>
      </c>
      <c r="AL45" s="35" t="s">
        <v>230</v>
      </c>
      <c r="AM45" s="35" t="s">
        <v>230</v>
      </c>
      <c r="AN45" s="35" t="s">
        <v>230</v>
      </c>
      <c r="AO45" s="35">
        <f t="shared" si="12"/>
        <v>2.4</v>
      </c>
      <c r="AP45" s="39">
        <f t="shared" si="7"/>
        <v>2.58</v>
      </c>
    </row>
    <row r="46" spans="1:42" x14ac:dyDescent="0.25">
      <c r="A46" t="s">
        <v>112</v>
      </c>
      <c r="B46" s="35" t="s">
        <v>230</v>
      </c>
      <c r="C46" s="35">
        <v>0</v>
      </c>
      <c r="D46" s="35">
        <v>10</v>
      </c>
      <c r="E46" s="35">
        <v>17</v>
      </c>
      <c r="F46" s="35">
        <v>0</v>
      </c>
      <c r="G46" s="35">
        <v>0</v>
      </c>
      <c r="H46" s="35">
        <v>1</v>
      </c>
      <c r="I46" s="35">
        <v>2</v>
      </c>
      <c r="J46" s="35">
        <v>4</v>
      </c>
      <c r="K46" s="35">
        <v>28</v>
      </c>
      <c r="L46" s="45">
        <f t="shared" si="0"/>
        <v>62</v>
      </c>
      <c r="M46" s="35">
        <f t="shared" si="1"/>
        <v>6.8888888888888893</v>
      </c>
      <c r="N46" s="35">
        <f>(L46/(L46+'Cull Yield'!L46))*100</f>
        <v>52.542372881355938</v>
      </c>
      <c r="Q46" s="35" t="s">
        <v>230</v>
      </c>
      <c r="R46" s="35">
        <v>0</v>
      </c>
      <c r="S46" s="35">
        <v>6.4</v>
      </c>
      <c r="T46" s="35">
        <v>5.52</v>
      </c>
      <c r="U46" s="35">
        <v>0</v>
      </c>
      <c r="V46" s="35">
        <v>0</v>
      </c>
      <c r="W46" s="35">
        <v>0.55000000000000004</v>
      </c>
      <c r="X46" s="35">
        <v>0.85</v>
      </c>
      <c r="Y46" s="35">
        <v>1.85</v>
      </c>
      <c r="Z46" s="35">
        <v>14.1</v>
      </c>
      <c r="AA46" s="47">
        <f t="shared" si="2"/>
        <v>29.27</v>
      </c>
      <c r="AB46" s="35">
        <f t="shared" si="3"/>
        <v>3.2522222222222221</v>
      </c>
      <c r="AC46" s="35">
        <f>(AA46/(AA46+'Cull Yield'!AA46))*100</f>
        <v>51.832831591995756</v>
      </c>
      <c r="AF46" s="35" t="s">
        <v>230</v>
      </c>
      <c r="AG46" s="35" t="s">
        <v>230</v>
      </c>
      <c r="AH46" s="35">
        <f t="shared" si="6"/>
        <v>10.24</v>
      </c>
      <c r="AI46" s="35">
        <f t="shared" si="8"/>
        <v>5.1952941176470588</v>
      </c>
      <c r="AJ46" s="35" t="s">
        <v>230</v>
      </c>
      <c r="AK46" s="35" t="s">
        <v>230</v>
      </c>
      <c r="AL46" s="35">
        <f>(W46/H46)*16</f>
        <v>8.8000000000000007</v>
      </c>
      <c r="AM46" s="35">
        <f>(X46/I46)*16</f>
        <v>6.8</v>
      </c>
      <c r="AN46" s="35">
        <f>(Y46/J46)*16</f>
        <v>7.4</v>
      </c>
      <c r="AO46" s="35">
        <f t="shared" si="12"/>
        <v>8.0571428571428569</v>
      </c>
      <c r="AP46" s="39">
        <f t="shared" si="7"/>
        <v>7.7487394957983193</v>
      </c>
    </row>
    <row r="47" spans="1:42" x14ac:dyDescent="0.25">
      <c r="A47" t="s">
        <v>22</v>
      </c>
      <c r="B47" s="35">
        <v>5</v>
      </c>
      <c r="C47" s="35">
        <v>8</v>
      </c>
      <c r="D47" s="35">
        <v>3</v>
      </c>
      <c r="E47" s="35">
        <v>17</v>
      </c>
      <c r="F47" s="35">
        <v>2</v>
      </c>
      <c r="G47" s="35">
        <v>0</v>
      </c>
      <c r="H47" s="35">
        <v>0</v>
      </c>
      <c r="I47" s="35">
        <v>0</v>
      </c>
      <c r="J47" s="35">
        <v>0</v>
      </c>
      <c r="K47" s="35">
        <v>0</v>
      </c>
      <c r="L47" s="45">
        <f t="shared" si="0"/>
        <v>35</v>
      </c>
      <c r="M47" s="35">
        <f t="shared" si="1"/>
        <v>3.5</v>
      </c>
      <c r="N47" s="35">
        <f>(L47/(L47+'Cull Yield'!L47))*100</f>
        <v>53.030303030303031</v>
      </c>
      <c r="Q47" s="35">
        <v>4.7</v>
      </c>
      <c r="R47" s="35">
        <v>3.2</v>
      </c>
      <c r="S47" s="35">
        <v>1.25</v>
      </c>
      <c r="T47" s="35">
        <v>3.16</v>
      </c>
      <c r="U47" s="35">
        <v>1.05</v>
      </c>
      <c r="V47" s="35">
        <v>0</v>
      </c>
      <c r="W47" s="35">
        <v>0</v>
      </c>
      <c r="X47" s="35">
        <v>0</v>
      </c>
      <c r="Y47" s="35">
        <v>0</v>
      </c>
      <c r="Z47" s="35">
        <v>0</v>
      </c>
      <c r="AA47" s="47">
        <f t="shared" si="2"/>
        <v>13.360000000000001</v>
      </c>
      <c r="AB47" s="35">
        <f t="shared" si="3"/>
        <v>1.3360000000000001</v>
      </c>
      <c r="AC47" s="35">
        <f>(AA47/(AA47+'Cull Yield'!AA47))*100</f>
        <v>51.424172440338722</v>
      </c>
      <c r="AF47" s="35">
        <f t="shared" si="4"/>
        <v>15.040000000000001</v>
      </c>
      <c r="AG47" s="35">
        <f t="shared" si="5"/>
        <v>6.4</v>
      </c>
      <c r="AH47" s="35">
        <f t="shared" si="6"/>
        <v>6.666666666666667</v>
      </c>
      <c r="AI47" s="35">
        <f t="shared" si="8"/>
        <v>2.9741176470588235</v>
      </c>
      <c r="AJ47" s="35">
        <f t="shared" si="9"/>
        <v>8.4</v>
      </c>
      <c r="AK47" s="35" t="s">
        <v>230</v>
      </c>
      <c r="AL47" s="35" t="s">
        <v>230</v>
      </c>
      <c r="AM47" s="35" t="s">
        <v>230</v>
      </c>
      <c r="AN47" s="35" t="s">
        <v>230</v>
      </c>
      <c r="AO47" s="35" t="s">
        <v>230</v>
      </c>
      <c r="AP47" s="39">
        <f t="shared" si="7"/>
        <v>7.8961568627450989</v>
      </c>
    </row>
    <row r="48" spans="1:42" x14ac:dyDescent="0.25">
      <c r="A48" t="s">
        <v>23</v>
      </c>
      <c r="B48" s="37">
        <v>24</v>
      </c>
      <c r="C48" s="37">
        <v>61</v>
      </c>
      <c r="D48" s="37">
        <v>58</v>
      </c>
      <c r="E48" s="37" t="s">
        <v>230</v>
      </c>
      <c r="F48" s="37" t="s">
        <v>230</v>
      </c>
      <c r="G48" s="37" t="s">
        <v>230</v>
      </c>
      <c r="H48" s="37" t="s">
        <v>230</v>
      </c>
      <c r="I48" s="37" t="s">
        <v>230</v>
      </c>
      <c r="J48" s="37" t="s">
        <v>230</v>
      </c>
      <c r="K48" s="37" t="s">
        <v>230</v>
      </c>
      <c r="L48" s="44">
        <f t="shared" si="0"/>
        <v>143</v>
      </c>
      <c r="M48" s="37">
        <f t="shared" si="1"/>
        <v>47.666666666666664</v>
      </c>
      <c r="N48" s="37">
        <f>(L48/(L48+'Cull Yield'!L48))*100</f>
        <v>87.730061349693258</v>
      </c>
      <c r="Q48" s="37">
        <v>1.89</v>
      </c>
      <c r="R48" s="37">
        <v>4.74</v>
      </c>
      <c r="S48" s="37">
        <v>2.83</v>
      </c>
      <c r="T48" s="37">
        <v>5.75</v>
      </c>
      <c r="U48" s="37">
        <v>1.1100000000000001</v>
      </c>
      <c r="V48" s="37">
        <v>4.25</v>
      </c>
      <c r="W48" s="37">
        <v>1.81</v>
      </c>
      <c r="X48" s="37">
        <v>1.51</v>
      </c>
      <c r="Y48" s="37">
        <v>1.07</v>
      </c>
      <c r="Z48" s="37">
        <v>3.21</v>
      </c>
      <c r="AA48" s="46">
        <f t="shared" si="2"/>
        <v>28.17</v>
      </c>
      <c r="AB48" s="37">
        <f t="shared" si="3"/>
        <v>2.8170000000000002</v>
      </c>
      <c r="AC48" s="37">
        <f>(AA48/(AA48+'Cull Yield'!AA48))*100</f>
        <v>77.432655305112689</v>
      </c>
      <c r="AF48" s="37">
        <f t="shared" si="4"/>
        <v>1.26</v>
      </c>
      <c r="AG48" s="37">
        <f t="shared" si="5"/>
        <v>1.2432786885245901</v>
      </c>
      <c r="AH48" s="37">
        <f t="shared" si="6"/>
        <v>0.78068965517241384</v>
      </c>
      <c r="AI48" s="37" t="s">
        <v>230</v>
      </c>
      <c r="AJ48" s="37" t="s">
        <v>230</v>
      </c>
      <c r="AK48" s="37" t="s">
        <v>230</v>
      </c>
      <c r="AL48" s="37" t="s">
        <v>230</v>
      </c>
      <c r="AM48" s="37" t="s">
        <v>230</v>
      </c>
      <c r="AN48" s="37" t="s">
        <v>230</v>
      </c>
      <c r="AO48" s="37" t="s">
        <v>230</v>
      </c>
      <c r="AP48" s="40">
        <f t="shared" si="7"/>
        <v>1.0946561145656679</v>
      </c>
    </row>
    <row r="49" spans="1:42" x14ac:dyDescent="0.25">
      <c r="A49" t="s">
        <v>24</v>
      </c>
      <c r="B49" s="35" t="s">
        <v>230</v>
      </c>
      <c r="C49" s="35">
        <v>0</v>
      </c>
      <c r="D49" s="35">
        <v>5</v>
      </c>
      <c r="E49" s="35">
        <v>13</v>
      </c>
      <c r="F49" s="35">
        <v>0</v>
      </c>
      <c r="G49" s="35">
        <v>0</v>
      </c>
      <c r="H49" s="35">
        <v>1</v>
      </c>
      <c r="I49" s="35">
        <v>0</v>
      </c>
      <c r="J49" s="35">
        <v>1</v>
      </c>
      <c r="K49" s="35">
        <v>1</v>
      </c>
      <c r="L49" s="45">
        <f t="shared" si="0"/>
        <v>21</v>
      </c>
      <c r="M49" s="35">
        <f t="shared" si="1"/>
        <v>2.3333333333333335</v>
      </c>
      <c r="N49" s="35">
        <f>(L49/(L49+'Cull Yield'!L49))*100</f>
        <v>24.137931034482758</v>
      </c>
      <c r="Q49" s="35" t="s">
        <v>230</v>
      </c>
      <c r="R49" s="35">
        <v>0</v>
      </c>
      <c r="S49" s="35">
        <v>2.65</v>
      </c>
      <c r="T49" s="35">
        <v>5</v>
      </c>
      <c r="U49" s="35">
        <v>0</v>
      </c>
      <c r="V49" s="35">
        <v>0</v>
      </c>
      <c r="W49" s="35">
        <v>0.55000000000000004</v>
      </c>
      <c r="X49" s="35">
        <v>0</v>
      </c>
      <c r="Y49" s="35">
        <v>0.5</v>
      </c>
      <c r="Z49" s="35">
        <v>0.55000000000000004</v>
      </c>
      <c r="AA49" s="47">
        <f t="shared" si="2"/>
        <v>9.2500000000000018</v>
      </c>
      <c r="AB49" s="35">
        <f t="shared" si="3"/>
        <v>1.0277777777777779</v>
      </c>
      <c r="AC49" s="35">
        <f>(AA49/(AA49+'Cull Yield'!AA49))*100</f>
        <v>18.908421913327885</v>
      </c>
      <c r="AF49" s="35" t="s">
        <v>230</v>
      </c>
      <c r="AG49" s="35" t="s">
        <v>230</v>
      </c>
      <c r="AH49" s="35">
        <f t="shared" si="6"/>
        <v>8.48</v>
      </c>
      <c r="AI49" s="35">
        <f t="shared" si="8"/>
        <v>6.1538461538461542</v>
      </c>
      <c r="AJ49" s="35" t="s">
        <v>230</v>
      </c>
      <c r="AK49" s="35" t="s">
        <v>230</v>
      </c>
      <c r="AL49" s="35">
        <f>(W49/H49)*16</f>
        <v>8.8000000000000007</v>
      </c>
      <c r="AM49" s="35" t="s">
        <v>230</v>
      </c>
      <c r="AN49" s="35">
        <f>(Y49/J49)*16</f>
        <v>8</v>
      </c>
      <c r="AO49" s="35">
        <f>(Z49/K49)*16</f>
        <v>8.8000000000000007</v>
      </c>
      <c r="AP49" s="39">
        <f t="shared" si="7"/>
        <v>8.0467692307692325</v>
      </c>
    </row>
    <row r="50" spans="1:42" x14ac:dyDescent="0.25">
      <c r="A50" t="s">
        <v>25</v>
      </c>
      <c r="B50" s="35" t="s">
        <v>230</v>
      </c>
      <c r="C50" s="35" t="s">
        <v>230</v>
      </c>
      <c r="D50" s="35">
        <v>0</v>
      </c>
      <c r="E50" s="35">
        <v>0</v>
      </c>
      <c r="F50" s="35">
        <v>1</v>
      </c>
      <c r="G50" s="35">
        <v>0</v>
      </c>
      <c r="H50" s="35">
        <v>0</v>
      </c>
      <c r="I50" s="35">
        <v>0</v>
      </c>
      <c r="J50" s="35">
        <v>0</v>
      </c>
      <c r="K50" s="35">
        <v>0</v>
      </c>
      <c r="L50" s="45">
        <f t="shared" si="0"/>
        <v>1</v>
      </c>
      <c r="M50" s="35">
        <f t="shared" si="1"/>
        <v>0.125</v>
      </c>
      <c r="N50" s="35">
        <f>(L50/(L50+'Cull Yield'!L50))*100</f>
        <v>1.7857142857142856</v>
      </c>
      <c r="Q50" s="35" t="s">
        <v>230</v>
      </c>
      <c r="R50" s="35" t="s">
        <v>230</v>
      </c>
      <c r="S50" s="35">
        <v>0</v>
      </c>
      <c r="T50" s="35">
        <v>0</v>
      </c>
      <c r="U50" s="35">
        <v>0.6</v>
      </c>
      <c r="V50" s="35">
        <v>0</v>
      </c>
      <c r="W50" s="35">
        <v>0</v>
      </c>
      <c r="X50" s="35">
        <v>0</v>
      </c>
      <c r="Y50" s="35">
        <v>0</v>
      </c>
      <c r="Z50" s="35">
        <v>0</v>
      </c>
      <c r="AA50" s="47">
        <f t="shared" si="2"/>
        <v>0.6</v>
      </c>
      <c r="AB50" s="35">
        <f t="shared" si="3"/>
        <v>7.4999999999999997E-2</v>
      </c>
      <c r="AC50" s="35">
        <f>(AA50/(AA50+'Cull Yield'!AA50))*100</f>
        <v>1.8226002430133657</v>
      </c>
      <c r="AF50" s="35" t="s">
        <v>230</v>
      </c>
      <c r="AG50" s="35" t="s">
        <v>230</v>
      </c>
      <c r="AH50" s="35" t="s">
        <v>230</v>
      </c>
      <c r="AI50" s="35" t="s">
        <v>230</v>
      </c>
      <c r="AJ50" s="35">
        <f t="shared" si="9"/>
        <v>9.6</v>
      </c>
      <c r="AK50" s="35" t="s">
        <v>230</v>
      </c>
      <c r="AL50" s="35" t="s">
        <v>230</v>
      </c>
      <c r="AM50" s="35" t="s">
        <v>230</v>
      </c>
      <c r="AN50" s="35" t="s">
        <v>230</v>
      </c>
      <c r="AO50" s="35" t="s">
        <v>230</v>
      </c>
      <c r="AP50" s="39">
        <f t="shared" si="7"/>
        <v>9.6</v>
      </c>
    </row>
    <row r="51" spans="1:42" x14ac:dyDescent="0.25">
      <c r="A51" t="s">
        <v>26</v>
      </c>
      <c r="B51" s="35" t="s">
        <v>230</v>
      </c>
      <c r="C51" s="35">
        <v>0</v>
      </c>
      <c r="D51" s="35">
        <v>2</v>
      </c>
      <c r="E51" s="35">
        <v>2</v>
      </c>
      <c r="F51" s="35">
        <v>2</v>
      </c>
      <c r="G51" s="35">
        <v>1</v>
      </c>
      <c r="H51" s="35">
        <v>0</v>
      </c>
      <c r="I51" s="35">
        <v>0</v>
      </c>
      <c r="J51" s="35">
        <v>4</v>
      </c>
      <c r="K51" s="35">
        <v>4</v>
      </c>
      <c r="L51" s="45">
        <f t="shared" si="0"/>
        <v>15</v>
      </c>
      <c r="M51" s="35">
        <f t="shared" si="1"/>
        <v>1.6666666666666667</v>
      </c>
      <c r="N51" s="35">
        <f>(L51/(L51+'Cull Yield'!L51))*100</f>
        <v>19.230769230769234</v>
      </c>
      <c r="Q51" s="35" t="s">
        <v>230</v>
      </c>
      <c r="R51" s="35">
        <v>0</v>
      </c>
      <c r="S51" s="35">
        <v>1.1499999999999999</v>
      </c>
      <c r="T51" s="35">
        <v>0.62</v>
      </c>
      <c r="U51" s="35">
        <v>1.25</v>
      </c>
      <c r="V51" s="35">
        <v>0.25</v>
      </c>
      <c r="W51" s="35">
        <v>0</v>
      </c>
      <c r="X51" s="35">
        <v>0</v>
      </c>
      <c r="Y51" s="35">
        <v>1.45</v>
      </c>
      <c r="Z51" s="35">
        <v>1.3</v>
      </c>
      <c r="AA51" s="47">
        <f t="shared" si="2"/>
        <v>6.02</v>
      </c>
      <c r="AB51" s="35">
        <f t="shared" si="3"/>
        <v>0.66888888888888887</v>
      </c>
      <c r="AC51" s="35">
        <f>(AA51/(AA51+'Cull Yield'!AA51))*100</f>
        <v>20.059980006664443</v>
      </c>
      <c r="AF51" s="35" t="s">
        <v>230</v>
      </c>
      <c r="AG51" s="35" t="s">
        <v>230</v>
      </c>
      <c r="AH51" s="35">
        <f t="shared" si="6"/>
        <v>9.1999999999999993</v>
      </c>
      <c r="AI51" s="35">
        <f t="shared" si="8"/>
        <v>4.96</v>
      </c>
      <c r="AJ51" s="35">
        <f t="shared" si="9"/>
        <v>10</v>
      </c>
      <c r="AK51" s="35">
        <f>(V51/G51)*16</f>
        <v>4</v>
      </c>
      <c r="AL51" s="35" t="s">
        <v>230</v>
      </c>
      <c r="AM51" s="35" t="s">
        <v>230</v>
      </c>
      <c r="AN51" s="35">
        <f>(Y51/J51)*16</f>
        <v>5.8</v>
      </c>
      <c r="AO51" s="35">
        <f>(Z51/K51)*16</f>
        <v>5.2</v>
      </c>
      <c r="AP51" s="39">
        <f t="shared" si="7"/>
        <v>6.5266666666666673</v>
      </c>
    </row>
    <row r="52" spans="1:42" x14ac:dyDescent="0.25">
      <c r="A52" t="s">
        <v>27</v>
      </c>
      <c r="B52" s="35" t="s">
        <v>230</v>
      </c>
      <c r="C52" s="35">
        <v>0</v>
      </c>
      <c r="D52" s="35">
        <v>2</v>
      </c>
      <c r="E52" s="35">
        <v>0</v>
      </c>
      <c r="F52" s="35">
        <v>3</v>
      </c>
      <c r="G52" s="35">
        <v>0</v>
      </c>
      <c r="H52" s="35">
        <v>1</v>
      </c>
      <c r="I52" s="35">
        <v>0</v>
      </c>
      <c r="J52" s="35">
        <v>0</v>
      </c>
      <c r="K52" s="35">
        <v>1</v>
      </c>
      <c r="L52" s="45">
        <f t="shared" si="0"/>
        <v>7</v>
      </c>
      <c r="M52" s="35">
        <f t="shared" si="1"/>
        <v>0.77777777777777779</v>
      </c>
      <c r="N52" s="35">
        <f>(L52/(L52+'Cull Yield'!L52))*100</f>
        <v>8.6419753086419746</v>
      </c>
      <c r="Q52" s="35" t="s">
        <v>230</v>
      </c>
      <c r="R52" s="35">
        <v>0</v>
      </c>
      <c r="S52" s="35">
        <v>1</v>
      </c>
      <c r="T52" s="35">
        <v>0</v>
      </c>
      <c r="U52" s="35">
        <v>1.8</v>
      </c>
      <c r="V52" s="35">
        <v>0</v>
      </c>
      <c r="W52" s="35">
        <v>0.55000000000000004</v>
      </c>
      <c r="X52" s="35">
        <v>0</v>
      </c>
      <c r="Y52" s="35">
        <v>0</v>
      </c>
      <c r="Z52" s="35">
        <v>0.45</v>
      </c>
      <c r="AA52" s="47">
        <f t="shared" si="2"/>
        <v>3.8</v>
      </c>
      <c r="AB52" s="35">
        <f t="shared" si="3"/>
        <v>0.42222222222222222</v>
      </c>
      <c r="AC52" s="35">
        <f>(AA52/(AA52+'Cull Yield'!AA52))*100</f>
        <v>10.882016036655214</v>
      </c>
      <c r="AF52" s="35" t="s">
        <v>230</v>
      </c>
      <c r="AG52" s="35" t="s">
        <v>230</v>
      </c>
      <c r="AH52" s="35">
        <f t="shared" si="6"/>
        <v>8</v>
      </c>
      <c r="AI52" s="35" t="s">
        <v>230</v>
      </c>
      <c r="AJ52" s="35">
        <f t="shared" si="9"/>
        <v>9.6</v>
      </c>
      <c r="AK52" s="35" t="s">
        <v>230</v>
      </c>
      <c r="AL52" s="35">
        <f>(W52/H52)*16</f>
        <v>8.8000000000000007</v>
      </c>
      <c r="AM52" s="35" t="s">
        <v>230</v>
      </c>
      <c r="AN52" s="35" t="s">
        <v>230</v>
      </c>
      <c r="AO52" s="35">
        <f>(Z52/K52)*16</f>
        <v>7.2</v>
      </c>
      <c r="AP52" s="39">
        <f t="shared" si="7"/>
        <v>8.4</v>
      </c>
    </row>
    <row r="53" spans="1:42" x14ac:dyDescent="0.25">
      <c r="A53" t="s">
        <v>40</v>
      </c>
      <c r="B53" s="35">
        <v>0</v>
      </c>
      <c r="C53" s="35">
        <v>4</v>
      </c>
      <c r="D53" s="35">
        <v>7</v>
      </c>
      <c r="E53" s="35">
        <v>0</v>
      </c>
      <c r="F53" s="35">
        <v>0</v>
      </c>
      <c r="G53" s="35">
        <v>2</v>
      </c>
      <c r="H53" s="35">
        <v>4</v>
      </c>
      <c r="I53" s="35">
        <v>9</v>
      </c>
      <c r="J53" s="35">
        <v>3</v>
      </c>
      <c r="K53" s="35">
        <v>11</v>
      </c>
      <c r="L53" s="45">
        <f t="shared" si="0"/>
        <v>40</v>
      </c>
      <c r="M53" s="35">
        <f t="shared" si="1"/>
        <v>4</v>
      </c>
      <c r="N53" s="35">
        <f>(L53/(L53+'Cull Yield'!L53))*100</f>
        <v>21.857923497267759</v>
      </c>
      <c r="Q53" s="35">
        <v>0</v>
      </c>
      <c r="R53" s="35">
        <v>1.45</v>
      </c>
      <c r="S53" s="35">
        <v>2.95</v>
      </c>
      <c r="T53" s="35">
        <v>0</v>
      </c>
      <c r="U53" s="35">
        <v>0</v>
      </c>
      <c r="V53" s="35">
        <v>0.35</v>
      </c>
      <c r="W53" s="35">
        <v>1.35</v>
      </c>
      <c r="X53" s="35">
        <v>2.4</v>
      </c>
      <c r="Y53" s="35">
        <v>0.8</v>
      </c>
      <c r="Z53" s="35">
        <v>3.8</v>
      </c>
      <c r="AA53" s="47">
        <f t="shared" si="2"/>
        <v>13.100000000000001</v>
      </c>
      <c r="AB53" s="35">
        <f t="shared" si="3"/>
        <v>1.31</v>
      </c>
      <c r="AC53" s="35">
        <f>(AA53/(AA53+'Cull Yield'!AA53))*100</f>
        <v>25.172943889315913</v>
      </c>
      <c r="AF53" s="35" t="s">
        <v>230</v>
      </c>
      <c r="AG53" s="35">
        <f t="shared" si="5"/>
        <v>5.8</v>
      </c>
      <c r="AH53" s="35">
        <f t="shared" si="6"/>
        <v>6.7428571428571429</v>
      </c>
      <c r="AI53" s="35" t="s">
        <v>230</v>
      </c>
      <c r="AJ53" s="35" t="s">
        <v>230</v>
      </c>
      <c r="AK53" s="35">
        <f>(V53/G53)*16</f>
        <v>2.8</v>
      </c>
      <c r="AL53" s="35">
        <f>(W53/H53)*16</f>
        <v>5.4</v>
      </c>
      <c r="AM53" s="35">
        <f>(X53/I53)*16</f>
        <v>4.2666666666666666</v>
      </c>
      <c r="AN53" s="35">
        <f>(Y53/J53)*16</f>
        <v>4.2666666666666666</v>
      </c>
      <c r="AO53" s="35">
        <f>(Z53/K53)*16</f>
        <v>5.5272727272727273</v>
      </c>
      <c r="AP53" s="39">
        <f t="shared" si="7"/>
        <v>4.9719233147804562</v>
      </c>
    </row>
    <row r="54" spans="1:42" x14ac:dyDescent="0.25">
      <c r="A54" t="s">
        <v>44</v>
      </c>
      <c r="B54" s="35">
        <v>4</v>
      </c>
      <c r="C54" s="35">
        <v>19</v>
      </c>
      <c r="D54" s="35">
        <v>14</v>
      </c>
      <c r="E54" s="35">
        <v>33</v>
      </c>
      <c r="F54" s="35">
        <v>10</v>
      </c>
      <c r="G54" s="35">
        <v>3</v>
      </c>
      <c r="H54" s="35">
        <v>2</v>
      </c>
      <c r="I54" s="35">
        <v>14</v>
      </c>
      <c r="J54" s="35">
        <v>11</v>
      </c>
      <c r="K54" s="35">
        <v>11</v>
      </c>
      <c r="L54" s="45">
        <f t="shared" si="0"/>
        <v>121</v>
      </c>
      <c r="M54" s="35">
        <f t="shared" si="1"/>
        <v>12.1</v>
      </c>
      <c r="N54" s="35">
        <f>(L54/(L54+'Cull Yield'!L54))*100</f>
        <v>57.075471698113212</v>
      </c>
      <c r="Q54" s="35">
        <v>2.1</v>
      </c>
      <c r="R54" s="35">
        <v>7.05</v>
      </c>
      <c r="S54" s="35">
        <v>3.8</v>
      </c>
      <c r="T54" s="35">
        <v>4.4000000000000004</v>
      </c>
      <c r="U54" s="35">
        <v>3.65</v>
      </c>
      <c r="V54" s="35">
        <v>1.1000000000000001</v>
      </c>
      <c r="W54" s="35">
        <v>0.7</v>
      </c>
      <c r="X54" s="35">
        <v>4.5</v>
      </c>
      <c r="Y54" s="35">
        <v>2.8</v>
      </c>
      <c r="Z54" s="35">
        <v>2.75</v>
      </c>
      <c r="AA54" s="47">
        <f t="shared" si="2"/>
        <v>32.85</v>
      </c>
      <c r="AB54" s="35">
        <f t="shared" si="3"/>
        <v>3.2850000000000001</v>
      </c>
      <c r="AC54" s="35">
        <f>(AA54/(AA54+'Cull Yield'!AA54))*100</f>
        <v>62.87081339712919</v>
      </c>
      <c r="AF54" s="35">
        <f t="shared" si="4"/>
        <v>8.4</v>
      </c>
      <c r="AG54" s="35">
        <f t="shared" si="5"/>
        <v>5.9368421052631577</v>
      </c>
      <c r="AH54" s="35">
        <f t="shared" si="6"/>
        <v>4.3428571428571425</v>
      </c>
      <c r="AI54" s="35">
        <f t="shared" si="8"/>
        <v>2.1333333333333333</v>
      </c>
      <c r="AJ54" s="35">
        <f t="shared" si="9"/>
        <v>5.84</v>
      </c>
      <c r="AK54" s="35">
        <f>(V54/G54)*16</f>
        <v>5.8666666666666671</v>
      </c>
      <c r="AL54" s="35">
        <f>(W54/H54)*16</f>
        <v>5.6</v>
      </c>
      <c r="AM54" s="35">
        <f>(X54/I54)*16</f>
        <v>5.1428571428571432</v>
      </c>
      <c r="AN54" s="35">
        <f>(Y54/J54)*16</f>
        <v>4.0727272727272723</v>
      </c>
      <c r="AO54" s="35">
        <f>(Z54/K54)*16</f>
        <v>4</v>
      </c>
      <c r="AP54" s="39">
        <f t="shared" si="7"/>
        <v>5.1335283663704718</v>
      </c>
    </row>
    <row r="55" spans="1:42" x14ac:dyDescent="0.25"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45"/>
      <c r="M55" s="35"/>
      <c r="N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47"/>
      <c r="AB55" s="35"/>
      <c r="AC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9"/>
    </row>
    <row r="56" spans="1:42" x14ac:dyDescent="0.25">
      <c r="A56" t="s">
        <v>69</v>
      </c>
      <c r="B56" s="35">
        <v>0</v>
      </c>
      <c r="C56" s="35">
        <v>0</v>
      </c>
      <c r="D56" s="35">
        <v>1</v>
      </c>
      <c r="E56" s="35">
        <v>7</v>
      </c>
      <c r="F56" s="35">
        <v>1</v>
      </c>
      <c r="G56" s="35">
        <v>2</v>
      </c>
      <c r="H56" s="35">
        <v>4</v>
      </c>
      <c r="I56" s="35">
        <v>4</v>
      </c>
      <c r="J56" s="35">
        <v>3</v>
      </c>
      <c r="K56" s="35">
        <v>2</v>
      </c>
      <c r="L56" s="45">
        <f t="shared" si="0"/>
        <v>24</v>
      </c>
      <c r="M56" s="35">
        <f t="shared" si="1"/>
        <v>2.4</v>
      </c>
      <c r="N56" s="35">
        <f>(L56/(L56+'Cull Yield'!L56))*100</f>
        <v>20.33898305084746</v>
      </c>
      <c r="Q56" s="35">
        <v>0</v>
      </c>
      <c r="R56" s="35">
        <v>0</v>
      </c>
      <c r="S56" s="35">
        <v>0.6</v>
      </c>
      <c r="T56" s="35">
        <v>2.8</v>
      </c>
      <c r="U56" s="35">
        <v>0.7</v>
      </c>
      <c r="V56" s="35">
        <v>1.9</v>
      </c>
      <c r="W56" s="35">
        <v>2.4500000000000002</v>
      </c>
      <c r="X56" s="35">
        <v>2.25</v>
      </c>
      <c r="Y56" s="35">
        <v>1.65</v>
      </c>
      <c r="Z56" s="35">
        <v>0.5</v>
      </c>
      <c r="AA56" s="47">
        <f t="shared" si="2"/>
        <v>12.85</v>
      </c>
      <c r="AB56" s="35">
        <f t="shared" si="3"/>
        <v>1.2849999999999999</v>
      </c>
      <c r="AC56" s="35">
        <f>(AA56/(AA56+'Cull Yield'!AA56))*100</f>
        <v>19.66034271725826</v>
      </c>
      <c r="AF56" s="35" t="s">
        <v>230</v>
      </c>
      <c r="AG56" s="35" t="s">
        <v>230</v>
      </c>
      <c r="AH56" s="35">
        <f t="shared" si="6"/>
        <v>9.6</v>
      </c>
      <c r="AI56" s="35">
        <f t="shared" si="8"/>
        <v>6.3999999999999995</v>
      </c>
      <c r="AJ56" s="35">
        <f t="shared" si="9"/>
        <v>11.2</v>
      </c>
      <c r="AK56" s="35">
        <f>(V56/G56)*16</f>
        <v>15.2</v>
      </c>
      <c r="AL56" s="35">
        <f>(W56/H56)*16</f>
        <v>9.8000000000000007</v>
      </c>
      <c r="AM56" s="35">
        <f>(X56/I56)*16</f>
        <v>9</v>
      </c>
      <c r="AN56" s="35">
        <f>(Y56/J56)*16</f>
        <v>8.7999999999999989</v>
      </c>
      <c r="AO56" s="35">
        <f>(Z56/K56)*16</f>
        <v>4</v>
      </c>
      <c r="AP56" s="39">
        <f t="shared" si="7"/>
        <v>9.25</v>
      </c>
    </row>
    <row r="57" spans="1:42" x14ac:dyDescent="0.25">
      <c r="A57" t="s">
        <v>70</v>
      </c>
      <c r="B57" s="35" t="s">
        <v>230</v>
      </c>
      <c r="C57" s="35">
        <v>0</v>
      </c>
      <c r="D57" s="35">
        <v>2</v>
      </c>
      <c r="E57" s="35">
        <v>10</v>
      </c>
      <c r="F57" s="35">
        <v>3</v>
      </c>
      <c r="G57" s="35">
        <v>0</v>
      </c>
      <c r="H57" s="35">
        <v>0</v>
      </c>
      <c r="I57" s="35">
        <v>0</v>
      </c>
      <c r="J57" s="35">
        <v>1</v>
      </c>
      <c r="K57" s="35">
        <v>4</v>
      </c>
      <c r="L57" s="45">
        <f t="shared" si="0"/>
        <v>20</v>
      </c>
      <c r="M57" s="35">
        <f t="shared" si="1"/>
        <v>2.2222222222222223</v>
      </c>
      <c r="N57" s="35">
        <f>(L57/(L57+'Cull Yield'!L57))*100</f>
        <v>29.411764705882355</v>
      </c>
      <c r="Q57" s="35" t="s">
        <v>230</v>
      </c>
      <c r="R57" s="35">
        <v>0</v>
      </c>
      <c r="S57" s="35">
        <v>1.3</v>
      </c>
      <c r="T57" s="35">
        <v>3.94</v>
      </c>
      <c r="U57" s="35">
        <v>2.4</v>
      </c>
      <c r="V57" s="35">
        <v>0</v>
      </c>
      <c r="W57" s="35">
        <v>0</v>
      </c>
      <c r="X57" s="35">
        <v>0</v>
      </c>
      <c r="Y57" s="35">
        <v>0.5</v>
      </c>
      <c r="Z57" s="35">
        <v>2.5499999999999998</v>
      </c>
      <c r="AA57" s="47">
        <f t="shared" si="2"/>
        <v>10.690000000000001</v>
      </c>
      <c r="AB57" s="35">
        <f t="shared" si="3"/>
        <v>1.1877777777777778</v>
      </c>
      <c r="AC57" s="35">
        <f>(AA57/(AA57+'Cull Yield'!AA57))*100</f>
        <v>22.073095188932488</v>
      </c>
      <c r="AF57" s="35" t="s">
        <v>230</v>
      </c>
      <c r="AG57" s="35" t="s">
        <v>230</v>
      </c>
      <c r="AH57" s="35">
        <f t="shared" si="6"/>
        <v>10.4</v>
      </c>
      <c r="AI57" s="35">
        <f t="shared" si="8"/>
        <v>6.3040000000000003</v>
      </c>
      <c r="AJ57" s="35">
        <f t="shared" si="9"/>
        <v>12.799999999999999</v>
      </c>
      <c r="AK57" s="35" t="s">
        <v>230</v>
      </c>
      <c r="AL57" s="35" t="s">
        <v>230</v>
      </c>
      <c r="AM57" s="35" t="s">
        <v>230</v>
      </c>
      <c r="AN57" s="35">
        <f>(Y57/J57)*16</f>
        <v>8</v>
      </c>
      <c r="AO57" s="35">
        <f>(Z57/K57)*16</f>
        <v>10.199999999999999</v>
      </c>
      <c r="AP57" s="39">
        <f t="shared" si="7"/>
        <v>9.5407999999999991</v>
      </c>
    </row>
    <row r="58" spans="1:42" x14ac:dyDescent="0.25">
      <c r="A58" t="s">
        <v>66</v>
      </c>
      <c r="B58" s="35">
        <v>1</v>
      </c>
      <c r="C58" s="35">
        <v>2</v>
      </c>
      <c r="D58" s="35">
        <v>2</v>
      </c>
      <c r="E58" s="35">
        <v>15</v>
      </c>
      <c r="F58" s="35">
        <v>8</v>
      </c>
      <c r="G58" s="35">
        <v>1</v>
      </c>
      <c r="H58" s="35">
        <v>0</v>
      </c>
      <c r="I58" s="35">
        <v>12</v>
      </c>
      <c r="J58" s="35">
        <v>20</v>
      </c>
      <c r="K58" s="35">
        <v>3</v>
      </c>
      <c r="L58" s="45">
        <f t="shared" si="0"/>
        <v>64</v>
      </c>
      <c r="M58" s="35">
        <f t="shared" si="1"/>
        <v>6.4</v>
      </c>
      <c r="N58" s="35">
        <f>(L58/(L58+'Cull Yield'!L58))*100</f>
        <v>49.230769230769234</v>
      </c>
      <c r="Q58" s="35">
        <v>0.5</v>
      </c>
      <c r="R58" s="35">
        <v>0.6</v>
      </c>
      <c r="S58" s="35">
        <v>1.05</v>
      </c>
      <c r="T58" s="35">
        <v>4.24</v>
      </c>
      <c r="U58" s="35">
        <v>3.95</v>
      </c>
      <c r="V58" s="35">
        <v>0.95</v>
      </c>
      <c r="W58" s="35">
        <v>0</v>
      </c>
      <c r="X58" s="35">
        <v>3.85</v>
      </c>
      <c r="Y58" s="35">
        <v>7.45</v>
      </c>
      <c r="Z58" s="35">
        <v>1</v>
      </c>
      <c r="AA58" s="47">
        <f t="shared" si="2"/>
        <v>23.59</v>
      </c>
      <c r="AB58" s="35">
        <f t="shared" si="3"/>
        <v>2.359</v>
      </c>
      <c r="AC58" s="35">
        <f>(AA58/(AA58+'Cull Yield'!AA58))*100</f>
        <v>53.154574132492115</v>
      </c>
      <c r="AF58" s="35">
        <f t="shared" si="4"/>
        <v>8</v>
      </c>
      <c r="AG58" s="35">
        <f t="shared" si="5"/>
        <v>4.8</v>
      </c>
      <c r="AH58" s="35">
        <f t="shared" si="6"/>
        <v>8.4</v>
      </c>
      <c r="AI58" s="35">
        <f t="shared" si="8"/>
        <v>4.5226666666666668</v>
      </c>
      <c r="AJ58" s="35">
        <f t="shared" si="9"/>
        <v>7.9</v>
      </c>
      <c r="AK58" s="35">
        <f>(V58/G58)*16</f>
        <v>15.2</v>
      </c>
      <c r="AL58" s="35" t="s">
        <v>230</v>
      </c>
      <c r="AM58" s="35">
        <f t="shared" ref="AM58:AM64" si="13">(X58/I58)*16</f>
        <v>5.1333333333333337</v>
      </c>
      <c r="AN58" s="35">
        <f>(Y58/J58)*16</f>
        <v>5.96</v>
      </c>
      <c r="AO58" s="35">
        <f>(Z58/K58)*16</f>
        <v>5.333333333333333</v>
      </c>
      <c r="AP58" s="39">
        <f t="shared" si="7"/>
        <v>7.2499259259259254</v>
      </c>
    </row>
    <row r="59" spans="1:42" x14ac:dyDescent="0.25">
      <c r="A59" t="s">
        <v>53</v>
      </c>
      <c r="B59" s="35">
        <v>9</v>
      </c>
      <c r="C59" s="35">
        <v>6</v>
      </c>
      <c r="D59" s="35">
        <v>15</v>
      </c>
      <c r="E59" s="35">
        <v>17</v>
      </c>
      <c r="F59" s="35">
        <v>6</v>
      </c>
      <c r="G59" s="35">
        <v>0</v>
      </c>
      <c r="H59" s="35">
        <v>5</v>
      </c>
      <c r="I59" s="35">
        <v>12</v>
      </c>
      <c r="J59" s="35">
        <v>0</v>
      </c>
      <c r="K59" s="35">
        <v>2</v>
      </c>
      <c r="L59" s="45">
        <f t="shared" si="0"/>
        <v>72</v>
      </c>
      <c r="M59" s="35">
        <f t="shared" si="1"/>
        <v>7.2</v>
      </c>
      <c r="N59" s="35">
        <f>(L59/(L59+'Cull Yield'!L59))*100</f>
        <v>47.368421052631575</v>
      </c>
      <c r="Q59" s="35">
        <v>5.35</v>
      </c>
      <c r="R59" s="35">
        <v>2.7</v>
      </c>
      <c r="S59" s="35">
        <v>6.8</v>
      </c>
      <c r="T59" s="35">
        <v>3.88</v>
      </c>
      <c r="U59" s="35">
        <v>2.5</v>
      </c>
      <c r="V59" s="35">
        <v>0</v>
      </c>
      <c r="W59" s="35">
        <v>1.4</v>
      </c>
      <c r="X59" s="35">
        <v>3.55</v>
      </c>
      <c r="Y59" s="35">
        <v>0</v>
      </c>
      <c r="Z59" s="35">
        <v>0.35</v>
      </c>
      <c r="AA59" s="47">
        <f t="shared" si="2"/>
        <v>26.53</v>
      </c>
      <c r="AB59" s="35">
        <f t="shared" si="3"/>
        <v>2.653</v>
      </c>
      <c r="AC59" s="35">
        <f>(AA59/(AA59+'Cull Yield'!AA59))*100</f>
        <v>56.112521150592222</v>
      </c>
      <c r="AF59" s="35">
        <f t="shared" si="4"/>
        <v>9.5111111111111111</v>
      </c>
      <c r="AG59" s="35">
        <f t="shared" si="5"/>
        <v>7.2</v>
      </c>
      <c r="AH59" s="35">
        <f t="shared" si="6"/>
        <v>7.253333333333333</v>
      </c>
      <c r="AI59" s="35">
        <f t="shared" si="8"/>
        <v>3.651764705882353</v>
      </c>
      <c r="AJ59" s="35">
        <f t="shared" si="9"/>
        <v>6.666666666666667</v>
      </c>
      <c r="AK59" s="35" t="s">
        <v>230</v>
      </c>
      <c r="AL59" s="35">
        <f>(W59/H59)*16</f>
        <v>4.4799999999999995</v>
      </c>
      <c r="AM59" s="35">
        <f t="shared" si="13"/>
        <v>4.7333333333333334</v>
      </c>
      <c r="AN59" s="35" t="s">
        <v>230</v>
      </c>
      <c r="AO59" s="35">
        <f t="shared" ref="AO59:AO66" si="14">(Z59/K59)*16</f>
        <v>2.8</v>
      </c>
      <c r="AP59" s="39">
        <f t="shared" si="7"/>
        <v>5.7870261437908495</v>
      </c>
    </row>
    <row r="60" spans="1:42" x14ac:dyDescent="0.25">
      <c r="A60" t="s">
        <v>54</v>
      </c>
      <c r="B60" s="35">
        <v>0</v>
      </c>
      <c r="C60" s="35">
        <v>1</v>
      </c>
      <c r="D60" s="35">
        <v>2</v>
      </c>
      <c r="E60" s="35">
        <v>12</v>
      </c>
      <c r="F60" s="35">
        <v>1</v>
      </c>
      <c r="G60" s="35">
        <v>2</v>
      </c>
      <c r="H60" s="35">
        <v>2</v>
      </c>
      <c r="I60" s="35">
        <v>6</v>
      </c>
      <c r="J60" s="35">
        <v>28</v>
      </c>
      <c r="K60" s="35">
        <v>2</v>
      </c>
      <c r="L60" s="45">
        <f t="shared" si="0"/>
        <v>56</v>
      </c>
      <c r="M60" s="35">
        <f t="shared" si="1"/>
        <v>5.6</v>
      </c>
      <c r="N60" s="35">
        <f>(L60/(L60+'Cull Yield'!L60))*100</f>
        <v>47.863247863247864</v>
      </c>
      <c r="Q60" s="35">
        <v>0</v>
      </c>
      <c r="R60" s="35">
        <v>0.85</v>
      </c>
      <c r="S60" s="35">
        <v>1.35</v>
      </c>
      <c r="T60" s="35">
        <v>4.5199999999999996</v>
      </c>
      <c r="U60" s="35">
        <v>0.55000000000000004</v>
      </c>
      <c r="V60" s="35">
        <v>1.5</v>
      </c>
      <c r="W60" s="35">
        <v>0.8</v>
      </c>
      <c r="X60" s="35">
        <v>3</v>
      </c>
      <c r="Y60" s="35">
        <v>12.1</v>
      </c>
      <c r="Z60" s="35">
        <v>0.75</v>
      </c>
      <c r="AA60" s="47">
        <f t="shared" si="2"/>
        <v>25.42</v>
      </c>
      <c r="AB60" s="35">
        <f t="shared" si="3"/>
        <v>2.5420000000000003</v>
      </c>
      <c r="AC60" s="35">
        <f>(AA60/(AA60+'Cull Yield'!AA60))*100</f>
        <v>43.835143990343163</v>
      </c>
      <c r="AF60" s="35" t="s">
        <v>230</v>
      </c>
      <c r="AG60" s="35">
        <f t="shared" si="5"/>
        <v>13.6</v>
      </c>
      <c r="AH60" s="35">
        <f t="shared" si="6"/>
        <v>10.8</v>
      </c>
      <c r="AI60" s="35">
        <f t="shared" si="8"/>
        <v>6.0266666666666664</v>
      </c>
      <c r="AJ60" s="35">
        <f t="shared" si="9"/>
        <v>8.8000000000000007</v>
      </c>
      <c r="AK60" s="35">
        <f>(V60/G60)*16</f>
        <v>12</v>
      </c>
      <c r="AL60" s="35">
        <f>(W60/H60)*16</f>
        <v>6.4</v>
      </c>
      <c r="AM60" s="35">
        <f t="shared" si="13"/>
        <v>8</v>
      </c>
      <c r="AN60" s="35">
        <f>(Y60/J60)*16</f>
        <v>6.9142857142857137</v>
      </c>
      <c r="AO60" s="35">
        <f t="shared" si="14"/>
        <v>6</v>
      </c>
      <c r="AP60" s="39">
        <f t="shared" si="7"/>
        <v>8.7267724867724858</v>
      </c>
    </row>
    <row r="61" spans="1:42" x14ac:dyDescent="0.25">
      <c r="A61" t="s">
        <v>55</v>
      </c>
      <c r="B61" s="35">
        <v>4</v>
      </c>
      <c r="C61" s="35">
        <v>4</v>
      </c>
      <c r="D61" s="35">
        <v>4</v>
      </c>
      <c r="E61" s="35">
        <v>15</v>
      </c>
      <c r="F61" s="35">
        <v>2</v>
      </c>
      <c r="G61" s="35">
        <v>0</v>
      </c>
      <c r="H61" s="35">
        <v>1</v>
      </c>
      <c r="I61" s="35">
        <v>3</v>
      </c>
      <c r="J61" s="35">
        <v>0</v>
      </c>
      <c r="K61" s="35">
        <v>3</v>
      </c>
      <c r="L61" s="45">
        <f t="shared" si="0"/>
        <v>36</v>
      </c>
      <c r="M61" s="35">
        <f t="shared" si="1"/>
        <v>3.6</v>
      </c>
      <c r="N61" s="35">
        <f>(L61/(L61+'Cull Yield'!L61))*100</f>
        <v>31.578947368421051</v>
      </c>
      <c r="Q61" s="35">
        <v>6.6</v>
      </c>
      <c r="R61" s="35">
        <v>2.2000000000000002</v>
      </c>
      <c r="S61" s="35">
        <v>2.1</v>
      </c>
      <c r="T61" s="35">
        <v>4.9400000000000004</v>
      </c>
      <c r="U61" s="35">
        <v>1.4</v>
      </c>
      <c r="V61" s="35">
        <v>0</v>
      </c>
      <c r="W61" s="35">
        <v>0.55000000000000004</v>
      </c>
      <c r="X61" s="35">
        <v>1.8</v>
      </c>
      <c r="Y61" s="35">
        <v>0</v>
      </c>
      <c r="Z61" s="35">
        <v>1.1000000000000001</v>
      </c>
      <c r="AA61" s="47">
        <f t="shared" si="2"/>
        <v>20.69</v>
      </c>
      <c r="AB61" s="35">
        <f t="shared" si="3"/>
        <v>2.069</v>
      </c>
      <c r="AC61" s="35">
        <f>(AA61/(AA61+'Cull Yield'!AA61))*100</f>
        <v>38.759835144248775</v>
      </c>
      <c r="AF61" s="35">
        <f t="shared" si="4"/>
        <v>26.4</v>
      </c>
      <c r="AG61" s="35">
        <f t="shared" si="5"/>
        <v>8.8000000000000007</v>
      </c>
      <c r="AH61" s="35">
        <f t="shared" si="6"/>
        <v>8.4</v>
      </c>
      <c r="AI61" s="35">
        <f t="shared" si="8"/>
        <v>5.2693333333333339</v>
      </c>
      <c r="AJ61" s="35">
        <f t="shared" si="9"/>
        <v>11.2</v>
      </c>
      <c r="AK61" s="35" t="s">
        <v>230</v>
      </c>
      <c r="AL61" s="35">
        <f>(W61/H61)*16</f>
        <v>8.8000000000000007</v>
      </c>
      <c r="AM61" s="35">
        <f t="shared" si="13"/>
        <v>9.6</v>
      </c>
      <c r="AN61" s="35" t="s">
        <v>230</v>
      </c>
      <c r="AO61" s="35">
        <f t="shared" si="14"/>
        <v>5.8666666666666671</v>
      </c>
      <c r="AP61" s="39">
        <f t="shared" si="7"/>
        <v>10.541999999999998</v>
      </c>
    </row>
    <row r="62" spans="1:42" x14ac:dyDescent="0.25">
      <c r="A62" t="s">
        <v>56</v>
      </c>
      <c r="B62" s="35">
        <v>0</v>
      </c>
      <c r="C62" s="35">
        <v>2</v>
      </c>
      <c r="D62" s="35">
        <v>5</v>
      </c>
      <c r="E62" s="35">
        <v>8</v>
      </c>
      <c r="F62" s="35">
        <v>1</v>
      </c>
      <c r="G62" s="35">
        <v>3</v>
      </c>
      <c r="H62" s="35">
        <v>6</v>
      </c>
      <c r="I62" s="35">
        <v>1</v>
      </c>
      <c r="J62" s="35">
        <v>20</v>
      </c>
      <c r="K62" s="35">
        <v>3</v>
      </c>
      <c r="L62" s="45">
        <f t="shared" si="0"/>
        <v>49</v>
      </c>
      <c r="M62" s="35">
        <f t="shared" si="1"/>
        <v>4.9000000000000004</v>
      </c>
      <c r="N62" s="35">
        <f>(L62/(L62+'Cull Yield'!L62))*100</f>
        <v>43.75</v>
      </c>
      <c r="Q62" s="35">
        <v>0</v>
      </c>
      <c r="R62" s="35">
        <v>1.6</v>
      </c>
      <c r="S62" s="35">
        <v>4.25</v>
      </c>
      <c r="T62" s="35">
        <v>1.9</v>
      </c>
      <c r="U62" s="35">
        <v>0.55000000000000004</v>
      </c>
      <c r="V62" s="35">
        <v>0.95</v>
      </c>
      <c r="W62" s="35">
        <v>2.65</v>
      </c>
      <c r="X62" s="35">
        <v>0.45</v>
      </c>
      <c r="Y62" s="35">
        <v>7.75</v>
      </c>
      <c r="Z62" s="35">
        <v>0.85</v>
      </c>
      <c r="AA62" s="47">
        <f t="shared" si="2"/>
        <v>20.950000000000003</v>
      </c>
      <c r="AB62" s="35">
        <f t="shared" si="3"/>
        <v>2.0950000000000002</v>
      </c>
      <c r="AC62" s="35">
        <f>(AA62/(AA62+'Cull Yield'!AA62))*100</f>
        <v>46.752956929256868</v>
      </c>
      <c r="AF62" s="35" t="s">
        <v>230</v>
      </c>
      <c r="AG62" s="35">
        <f t="shared" si="5"/>
        <v>12.8</v>
      </c>
      <c r="AH62" s="35">
        <f t="shared" si="6"/>
        <v>13.6</v>
      </c>
      <c r="AI62" s="35">
        <f t="shared" si="8"/>
        <v>3.8</v>
      </c>
      <c r="AJ62" s="35">
        <f t="shared" si="9"/>
        <v>8.8000000000000007</v>
      </c>
      <c r="AK62" s="35">
        <f>(V62/G62)*16</f>
        <v>5.0666666666666664</v>
      </c>
      <c r="AL62" s="35">
        <f>(W62/H62)*16</f>
        <v>7.0666666666666664</v>
      </c>
      <c r="AM62" s="35">
        <f t="shared" si="13"/>
        <v>7.2</v>
      </c>
      <c r="AN62" s="35">
        <f>(Y62/J62)*16</f>
        <v>6.2</v>
      </c>
      <c r="AO62" s="35">
        <f t="shared" si="14"/>
        <v>4.5333333333333332</v>
      </c>
      <c r="AP62" s="39">
        <f t="shared" si="7"/>
        <v>7.674074074074074</v>
      </c>
    </row>
    <row r="63" spans="1:42" x14ac:dyDescent="0.25">
      <c r="A63" t="s">
        <v>57</v>
      </c>
      <c r="B63" s="35">
        <v>3</v>
      </c>
      <c r="C63" s="35">
        <v>5</v>
      </c>
      <c r="D63" s="35">
        <v>9</v>
      </c>
      <c r="E63" s="35">
        <v>18</v>
      </c>
      <c r="F63" s="35">
        <v>5</v>
      </c>
      <c r="G63" s="35">
        <v>0</v>
      </c>
      <c r="H63" s="35">
        <v>0</v>
      </c>
      <c r="I63" s="35">
        <v>3</v>
      </c>
      <c r="J63" s="35">
        <v>5</v>
      </c>
      <c r="K63" s="35">
        <v>6</v>
      </c>
      <c r="L63" s="45">
        <f t="shared" si="0"/>
        <v>54</v>
      </c>
      <c r="M63" s="35">
        <f t="shared" si="1"/>
        <v>5.4</v>
      </c>
      <c r="N63" s="35">
        <f>(L63/(L63+'Cull Yield'!L63))*100</f>
        <v>41.221374045801525</v>
      </c>
      <c r="Q63" s="35">
        <v>2.0499999999999998</v>
      </c>
      <c r="R63" s="35">
        <v>3</v>
      </c>
      <c r="S63" s="35">
        <v>4.0999999999999996</v>
      </c>
      <c r="T63" s="35">
        <v>4.12</v>
      </c>
      <c r="U63" s="35">
        <v>2.5</v>
      </c>
      <c r="V63" s="35">
        <v>0</v>
      </c>
      <c r="W63" s="35">
        <v>0</v>
      </c>
      <c r="X63" s="35">
        <v>1.55</v>
      </c>
      <c r="Y63" s="35">
        <v>0.25</v>
      </c>
      <c r="Z63" s="35">
        <v>2</v>
      </c>
      <c r="AA63" s="47">
        <f t="shared" si="2"/>
        <v>19.57</v>
      </c>
      <c r="AB63" s="35">
        <f t="shared" si="3"/>
        <v>1.9570000000000001</v>
      </c>
      <c r="AC63" s="35">
        <f>(AA63/(AA63+'Cull Yield'!AA63))*100</f>
        <v>41.780529461998292</v>
      </c>
      <c r="AF63" s="35">
        <f t="shared" si="4"/>
        <v>10.933333333333332</v>
      </c>
      <c r="AG63" s="35">
        <f t="shared" si="5"/>
        <v>9.6</v>
      </c>
      <c r="AH63" s="35">
        <f t="shared" si="6"/>
        <v>7.2888888888888879</v>
      </c>
      <c r="AI63" s="35">
        <f t="shared" si="8"/>
        <v>3.6622222222222223</v>
      </c>
      <c r="AJ63" s="35">
        <f t="shared" si="9"/>
        <v>8</v>
      </c>
      <c r="AK63" s="35" t="s">
        <v>230</v>
      </c>
      <c r="AL63" s="35" t="s">
        <v>230</v>
      </c>
      <c r="AM63" s="35">
        <f t="shared" si="13"/>
        <v>8.2666666666666675</v>
      </c>
      <c r="AN63" s="35">
        <f>(Y63/J63)*16</f>
        <v>0.8</v>
      </c>
      <c r="AO63" s="35">
        <f t="shared" si="14"/>
        <v>5.333333333333333</v>
      </c>
      <c r="AP63" s="39">
        <f t="shared" si="7"/>
        <v>6.7355555555555551</v>
      </c>
    </row>
    <row r="64" spans="1:42" x14ac:dyDescent="0.25">
      <c r="A64" t="s">
        <v>58</v>
      </c>
      <c r="B64" s="35">
        <v>3</v>
      </c>
      <c r="C64" s="35">
        <v>2</v>
      </c>
      <c r="D64" s="35">
        <v>19</v>
      </c>
      <c r="E64" s="35">
        <v>22</v>
      </c>
      <c r="F64" s="35">
        <v>5</v>
      </c>
      <c r="G64" s="35">
        <v>1</v>
      </c>
      <c r="H64" s="35">
        <v>2</v>
      </c>
      <c r="I64" s="35">
        <v>12</v>
      </c>
      <c r="J64" s="35">
        <v>17</v>
      </c>
      <c r="K64" s="35">
        <v>8</v>
      </c>
      <c r="L64" s="45">
        <f t="shared" si="0"/>
        <v>91</v>
      </c>
      <c r="M64" s="35">
        <f t="shared" si="1"/>
        <v>9.1</v>
      </c>
      <c r="N64" s="35">
        <f>(L64/(L64+'Cull Yield'!L64))*100</f>
        <v>62.328767123287676</v>
      </c>
      <c r="Q64" s="35">
        <v>2.5499999999999998</v>
      </c>
      <c r="R64" s="35">
        <v>1.1000000000000001</v>
      </c>
      <c r="S64" s="35">
        <v>12.9</v>
      </c>
      <c r="T64" s="35">
        <v>6.38</v>
      </c>
      <c r="U64" s="35">
        <v>3.35</v>
      </c>
      <c r="V64" s="35">
        <v>0.5</v>
      </c>
      <c r="W64" s="35">
        <v>1.1499999999999999</v>
      </c>
      <c r="X64" s="35">
        <v>4.6500000000000004</v>
      </c>
      <c r="Y64" s="35">
        <v>7.45</v>
      </c>
      <c r="Z64" s="35">
        <v>3.05</v>
      </c>
      <c r="AA64" s="47">
        <f t="shared" si="2"/>
        <v>43.08</v>
      </c>
      <c r="AB64" s="35">
        <f t="shared" si="3"/>
        <v>4.3079999999999998</v>
      </c>
      <c r="AC64" s="35">
        <f>(AA64/(AA64+'Cull Yield'!AA64))*100</f>
        <v>64.801444043321311</v>
      </c>
      <c r="AF64" s="35">
        <f t="shared" si="4"/>
        <v>13.6</v>
      </c>
      <c r="AG64" s="35">
        <f t="shared" si="5"/>
        <v>8.8000000000000007</v>
      </c>
      <c r="AH64" s="35">
        <f t="shared" si="6"/>
        <v>10.863157894736842</v>
      </c>
      <c r="AI64" s="35">
        <f t="shared" si="8"/>
        <v>4.6399999999999997</v>
      </c>
      <c r="AJ64" s="35">
        <f t="shared" si="9"/>
        <v>10.72</v>
      </c>
      <c r="AK64" s="35">
        <f t="shared" ref="AK64:AL67" si="15">(V64/G64)*16</f>
        <v>8</v>
      </c>
      <c r="AL64" s="35">
        <f t="shared" si="15"/>
        <v>9.1999999999999993</v>
      </c>
      <c r="AM64" s="35">
        <f t="shared" si="13"/>
        <v>6.2</v>
      </c>
      <c r="AN64" s="35">
        <f>(Y64/J64)*16</f>
        <v>7.0117647058823529</v>
      </c>
      <c r="AO64" s="35">
        <f t="shared" si="14"/>
        <v>6.1</v>
      </c>
      <c r="AP64" s="39">
        <f t="shared" si="7"/>
        <v>8.5134922600619198</v>
      </c>
    </row>
    <row r="65" spans="1:42" x14ac:dyDescent="0.25">
      <c r="A65" t="s">
        <v>59</v>
      </c>
      <c r="B65" s="35">
        <v>1</v>
      </c>
      <c r="C65" s="35">
        <v>1</v>
      </c>
      <c r="D65" s="35">
        <v>5</v>
      </c>
      <c r="E65" s="35">
        <v>14</v>
      </c>
      <c r="F65" s="35">
        <v>6</v>
      </c>
      <c r="G65" s="35">
        <v>1</v>
      </c>
      <c r="H65" s="35">
        <v>2</v>
      </c>
      <c r="I65" s="35">
        <v>0</v>
      </c>
      <c r="J65" s="35">
        <v>0</v>
      </c>
      <c r="K65" s="35">
        <v>1</v>
      </c>
      <c r="L65" s="45">
        <f t="shared" si="0"/>
        <v>31</v>
      </c>
      <c r="M65" s="35">
        <f t="shared" si="1"/>
        <v>3.1</v>
      </c>
      <c r="N65" s="35">
        <f>(L65/(L65+'Cull Yield'!L65))*100</f>
        <v>41.891891891891895</v>
      </c>
      <c r="Q65" s="35">
        <v>0.85</v>
      </c>
      <c r="R65" s="35">
        <v>0.85</v>
      </c>
      <c r="S65" s="35">
        <v>5.25</v>
      </c>
      <c r="T65" s="35">
        <v>4.82</v>
      </c>
      <c r="U65" s="35">
        <v>4.3</v>
      </c>
      <c r="V65" s="35">
        <v>1.35</v>
      </c>
      <c r="W65" s="35">
        <v>1.1499999999999999</v>
      </c>
      <c r="X65" s="35">
        <v>0</v>
      </c>
      <c r="Y65" s="35">
        <v>0</v>
      </c>
      <c r="Z65" s="35">
        <v>0.6</v>
      </c>
      <c r="AA65" s="47">
        <f t="shared" si="2"/>
        <v>19.170000000000002</v>
      </c>
      <c r="AB65" s="35">
        <f t="shared" si="3"/>
        <v>1.9170000000000003</v>
      </c>
      <c r="AC65" s="35">
        <f>(AA65/(AA65+'Cull Yield'!AA65))*100</f>
        <v>46.836061568531633</v>
      </c>
      <c r="AF65" s="35">
        <f t="shared" si="4"/>
        <v>13.6</v>
      </c>
      <c r="AG65" s="35">
        <f t="shared" si="5"/>
        <v>13.6</v>
      </c>
      <c r="AH65" s="35">
        <f t="shared" si="6"/>
        <v>16.8</v>
      </c>
      <c r="AI65" s="35">
        <f t="shared" si="8"/>
        <v>5.5085714285714289</v>
      </c>
      <c r="AJ65" s="35">
        <f t="shared" si="9"/>
        <v>11.466666666666667</v>
      </c>
      <c r="AK65" s="35">
        <f t="shared" si="15"/>
        <v>21.6</v>
      </c>
      <c r="AL65" s="35">
        <f t="shared" si="15"/>
        <v>9.1999999999999993</v>
      </c>
      <c r="AM65" s="35" t="s">
        <v>230</v>
      </c>
      <c r="AN65" s="35" t="s">
        <v>230</v>
      </c>
      <c r="AO65" s="35">
        <f t="shared" si="14"/>
        <v>9.6</v>
      </c>
      <c r="AP65" s="39">
        <f t="shared" si="7"/>
        <v>12.671904761904761</v>
      </c>
    </row>
    <row r="66" spans="1:42" x14ac:dyDescent="0.25">
      <c r="A66" t="s">
        <v>60</v>
      </c>
      <c r="B66" s="35">
        <v>2</v>
      </c>
      <c r="C66" s="35">
        <v>5</v>
      </c>
      <c r="D66" s="35">
        <v>8</v>
      </c>
      <c r="E66" s="35">
        <v>27</v>
      </c>
      <c r="F66" s="35">
        <v>1</v>
      </c>
      <c r="G66" s="35">
        <v>2</v>
      </c>
      <c r="H66" s="35">
        <v>1</v>
      </c>
      <c r="I66" s="35">
        <v>2</v>
      </c>
      <c r="J66" s="35">
        <v>3</v>
      </c>
      <c r="K66" s="35">
        <v>5</v>
      </c>
      <c r="L66" s="45">
        <f t="shared" si="0"/>
        <v>56</v>
      </c>
      <c r="M66" s="35">
        <f t="shared" si="1"/>
        <v>5.6</v>
      </c>
      <c r="N66" s="35">
        <f>(L66/(L66+'Cull Yield'!L66))*100</f>
        <v>47.863247863247864</v>
      </c>
      <c r="Q66" s="35">
        <v>2.15</v>
      </c>
      <c r="R66" s="35">
        <v>4</v>
      </c>
      <c r="S66" s="35">
        <v>6.7</v>
      </c>
      <c r="T66" s="35">
        <v>8.64</v>
      </c>
      <c r="U66" s="35">
        <v>0.9</v>
      </c>
      <c r="V66" s="35">
        <v>1.6</v>
      </c>
      <c r="W66" s="35">
        <v>0.5</v>
      </c>
      <c r="X66" s="35">
        <v>1.1499999999999999</v>
      </c>
      <c r="Y66" s="35">
        <v>1.7</v>
      </c>
      <c r="Z66" s="35">
        <v>2.2000000000000002</v>
      </c>
      <c r="AA66" s="47">
        <f t="shared" si="2"/>
        <v>29.54</v>
      </c>
      <c r="AB66" s="35">
        <f t="shared" si="3"/>
        <v>2.9539999999999997</v>
      </c>
      <c r="AC66" s="35">
        <f>(AA66/(AA66+'Cull Yield'!AA66))*100</f>
        <v>50.084774499830452</v>
      </c>
      <c r="AF66" s="35">
        <f t="shared" si="4"/>
        <v>17.2</v>
      </c>
      <c r="AG66" s="35">
        <f t="shared" si="5"/>
        <v>12.8</v>
      </c>
      <c r="AH66" s="35">
        <f t="shared" si="6"/>
        <v>13.4</v>
      </c>
      <c r="AI66" s="35">
        <f t="shared" si="8"/>
        <v>5.12</v>
      </c>
      <c r="AJ66" s="35">
        <f t="shared" si="9"/>
        <v>14.4</v>
      </c>
      <c r="AK66" s="35">
        <f t="shared" si="15"/>
        <v>12.8</v>
      </c>
      <c r="AL66" s="35">
        <f t="shared" si="15"/>
        <v>8</v>
      </c>
      <c r="AM66" s="35">
        <f t="shared" ref="AM66:AN71" si="16">(X66/I66)*16</f>
        <v>9.1999999999999993</v>
      </c>
      <c r="AN66" s="35">
        <f t="shared" si="16"/>
        <v>9.0666666666666664</v>
      </c>
      <c r="AO66" s="35">
        <f t="shared" si="14"/>
        <v>7.0400000000000009</v>
      </c>
      <c r="AP66" s="39">
        <f t="shared" si="7"/>
        <v>10.902666666666667</v>
      </c>
    </row>
    <row r="67" spans="1:42" x14ac:dyDescent="0.25">
      <c r="A67" t="s">
        <v>61</v>
      </c>
      <c r="B67" s="35">
        <v>1</v>
      </c>
      <c r="C67" s="35">
        <v>9</v>
      </c>
      <c r="D67" s="35">
        <v>14</v>
      </c>
      <c r="E67" s="35">
        <v>8</v>
      </c>
      <c r="F67" s="35">
        <v>1</v>
      </c>
      <c r="G67" s="35">
        <v>1</v>
      </c>
      <c r="H67" s="35">
        <v>6</v>
      </c>
      <c r="I67" s="35">
        <v>12</v>
      </c>
      <c r="J67" s="35">
        <v>5</v>
      </c>
      <c r="K67" s="35">
        <v>0</v>
      </c>
      <c r="L67" s="45">
        <f t="shared" si="0"/>
        <v>57</v>
      </c>
      <c r="M67" s="35">
        <f t="shared" si="1"/>
        <v>5.7</v>
      </c>
      <c r="N67" s="35">
        <f>(L67/(L67+'Cull Yield'!L67))*100</f>
        <v>41.605839416058394</v>
      </c>
      <c r="Q67" s="35">
        <v>0.75</v>
      </c>
      <c r="R67" s="35">
        <v>5.45</v>
      </c>
      <c r="S67" s="35">
        <v>7.8</v>
      </c>
      <c r="T67" s="35">
        <v>2.12</v>
      </c>
      <c r="U67" s="35">
        <v>0.55000000000000004</v>
      </c>
      <c r="V67" s="35">
        <v>0.5</v>
      </c>
      <c r="W67" s="35">
        <v>2.75</v>
      </c>
      <c r="X67" s="35">
        <v>5.25</v>
      </c>
      <c r="Y67" s="35">
        <v>1.95</v>
      </c>
      <c r="Z67" s="35">
        <v>0</v>
      </c>
      <c r="AA67" s="47">
        <f t="shared" si="2"/>
        <v>27.12</v>
      </c>
      <c r="AB67" s="35">
        <f t="shared" si="3"/>
        <v>2.7120000000000002</v>
      </c>
      <c r="AC67" s="35">
        <f>(AA67/(AA67+'Cull Yield'!AA67))*100</f>
        <v>49.255357791500181</v>
      </c>
      <c r="AF67" s="35">
        <f t="shared" si="4"/>
        <v>12</v>
      </c>
      <c r="AG67" s="35">
        <f t="shared" si="5"/>
        <v>9.68888888888889</v>
      </c>
      <c r="AH67" s="35">
        <f t="shared" si="6"/>
        <v>8.9142857142857146</v>
      </c>
      <c r="AI67" s="35">
        <f t="shared" si="8"/>
        <v>4.24</v>
      </c>
      <c r="AJ67" s="35">
        <f t="shared" si="9"/>
        <v>8.8000000000000007</v>
      </c>
      <c r="AK67" s="35">
        <f t="shared" si="15"/>
        <v>8</v>
      </c>
      <c r="AL67" s="35">
        <f t="shared" si="15"/>
        <v>7.333333333333333</v>
      </c>
      <c r="AM67" s="35">
        <f t="shared" si="16"/>
        <v>7</v>
      </c>
      <c r="AN67" s="35">
        <f t="shared" si="16"/>
        <v>6.24</v>
      </c>
      <c r="AO67" s="35" t="s">
        <v>230</v>
      </c>
      <c r="AP67" s="39">
        <f t="shared" si="7"/>
        <v>8.0240564373897705</v>
      </c>
    </row>
    <row r="68" spans="1:42" x14ac:dyDescent="0.25">
      <c r="A68" t="s">
        <v>62</v>
      </c>
      <c r="B68" s="35">
        <v>2</v>
      </c>
      <c r="C68" s="35">
        <v>3</v>
      </c>
      <c r="D68" s="35">
        <v>9</v>
      </c>
      <c r="E68" s="35">
        <v>15</v>
      </c>
      <c r="F68" s="35">
        <v>5</v>
      </c>
      <c r="G68" s="35">
        <v>1</v>
      </c>
      <c r="H68" s="35">
        <v>1</v>
      </c>
      <c r="I68" s="35">
        <v>6</v>
      </c>
      <c r="J68" s="35">
        <v>10</v>
      </c>
      <c r="K68" s="35">
        <v>3</v>
      </c>
      <c r="L68" s="45">
        <f t="shared" ref="L68:L89" si="17">SUM(B68:K68)</f>
        <v>55</v>
      </c>
      <c r="M68" s="35">
        <f t="shared" ref="M68:M89" si="18">AVERAGE(B68:K68)</f>
        <v>5.5</v>
      </c>
      <c r="N68" s="35">
        <f>(L68/(L68+'Cull Yield'!L68))*100</f>
        <v>41.044776119402989</v>
      </c>
      <c r="Q68" s="35">
        <v>1.7</v>
      </c>
      <c r="R68" s="35">
        <v>2.35</v>
      </c>
      <c r="S68" s="35">
        <v>7.2</v>
      </c>
      <c r="T68" s="35">
        <v>5.34</v>
      </c>
      <c r="U68" s="35">
        <v>3.65</v>
      </c>
      <c r="V68" s="35">
        <v>0.6</v>
      </c>
      <c r="W68" s="35">
        <v>0.4</v>
      </c>
      <c r="X68" s="35">
        <v>2.25</v>
      </c>
      <c r="Y68" s="35">
        <v>4.9000000000000004</v>
      </c>
      <c r="Z68" s="35">
        <v>0.95</v>
      </c>
      <c r="AA68" s="47">
        <f t="shared" ref="AA68:AA89" si="19">SUM(Q68:Z68)</f>
        <v>29.34</v>
      </c>
      <c r="AB68" s="35">
        <f t="shared" ref="AB68:AB89" si="20">AVERAGE(Q68:Z68)</f>
        <v>2.9340000000000002</v>
      </c>
      <c r="AC68" s="35">
        <f>(AA68/(AA68+'Cull Yield'!AA68))*100</f>
        <v>44.240048250904707</v>
      </c>
      <c r="AF68" s="35">
        <f t="shared" ref="AF68:AF89" si="21">(Q68/B68)*16</f>
        <v>13.6</v>
      </c>
      <c r="AG68" s="35">
        <f t="shared" ref="AG68:AG89" si="22">(R68/C68)*16</f>
        <v>12.533333333333333</v>
      </c>
      <c r="AH68" s="35">
        <f t="shared" ref="AH68:AH89" si="23">(S68/D68)*16</f>
        <v>12.8</v>
      </c>
      <c r="AI68" s="35">
        <f t="shared" ref="AI68:AI89" si="24">(T68/E68)*16</f>
        <v>5.6959999999999997</v>
      </c>
      <c r="AJ68" s="35">
        <f t="shared" ref="AJ68:AJ88" si="25">(U68/F68)*16</f>
        <v>11.68</v>
      </c>
      <c r="AK68" s="35">
        <f t="shared" ref="AK68:AK85" si="26">(V68/G68)*16</f>
        <v>9.6</v>
      </c>
      <c r="AL68" s="35">
        <f>(W68/H68)*16</f>
        <v>6.4</v>
      </c>
      <c r="AM68" s="35">
        <f t="shared" si="16"/>
        <v>6</v>
      </c>
      <c r="AN68" s="35">
        <f t="shared" si="16"/>
        <v>7.8400000000000007</v>
      </c>
      <c r="AO68" s="35">
        <f>(Z68/K68)*16</f>
        <v>5.0666666666666664</v>
      </c>
      <c r="AP68" s="39">
        <f t="shared" ref="AP68:AP89" si="27">AVERAGE(AF68:AO68)</f>
        <v>9.1216000000000008</v>
      </c>
    </row>
    <row r="69" spans="1:42" x14ac:dyDescent="0.25">
      <c r="A69" t="s">
        <v>63</v>
      </c>
      <c r="B69" s="35">
        <v>5</v>
      </c>
      <c r="C69" s="35">
        <v>2</v>
      </c>
      <c r="D69" s="35">
        <v>2</v>
      </c>
      <c r="E69" s="35">
        <v>21</v>
      </c>
      <c r="F69" s="35">
        <v>2</v>
      </c>
      <c r="G69" s="35">
        <v>0</v>
      </c>
      <c r="H69" s="35">
        <v>1</v>
      </c>
      <c r="I69" s="35">
        <v>3</v>
      </c>
      <c r="J69" s="35">
        <v>6</v>
      </c>
      <c r="K69" s="35">
        <v>0</v>
      </c>
      <c r="L69" s="45">
        <f t="shared" si="17"/>
        <v>42</v>
      </c>
      <c r="M69" s="35">
        <f t="shared" si="18"/>
        <v>4.2</v>
      </c>
      <c r="N69" s="35">
        <f>(L69/(L69+'Cull Yield'!L69))*100</f>
        <v>34.42622950819672</v>
      </c>
      <c r="Q69" s="35">
        <v>4.2</v>
      </c>
      <c r="R69" s="35">
        <v>1.35</v>
      </c>
      <c r="S69" s="35">
        <v>1.3</v>
      </c>
      <c r="T69" s="35">
        <v>6.36</v>
      </c>
      <c r="U69" s="35">
        <v>0.8</v>
      </c>
      <c r="V69" s="35">
        <v>0</v>
      </c>
      <c r="W69" s="35">
        <v>0.4</v>
      </c>
      <c r="X69" s="35">
        <v>1.45</v>
      </c>
      <c r="Y69" s="35">
        <v>2.75</v>
      </c>
      <c r="Z69" s="35">
        <v>0</v>
      </c>
      <c r="AA69" s="47">
        <f t="shared" si="19"/>
        <v>18.61</v>
      </c>
      <c r="AB69" s="35">
        <f t="shared" si="20"/>
        <v>1.861</v>
      </c>
      <c r="AC69" s="35">
        <f>(AA69/(AA69+'Cull Yield'!AA69))*100</f>
        <v>35.898919753086425</v>
      </c>
      <c r="AF69" s="35">
        <f t="shared" si="21"/>
        <v>13.440000000000001</v>
      </c>
      <c r="AG69" s="35">
        <f t="shared" si="22"/>
        <v>10.8</v>
      </c>
      <c r="AH69" s="35">
        <f t="shared" si="23"/>
        <v>10.4</v>
      </c>
      <c r="AI69" s="35">
        <f t="shared" si="24"/>
        <v>4.8457142857142861</v>
      </c>
      <c r="AJ69" s="35">
        <f t="shared" si="25"/>
        <v>6.4</v>
      </c>
      <c r="AK69" s="35" t="s">
        <v>230</v>
      </c>
      <c r="AL69" s="35">
        <f>(W69/H69)*16</f>
        <v>6.4</v>
      </c>
      <c r="AM69" s="35">
        <f t="shared" si="16"/>
        <v>7.7333333333333334</v>
      </c>
      <c r="AN69" s="35">
        <f t="shared" si="16"/>
        <v>7.333333333333333</v>
      </c>
      <c r="AO69" s="35" t="s">
        <v>230</v>
      </c>
      <c r="AP69" s="39">
        <f t="shared" si="27"/>
        <v>8.4190476190476193</v>
      </c>
    </row>
    <row r="70" spans="1:42" x14ac:dyDescent="0.25">
      <c r="A70" t="s">
        <v>64</v>
      </c>
      <c r="B70" s="35">
        <v>3</v>
      </c>
      <c r="C70" s="35">
        <v>0</v>
      </c>
      <c r="D70" s="35">
        <v>6</v>
      </c>
      <c r="E70" s="35">
        <v>27</v>
      </c>
      <c r="F70" s="35">
        <v>1</v>
      </c>
      <c r="G70" s="35">
        <v>0</v>
      </c>
      <c r="H70" s="35">
        <v>0</v>
      </c>
      <c r="I70" s="35">
        <v>5</v>
      </c>
      <c r="J70" s="35">
        <v>20</v>
      </c>
      <c r="K70" s="35">
        <v>8</v>
      </c>
      <c r="L70" s="45">
        <f t="shared" si="17"/>
        <v>70</v>
      </c>
      <c r="M70" s="35">
        <f t="shared" si="18"/>
        <v>7</v>
      </c>
      <c r="N70" s="35">
        <f>(L70/(L70+'Cull Yield'!L70))*100</f>
        <v>50</v>
      </c>
      <c r="Q70" s="35">
        <v>2</v>
      </c>
      <c r="R70" s="35">
        <v>0</v>
      </c>
      <c r="S70" s="35">
        <v>4</v>
      </c>
      <c r="T70" s="35">
        <v>8.9</v>
      </c>
      <c r="U70" s="35">
        <v>0.6</v>
      </c>
      <c r="V70" s="35">
        <v>0</v>
      </c>
      <c r="W70" s="35">
        <v>0</v>
      </c>
      <c r="X70" s="35">
        <v>1.95</v>
      </c>
      <c r="Y70" s="35">
        <v>9.15</v>
      </c>
      <c r="Z70" s="35">
        <v>1.9</v>
      </c>
      <c r="AA70" s="47">
        <f t="shared" si="19"/>
        <v>28.5</v>
      </c>
      <c r="AB70" s="35">
        <f t="shared" si="20"/>
        <v>2.85</v>
      </c>
      <c r="AC70" s="35">
        <f>(AA70/(AA70+'Cull Yield'!AA70))*100</f>
        <v>48.329659148719692</v>
      </c>
      <c r="AF70" s="35">
        <f t="shared" si="21"/>
        <v>10.666666666666666</v>
      </c>
      <c r="AG70" s="35" t="s">
        <v>230</v>
      </c>
      <c r="AH70" s="35">
        <f t="shared" si="23"/>
        <v>10.666666666666666</v>
      </c>
      <c r="AI70" s="35">
        <f t="shared" si="24"/>
        <v>5.2740740740740746</v>
      </c>
      <c r="AJ70" s="35">
        <f t="shared" si="25"/>
        <v>9.6</v>
      </c>
      <c r="AK70" s="35" t="s">
        <v>230</v>
      </c>
      <c r="AL70" s="35" t="s">
        <v>230</v>
      </c>
      <c r="AM70" s="35">
        <f t="shared" si="16"/>
        <v>6.24</v>
      </c>
      <c r="AN70" s="35">
        <f t="shared" si="16"/>
        <v>7.32</v>
      </c>
      <c r="AO70" s="35">
        <f>(Z70/K70)*16</f>
        <v>3.8</v>
      </c>
      <c r="AP70" s="39">
        <f t="shared" si="27"/>
        <v>7.6524867724867729</v>
      </c>
    </row>
    <row r="71" spans="1:42" x14ac:dyDescent="0.25">
      <c r="A71" t="s">
        <v>65</v>
      </c>
      <c r="B71" s="35">
        <v>2</v>
      </c>
      <c r="C71" s="35">
        <v>4</v>
      </c>
      <c r="D71" s="35">
        <v>12</v>
      </c>
      <c r="E71" s="35">
        <v>0</v>
      </c>
      <c r="F71" s="35">
        <v>8</v>
      </c>
      <c r="G71" s="35">
        <v>5</v>
      </c>
      <c r="H71" s="35">
        <v>3</v>
      </c>
      <c r="I71" s="35">
        <v>3</v>
      </c>
      <c r="J71" s="35">
        <v>8</v>
      </c>
      <c r="K71" s="35">
        <v>2</v>
      </c>
      <c r="L71" s="45">
        <f t="shared" si="17"/>
        <v>47</v>
      </c>
      <c r="M71" s="35">
        <f t="shared" si="18"/>
        <v>4.7</v>
      </c>
      <c r="N71" s="35">
        <f>(L71/(L71+'Cull Yield'!L71))*100</f>
        <v>32.41379310344827</v>
      </c>
      <c r="Q71" s="35">
        <v>1.3</v>
      </c>
      <c r="R71" s="35">
        <v>2.5</v>
      </c>
      <c r="S71" s="35">
        <v>9.1999999999999993</v>
      </c>
      <c r="T71" s="35">
        <v>0</v>
      </c>
      <c r="U71" s="35">
        <v>5.2</v>
      </c>
      <c r="V71" s="35">
        <v>2.1</v>
      </c>
      <c r="W71" s="35">
        <v>1.1000000000000001</v>
      </c>
      <c r="X71" s="35">
        <v>1.1000000000000001</v>
      </c>
      <c r="Y71" s="35">
        <v>1.1499999999999999</v>
      </c>
      <c r="Z71" s="35">
        <v>0.7</v>
      </c>
      <c r="AA71" s="47">
        <f t="shared" si="19"/>
        <v>24.35</v>
      </c>
      <c r="AB71" s="35">
        <f t="shared" si="20"/>
        <v>2.4350000000000001</v>
      </c>
      <c r="AC71" s="35">
        <f>(AA71/(AA71+'Cull Yield'!AA71))*100</f>
        <v>38.681493248610003</v>
      </c>
      <c r="AF71" s="35">
        <f t="shared" si="21"/>
        <v>10.4</v>
      </c>
      <c r="AG71" s="35">
        <f t="shared" si="22"/>
        <v>10</v>
      </c>
      <c r="AH71" s="35">
        <f t="shared" si="23"/>
        <v>12.266666666666666</v>
      </c>
      <c r="AI71" s="35" t="s">
        <v>230</v>
      </c>
      <c r="AJ71" s="35">
        <f t="shared" si="25"/>
        <v>10.4</v>
      </c>
      <c r="AK71" s="35">
        <f t="shared" si="26"/>
        <v>6.7200000000000006</v>
      </c>
      <c r="AL71" s="35">
        <f>(W71/H71)*16</f>
        <v>5.8666666666666671</v>
      </c>
      <c r="AM71" s="35">
        <f t="shared" si="16"/>
        <v>5.8666666666666671</v>
      </c>
      <c r="AN71" s="35">
        <f t="shared" si="16"/>
        <v>2.2999999999999998</v>
      </c>
      <c r="AO71" s="35">
        <f>(Z71/K71)*16</f>
        <v>5.6</v>
      </c>
      <c r="AP71" s="39">
        <f t="shared" si="27"/>
        <v>7.713333333333332</v>
      </c>
    </row>
    <row r="72" spans="1:42" x14ac:dyDescent="0.25"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45"/>
      <c r="M72" s="35"/>
      <c r="N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47"/>
      <c r="AB72" s="35"/>
      <c r="AC72" s="35"/>
      <c r="AF72" s="35"/>
      <c r="AG72" s="35"/>
      <c r="AH72" s="35"/>
      <c r="AI72" s="35"/>
      <c r="AJ72" s="35"/>
      <c r="AK72" s="35"/>
      <c r="AL72" s="35"/>
      <c r="AM72" s="35"/>
      <c r="AN72" s="35"/>
      <c r="AO72" s="35"/>
      <c r="AP72" s="39"/>
    </row>
    <row r="73" spans="1:42" x14ac:dyDescent="0.25">
      <c r="A73" t="s">
        <v>67</v>
      </c>
      <c r="B73" s="35">
        <v>3</v>
      </c>
      <c r="C73" s="35">
        <v>13</v>
      </c>
      <c r="D73" s="35">
        <v>24</v>
      </c>
      <c r="E73" s="35">
        <v>6</v>
      </c>
      <c r="F73" s="35">
        <v>13</v>
      </c>
      <c r="G73" s="35">
        <v>13</v>
      </c>
      <c r="H73" s="35">
        <v>6</v>
      </c>
      <c r="I73" s="35">
        <v>7</v>
      </c>
      <c r="J73" s="35">
        <v>25</v>
      </c>
      <c r="K73" s="35">
        <v>5</v>
      </c>
      <c r="L73" s="45">
        <f t="shared" si="17"/>
        <v>115</v>
      </c>
      <c r="M73" s="35">
        <f t="shared" si="18"/>
        <v>11.5</v>
      </c>
      <c r="N73" s="35">
        <f>(L73/(L73+'Cull Yield'!L73))*100</f>
        <v>68.862275449101801</v>
      </c>
      <c r="Q73" s="35">
        <v>1.25</v>
      </c>
      <c r="R73" s="35">
        <v>5.7</v>
      </c>
      <c r="S73" s="35">
        <v>11.04</v>
      </c>
      <c r="T73" s="35">
        <v>0.86</v>
      </c>
      <c r="U73" s="35">
        <v>5.55</v>
      </c>
      <c r="V73" s="35">
        <v>5.56</v>
      </c>
      <c r="W73" s="35">
        <v>2.85</v>
      </c>
      <c r="X73" s="35">
        <v>3.2</v>
      </c>
      <c r="Y73" s="35">
        <v>8.1</v>
      </c>
      <c r="Z73" s="35">
        <v>1.95</v>
      </c>
      <c r="AA73" s="47">
        <f t="shared" si="19"/>
        <v>46.06</v>
      </c>
      <c r="AB73" s="35">
        <f t="shared" si="20"/>
        <v>4.6059999999999999</v>
      </c>
      <c r="AC73" s="35">
        <f>(AA73/(AA73+'Cull Yield'!AA73))*100</f>
        <v>71.069279432186391</v>
      </c>
      <c r="AF73" s="35">
        <f t="shared" si="21"/>
        <v>6.666666666666667</v>
      </c>
      <c r="AG73" s="35">
        <f t="shared" si="22"/>
        <v>7.0153846153846153</v>
      </c>
      <c r="AH73" s="35">
        <f t="shared" si="23"/>
        <v>7.3599999999999994</v>
      </c>
      <c r="AI73" s="35">
        <f t="shared" si="24"/>
        <v>2.2933333333333334</v>
      </c>
      <c r="AJ73" s="35">
        <f t="shared" si="25"/>
        <v>6.8307692307692305</v>
      </c>
      <c r="AK73" s="35">
        <f t="shared" si="26"/>
        <v>6.8430769230769224</v>
      </c>
      <c r="AL73" s="35">
        <f t="shared" ref="AL73:AO76" si="28">(W73/H73)*16</f>
        <v>7.6000000000000005</v>
      </c>
      <c r="AM73" s="35">
        <f t="shared" si="28"/>
        <v>7.3142857142857149</v>
      </c>
      <c r="AN73" s="35">
        <f t="shared" si="28"/>
        <v>5.1840000000000002</v>
      </c>
      <c r="AO73" s="35">
        <f t="shared" si="28"/>
        <v>6.24</v>
      </c>
      <c r="AP73" s="39">
        <f t="shared" si="27"/>
        <v>6.3347516483516486</v>
      </c>
    </row>
    <row r="74" spans="1:42" x14ac:dyDescent="0.25">
      <c r="A74" t="s">
        <v>68</v>
      </c>
      <c r="B74" s="35">
        <v>1</v>
      </c>
      <c r="C74" s="35">
        <v>9</v>
      </c>
      <c r="D74" s="35">
        <v>13</v>
      </c>
      <c r="E74" s="35">
        <v>7</v>
      </c>
      <c r="F74" s="35">
        <v>1</v>
      </c>
      <c r="G74" s="35">
        <v>2</v>
      </c>
      <c r="H74" s="35">
        <v>14</v>
      </c>
      <c r="I74" s="35">
        <v>17</v>
      </c>
      <c r="J74" s="35">
        <v>5</v>
      </c>
      <c r="K74" s="35">
        <v>4</v>
      </c>
      <c r="L74" s="45">
        <f t="shared" si="17"/>
        <v>73</v>
      </c>
      <c r="M74" s="35">
        <f t="shared" si="18"/>
        <v>7.3</v>
      </c>
      <c r="N74" s="35">
        <f>(L74/(L74+'Cull Yield'!L74))*100</f>
        <v>47.096774193548384</v>
      </c>
      <c r="Q74" s="35">
        <v>0.7</v>
      </c>
      <c r="R74" s="35">
        <v>5.6</v>
      </c>
      <c r="S74" s="35">
        <v>6.85</v>
      </c>
      <c r="T74" s="35">
        <v>1.88</v>
      </c>
      <c r="U74" s="35">
        <v>0.4</v>
      </c>
      <c r="V74" s="35">
        <v>0.75</v>
      </c>
      <c r="W74" s="35">
        <v>5.6</v>
      </c>
      <c r="X74" s="35">
        <v>7.3</v>
      </c>
      <c r="Y74" s="35">
        <v>1.7</v>
      </c>
      <c r="Z74" s="35">
        <v>1.05</v>
      </c>
      <c r="AA74" s="47">
        <f t="shared" si="19"/>
        <v>31.830000000000002</v>
      </c>
      <c r="AB74" s="35">
        <f t="shared" si="20"/>
        <v>3.1830000000000003</v>
      </c>
      <c r="AC74" s="35">
        <f>(AA74/(AA74+'Cull Yield'!AA74))*100</f>
        <v>55.48195921213177</v>
      </c>
      <c r="AF74" s="35">
        <f t="shared" si="21"/>
        <v>11.2</v>
      </c>
      <c r="AG74" s="35">
        <f t="shared" si="22"/>
        <v>9.9555555555555557</v>
      </c>
      <c r="AH74" s="35">
        <f t="shared" si="23"/>
        <v>8.430769230769231</v>
      </c>
      <c r="AI74" s="35">
        <f t="shared" si="24"/>
        <v>4.2971428571428572</v>
      </c>
      <c r="AJ74" s="35">
        <f t="shared" si="25"/>
        <v>6.4</v>
      </c>
      <c r="AK74" s="35">
        <f t="shared" si="26"/>
        <v>6</v>
      </c>
      <c r="AL74" s="35">
        <f t="shared" si="28"/>
        <v>6.3999999999999995</v>
      </c>
      <c r="AM74" s="35">
        <f t="shared" si="28"/>
        <v>6.8705882352941172</v>
      </c>
      <c r="AN74" s="35">
        <f t="shared" si="28"/>
        <v>5.4399999999999995</v>
      </c>
      <c r="AO74" s="35">
        <f t="shared" si="28"/>
        <v>4.2</v>
      </c>
      <c r="AP74" s="39">
        <f t="shared" si="27"/>
        <v>6.9194055878761755</v>
      </c>
    </row>
    <row r="75" spans="1:42" x14ac:dyDescent="0.25">
      <c r="A75" t="s">
        <v>71</v>
      </c>
      <c r="B75" s="35" t="s">
        <v>230</v>
      </c>
      <c r="C75" s="35">
        <v>2</v>
      </c>
      <c r="D75" s="35">
        <v>11</v>
      </c>
      <c r="E75" s="35">
        <v>20</v>
      </c>
      <c r="F75" s="35">
        <v>6</v>
      </c>
      <c r="G75" s="35">
        <v>9</v>
      </c>
      <c r="H75" s="35">
        <v>3</v>
      </c>
      <c r="I75" s="35">
        <v>4</v>
      </c>
      <c r="J75" s="35">
        <v>8</v>
      </c>
      <c r="K75" s="35">
        <v>4</v>
      </c>
      <c r="L75" s="45">
        <f t="shared" si="17"/>
        <v>67</v>
      </c>
      <c r="M75" s="35">
        <f t="shared" si="18"/>
        <v>7.4444444444444446</v>
      </c>
      <c r="N75" s="35">
        <f>(L75/(L75+'Cull Yield'!L75))*100</f>
        <v>53.174603174603178</v>
      </c>
      <c r="Q75" s="35" t="s">
        <v>230</v>
      </c>
      <c r="R75" s="35">
        <v>1.65</v>
      </c>
      <c r="S75" s="35">
        <v>7.4</v>
      </c>
      <c r="T75" s="35">
        <v>5.7</v>
      </c>
      <c r="U75" s="35">
        <v>3.4</v>
      </c>
      <c r="V75" s="35">
        <v>4.55</v>
      </c>
      <c r="W75" s="35">
        <v>1.5</v>
      </c>
      <c r="X75" s="35">
        <v>1.95</v>
      </c>
      <c r="Y75" s="35">
        <v>3.35</v>
      </c>
      <c r="Z75" s="35">
        <v>1.2</v>
      </c>
      <c r="AA75" s="47">
        <f t="shared" si="19"/>
        <v>30.7</v>
      </c>
      <c r="AB75" s="35">
        <f t="shared" si="20"/>
        <v>3.411111111111111</v>
      </c>
      <c r="AC75" s="35">
        <f>(AA75/(AA75+'Cull Yield'!AA75))*100</f>
        <v>58.08893093661306</v>
      </c>
      <c r="AF75" s="35" t="s">
        <v>230</v>
      </c>
      <c r="AG75" s="35">
        <f t="shared" si="22"/>
        <v>13.2</v>
      </c>
      <c r="AH75" s="35">
        <f t="shared" si="23"/>
        <v>10.763636363636364</v>
      </c>
      <c r="AI75" s="35">
        <f t="shared" si="24"/>
        <v>4.5600000000000005</v>
      </c>
      <c r="AJ75" s="35">
        <f t="shared" si="25"/>
        <v>9.0666666666666664</v>
      </c>
      <c r="AK75" s="35">
        <f t="shared" si="26"/>
        <v>8.0888888888888886</v>
      </c>
      <c r="AL75" s="35">
        <f t="shared" si="28"/>
        <v>8</v>
      </c>
      <c r="AM75" s="35">
        <f t="shared" si="28"/>
        <v>7.8</v>
      </c>
      <c r="AN75" s="35">
        <f t="shared" si="28"/>
        <v>6.7</v>
      </c>
      <c r="AO75" s="35">
        <f t="shared" si="28"/>
        <v>4.8</v>
      </c>
      <c r="AP75" s="39">
        <f t="shared" si="27"/>
        <v>8.1087991021324353</v>
      </c>
    </row>
    <row r="76" spans="1:42" x14ac:dyDescent="0.25">
      <c r="A76" t="s">
        <v>72</v>
      </c>
      <c r="B76" s="35">
        <v>4</v>
      </c>
      <c r="C76" s="35">
        <v>5</v>
      </c>
      <c r="D76" s="35">
        <v>28</v>
      </c>
      <c r="E76" s="35">
        <v>6</v>
      </c>
      <c r="F76" s="35">
        <v>4</v>
      </c>
      <c r="G76" s="35">
        <v>0</v>
      </c>
      <c r="H76" s="35">
        <v>2</v>
      </c>
      <c r="I76" s="35">
        <v>5</v>
      </c>
      <c r="J76" s="35">
        <v>4</v>
      </c>
      <c r="K76" s="35">
        <v>10</v>
      </c>
      <c r="L76" s="45">
        <f t="shared" si="17"/>
        <v>68</v>
      </c>
      <c r="M76" s="35">
        <f t="shared" si="18"/>
        <v>6.8</v>
      </c>
      <c r="N76" s="35">
        <f>(L76/(L76+'Cull Yield'!L76))*100</f>
        <v>54.400000000000006</v>
      </c>
      <c r="Q76" s="35">
        <v>3.2</v>
      </c>
      <c r="R76" s="35">
        <v>4</v>
      </c>
      <c r="S76" s="35">
        <v>15.8</v>
      </c>
      <c r="T76" s="35">
        <v>1.54</v>
      </c>
      <c r="U76" s="35">
        <v>2.35</v>
      </c>
      <c r="V76" s="35">
        <v>0</v>
      </c>
      <c r="W76" s="35">
        <v>1</v>
      </c>
      <c r="X76" s="35">
        <v>2.65</v>
      </c>
      <c r="Y76" s="35">
        <v>1.4</v>
      </c>
      <c r="Z76" s="35">
        <v>3.55</v>
      </c>
      <c r="AA76" s="47">
        <f t="shared" si="19"/>
        <v>35.489999999999995</v>
      </c>
      <c r="AB76" s="35">
        <f t="shared" si="20"/>
        <v>3.5489999999999995</v>
      </c>
      <c r="AC76" s="35">
        <f>(AA76/(AA76+'Cull Yield'!AA76))*100</f>
        <v>61.75395858708891</v>
      </c>
      <c r="AF76" s="35">
        <f t="shared" si="21"/>
        <v>12.8</v>
      </c>
      <c r="AG76" s="35">
        <f t="shared" si="22"/>
        <v>12.8</v>
      </c>
      <c r="AH76" s="35">
        <f t="shared" si="23"/>
        <v>9.0285714285714285</v>
      </c>
      <c r="AI76" s="35">
        <f t="shared" si="24"/>
        <v>4.1066666666666665</v>
      </c>
      <c r="AJ76" s="35">
        <f t="shared" si="25"/>
        <v>9.4</v>
      </c>
      <c r="AK76" s="35" t="s">
        <v>230</v>
      </c>
      <c r="AL76" s="35">
        <f t="shared" si="28"/>
        <v>8</v>
      </c>
      <c r="AM76" s="35">
        <f t="shared" si="28"/>
        <v>8.48</v>
      </c>
      <c r="AN76" s="35">
        <f t="shared" si="28"/>
        <v>5.6</v>
      </c>
      <c r="AO76" s="35">
        <f t="shared" si="28"/>
        <v>5.68</v>
      </c>
      <c r="AP76" s="39">
        <f t="shared" si="27"/>
        <v>8.4328042328042319</v>
      </c>
    </row>
    <row r="77" spans="1:42" x14ac:dyDescent="0.25">
      <c r="A77" t="s">
        <v>73</v>
      </c>
      <c r="B77" s="35">
        <v>3</v>
      </c>
      <c r="C77" s="35">
        <v>3</v>
      </c>
      <c r="D77" s="35">
        <v>9</v>
      </c>
      <c r="E77" s="35">
        <v>0</v>
      </c>
      <c r="F77" s="35">
        <v>1</v>
      </c>
      <c r="G77" s="35">
        <v>1</v>
      </c>
      <c r="H77" s="35">
        <v>6</v>
      </c>
      <c r="I77" s="35">
        <v>4</v>
      </c>
      <c r="J77" s="35">
        <v>0</v>
      </c>
      <c r="K77" s="35">
        <v>1</v>
      </c>
      <c r="L77" s="45">
        <f t="shared" si="17"/>
        <v>28</v>
      </c>
      <c r="M77" s="35">
        <f t="shared" si="18"/>
        <v>2.8</v>
      </c>
      <c r="N77" s="35">
        <f>(L77/(L77+'Cull Yield'!L77))*100</f>
        <v>31.111111111111111</v>
      </c>
      <c r="Q77" s="35">
        <v>3.1</v>
      </c>
      <c r="R77" s="35">
        <v>1.85</v>
      </c>
      <c r="S77" s="35">
        <v>5.65</v>
      </c>
      <c r="T77" s="35">
        <v>0</v>
      </c>
      <c r="U77" s="35">
        <v>0.45</v>
      </c>
      <c r="V77" s="35">
        <v>1</v>
      </c>
      <c r="W77" s="35">
        <v>2.85</v>
      </c>
      <c r="X77" s="35">
        <v>2.4</v>
      </c>
      <c r="Y77" s="35">
        <v>0</v>
      </c>
      <c r="Z77" s="35">
        <v>0.35</v>
      </c>
      <c r="AA77" s="47">
        <f t="shared" si="19"/>
        <v>17.650000000000002</v>
      </c>
      <c r="AB77" s="35">
        <f t="shared" si="20"/>
        <v>1.7650000000000001</v>
      </c>
      <c r="AC77" s="35">
        <f>(AA77/(AA77+'Cull Yield'!AA77))*100</f>
        <v>35.477386934673369</v>
      </c>
      <c r="AF77" s="35">
        <f t="shared" si="21"/>
        <v>16.533333333333335</v>
      </c>
      <c r="AG77" s="35">
        <f t="shared" si="22"/>
        <v>9.8666666666666671</v>
      </c>
      <c r="AH77" s="35">
        <f t="shared" si="23"/>
        <v>10.044444444444444</v>
      </c>
      <c r="AI77" s="35" t="s">
        <v>230</v>
      </c>
      <c r="AJ77" s="35">
        <f t="shared" si="25"/>
        <v>7.2</v>
      </c>
      <c r="AK77" s="35">
        <f t="shared" si="26"/>
        <v>16</v>
      </c>
      <c r="AL77" s="35">
        <f>(W77/H77)*16</f>
        <v>7.6000000000000005</v>
      </c>
      <c r="AM77" s="35">
        <f>(X77/I77)*16</f>
        <v>9.6</v>
      </c>
      <c r="AN77" s="35"/>
      <c r="AO77" s="35">
        <f>(Z77/K77)*16</f>
        <v>5.6</v>
      </c>
      <c r="AP77" s="39">
        <f t="shared" si="27"/>
        <v>10.305555555555554</v>
      </c>
    </row>
    <row r="78" spans="1:42" x14ac:dyDescent="0.25">
      <c r="A78" t="s">
        <v>74</v>
      </c>
      <c r="B78" s="35" t="s">
        <v>230</v>
      </c>
      <c r="C78" s="35">
        <v>2</v>
      </c>
      <c r="D78" s="35">
        <v>12</v>
      </c>
      <c r="E78" s="35">
        <v>12</v>
      </c>
      <c r="F78" s="35">
        <v>4</v>
      </c>
      <c r="G78" s="35">
        <v>2</v>
      </c>
      <c r="H78" s="35">
        <v>3</v>
      </c>
      <c r="I78" s="35">
        <v>5</v>
      </c>
      <c r="J78" s="35">
        <v>6</v>
      </c>
      <c r="K78" s="35">
        <v>6</v>
      </c>
      <c r="L78" s="45">
        <f t="shared" si="17"/>
        <v>52</v>
      </c>
      <c r="M78" s="35">
        <f t="shared" si="18"/>
        <v>5.7777777777777777</v>
      </c>
      <c r="N78" s="35">
        <f>(L78/(L78+'Cull Yield'!L78))*100</f>
        <v>59.770114942528743</v>
      </c>
      <c r="Q78" s="35" t="s">
        <v>230</v>
      </c>
      <c r="R78" s="35">
        <v>1.2</v>
      </c>
      <c r="S78" s="35">
        <v>7.55</v>
      </c>
      <c r="T78" s="35">
        <v>3.38</v>
      </c>
      <c r="U78" s="35">
        <v>2.1</v>
      </c>
      <c r="V78" s="35">
        <v>0.95</v>
      </c>
      <c r="W78" s="35">
        <v>1.4</v>
      </c>
      <c r="X78" s="35">
        <v>2.4</v>
      </c>
      <c r="Y78" s="35">
        <v>2.4500000000000002</v>
      </c>
      <c r="Z78" s="35">
        <v>2.5499999999999998</v>
      </c>
      <c r="AA78" s="47">
        <f t="shared" si="19"/>
        <v>23.979999999999997</v>
      </c>
      <c r="AB78" s="35">
        <f t="shared" si="20"/>
        <v>2.6644444444444439</v>
      </c>
      <c r="AC78" s="35">
        <f>(AA78/(AA78+'Cull Yield'!AA78))*100</f>
        <v>57.437125748502979</v>
      </c>
      <c r="AF78" s="35" t="s">
        <v>230</v>
      </c>
      <c r="AG78" s="35">
        <f t="shared" si="22"/>
        <v>9.6</v>
      </c>
      <c r="AH78" s="35">
        <f t="shared" si="23"/>
        <v>10.066666666666666</v>
      </c>
      <c r="AI78" s="35">
        <f t="shared" si="24"/>
        <v>4.5066666666666668</v>
      </c>
      <c r="AJ78" s="35">
        <f t="shared" si="25"/>
        <v>8.4</v>
      </c>
      <c r="AK78" s="35">
        <f t="shared" si="26"/>
        <v>7.6</v>
      </c>
      <c r="AL78" s="35">
        <f>(W78/H78)*16</f>
        <v>7.4666666666666659</v>
      </c>
      <c r="AM78" s="35">
        <f>(X78/I78)*16</f>
        <v>7.68</v>
      </c>
      <c r="AN78" s="35">
        <f>(Y78/J78)*16</f>
        <v>6.5333333333333341</v>
      </c>
      <c r="AO78" s="35">
        <f>(Z78/K78)*16</f>
        <v>6.8</v>
      </c>
      <c r="AP78" s="39">
        <f t="shared" si="27"/>
        <v>7.6281481481481483</v>
      </c>
    </row>
    <row r="79" spans="1:42" x14ac:dyDescent="0.25">
      <c r="A79" t="s">
        <v>86</v>
      </c>
      <c r="B79" s="35" t="s">
        <v>230</v>
      </c>
      <c r="C79" s="35">
        <v>6</v>
      </c>
      <c r="D79" s="35">
        <v>13</v>
      </c>
      <c r="E79" s="35">
        <v>30</v>
      </c>
      <c r="F79" s="35">
        <v>1</v>
      </c>
      <c r="G79" s="35">
        <v>0</v>
      </c>
      <c r="H79" s="35">
        <v>0</v>
      </c>
      <c r="I79" s="35">
        <v>0</v>
      </c>
      <c r="J79" s="35">
        <v>3</v>
      </c>
      <c r="K79" s="35">
        <v>15</v>
      </c>
      <c r="L79" s="45">
        <f t="shared" si="17"/>
        <v>68</v>
      </c>
      <c r="M79" s="35">
        <f t="shared" si="18"/>
        <v>7.5555555555555554</v>
      </c>
      <c r="N79" s="35">
        <f>(L79/(L79+'Cull Yield'!L79))*100</f>
        <v>60.714285714285708</v>
      </c>
      <c r="Q79" s="35" t="s">
        <v>230</v>
      </c>
      <c r="R79" s="35">
        <v>4.6500000000000004</v>
      </c>
      <c r="S79" s="35">
        <v>9.6999999999999993</v>
      </c>
      <c r="T79" s="35">
        <v>8.56</v>
      </c>
      <c r="U79" s="35">
        <v>0.45</v>
      </c>
      <c r="V79" s="35">
        <v>0</v>
      </c>
      <c r="W79" s="35">
        <v>0</v>
      </c>
      <c r="X79" s="35">
        <v>0</v>
      </c>
      <c r="Y79" s="35">
        <v>1.35</v>
      </c>
      <c r="Z79" s="35">
        <v>7.7</v>
      </c>
      <c r="AA79" s="47">
        <f t="shared" si="19"/>
        <v>32.410000000000004</v>
      </c>
      <c r="AB79" s="35">
        <f t="shared" si="20"/>
        <v>3.6011111111111114</v>
      </c>
      <c r="AC79" s="35">
        <f>(AA79/(AA79+'Cull Yield'!AA79))*100</f>
        <v>66.237482117310435</v>
      </c>
      <c r="AF79" s="35" t="s">
        <v>230</v>
      </c>
      <c r="AG79" s="35">
        <f t="shared" si="22"/>
        <v>12.4</v>
      </c>
      <c r="AH79" s="35">
        <f t="shared" si="23"/>
        <v>11.938461538461537</v>
      </c>
      <c r="AI79" s="35">
        <f t="shared" si="24"/>
        <v>4.5653333333333332</v>
      </c>
      <c r="AJ79" s="35">
        <f t="shared" si="25"/>
        <v>7.2</v>
      </c>
      <c r="AK79" s="35" t="s">
        <v>230</v>
      </c>
      <c r="AL79" s="35" t="s">
        <v>230</v>
      </c>
      <c r="AM79" s="35" t="s">
        <v>230</v>
      </c>
      <c r="AN79" s="35">
        <f>(Y79/J79)*16</f>
        <v>7.2</v>
      </c>
      <c r="AO79" s="35">
        <f>(Z79/K79)*16</f>
        <v>8.2133333333333329</v>
      </c>
      <c r="AP79" s="39">
        <f t="shared" si="27"/>
        <v>8.5861880341880354</v>
      </c>
    </row>
    <row r="80" spans="1:42" x14ac:dyDescent="0.25">
      <c r="A80" t="s">
        <v>85</v>
      </c>
      <c r="B80" s="35">
        <v>1</v>
      </c>
      <c r="C80" s="35">
        <v>2</v>
      </c>
      <c r="D80" s="35">
        <v>14</v>
      </c>
      <c r="E80" s="35">
        <v>18</v>
      </c>
      <c r="F80" s="35">
        <v>5</v>
      </c>
      <c r="G80" s="35">
        <v>3</v>
      </c>
      <c r="H80" s="35">
        <v>2</v>
      </c>
      <c r="I80" s="35">
        <v>6</v>
      </c>
      <c r="J80" s="35">
        <v>18</v>
      </c>
      <c r="K80" s="35">
        <v>5</v>
      </c>
      <c r="L80" s="45">
        <f t="shared" si="17"/>
        <v>74</v>
      </c>
      <c r="M80" s="35">
        <f t="shared" si="18"/>
        <v>7.4</v>
      </c>
      <c r="N80" s="35">
        <f>(L80/(L80+'Cull Yield'!L80))*100</f>
        <v>66.071428571428569</v>
      </c>
      <c r="Q80" s="35">
        <v>0.6</v>
      </c>
      <c r="R80" s="35">
        <v>1.9</v>
      </c>
      <c r="S80" s="35">
        <v>9.6</v>
      </c>
      <c r="T80" s="35">
        <v>3.22</v>
      </c>
      <c r="U80" s="35">
        <v>3.1</v>
      </c>
      <c r="V80" s="35">
        <v>2.0499999999999998</v>
      </c>
      <c r="W80" s="35">
        <v>1.2</v>
      </c>
      <c r="X80" s="35">
        <v>3.35</v>
      </c>
      <c r="Y80" s="35">
        <v>8.1999999999999993</v>
      </c>
      <c r="Z80" s="35">
        <v>2.2000000000000002</v>
      </c>
      <c r="AA80" s="47">
        <f t="shared" si="19"/>
        <v>35.42</v>
      </c>
      <c r="AB80" s="35">
        <f t="shared" si="20"/>
        <v>3.5420000000000003</v>
      </c>
      <c r="AC80" s="35">
        <f>(AA80/(AA80+'Cull Yield'!AA80))*100</f>
        <v>65.314401622718051</v>
      </c>
      <c r="AF80" s="35">
        <f t="shared" si="21"/>
        <v>9.6</v>
      </c>
      <c r="AG80" s="35">
        <f t="shared" si="22"/>
        <v>15.2</v>
      </c>
      <c r="AH80" s="35">
        <f t="shared" si="23"/>
        <v>10.971428571428572</v>
      </c>
      <c r="AI80" s="35">
        <f t="shared" si="24"/>
        <v>2.8622222222222224</v>
      </c>
      <c r="AJ80" s="35">
        <f t="shared" si="25"/>
        <v>9.92</v>
      </c>
      <c r="AK80" s="35" t="s">
        <v>230</v>
      </c>
      <c r="AL80" s="35">
        <f>(W80/H80)*16</f>
        <v>9.6</v>
      </c>
      <c r="AM80" s="35">
        <f>(X80/I80)*16</f>
        <v>8.9333333333333336</v>
      </c>
      <c r="AN80" s="35">
        <f>(Y80/J80)*16</f>
        <v>7.2888888888888879</v>
      </c>
      <c r="AO80" s="35">
        <f>(Z80/K80)*16</f>
        <v>7.0400000000000009</v>
      </c>
      <c r="AP80" s="39">
        <f t="shared" si="27"/>
        <v>9.0462081128747815</v>
      </c>
    </row>
    <row r="81" spans="1:42" x14ac:dyDescent="0.25">
      <c r="A81" t="s">
        <v>84</v>
      </c>
      <c r="B81" s="35">
        <v>5</v>
      </c>
      <c r="C81" s="35">
        <v>2</v>
      </c>
      <c r="D81" s="35">
        <v>11</v>
      </c>
      <c r="E81" s="35">
        <v>10</v>
      </c>
      <c r="F81" s="35">
        <v>5</v>
      </c>
      <c r="G81" s="35">
        <v>0</v>
      </c>
      <c r="H81" s="35">
        <v>3</v>
      </c>
      <c r="I81" s="35">
        <v>2</v>
      </c>
      <c r="J81" s="35">
        <v>5</v>
      </c>
      <c r="K81" s="35">
        <v>8</v>
      </c>
      <c r="L81" s="45">
        <f t="shared" si="17"/>
        <v>51</v>
      </c>
      <c r="M81" s="35">
        <f t="shared" si="18"/>
        <v>5.0999999999999996</v>
      </c>
      <c r="N81" s="35">
        <f>(L81/(L81+'Cull Yield'!L81))*100</f>
        <v>50</v>
      </c>
      <c r="Q81" s="35">
        <v>5.5</v>
      </c>
      <c r="R81" s="35">
        <v>0.8</v>
      </c>
      <c r="S81" s="35">
        <v>6.85</v>
      </c>
      <c r="T81" s="35">
        <v>2.52</v>
      </c>
      <c r="U81" s="35">
        <v>1.05</v>
      </c>
      <c r="V81" s="35">
        <v>0</v>
      </c>
      <c r="W81" s="35">
        <v>0.85</v>
      </c>
      <c r="X81" s="35">
        <v>1</v>
      </c>
      <c r="Y81" s="35">
        <v>2.95</v>
      </c>
      <c r="Z81" s="35">
        <v>3.1</v>
      </c>
      <c r="AA81" s="47">
        <f t="shared" si="19"/>
        <v>24.62</v>
      </c>
      <c r="AB81" s="35">
        <f t="shared" si="20"/>
        <v>2.4620000000000002</v>
      </c>
      <c r="AC81" s="35">
        <f>(AA81/(AA81+'Cull Yield'!AA81))*100</f>
        <v>58.038661008958037</v>
      </c>
      <c r="AF81" s="35">
        <f t="shared" si="21"/>
        <v>17.600000000000001</v>
      </c>
      <c r="AG81" s="35">
        <f t="shared" si="22"/>
        <v>6.4</v>
      </c>
      <c r="AH81" s="35">
        <f t="shared" si="23"/>
        <v>9.963636363636363</v>
      </c>
      <c r="AI81" s="35">
        <f t="shared" si="24"/>
        <v>4.032</v>
      </c>
      <c r="AJ81" s="35">
        <f t="shared" si="25"/>
        <v>3.3600000000000003</v>
      </c>
      <c r="AK81" s="35" t="s">
        <v>230</v>
      </c>
      <c r="AL81" s="35">
        <f>(W81/H81)*16</f>
        <v>4.5333333333333332</v>
      </c>
      <c r="AM81" s="35">
        <f>(X81/I81)*16</f>
        <v>8</v>
      </c>
      <c r="AN81" s="35">
        <f>(Y81/J81)*16</f>
        <v>9.4400000000000013</v>
      </c>
      <c r="AO81" s="35">
        <f>(Z81/K81)*16</f>
        <v>6.2</v>
      </c>
      <c r="AP81" s="39">
        <f t="shared" si="27"/>
        <v>7.7254410774410776</v>
      </c>
    </row>
    <row r="82" spans="1:42" x14ac:dyDescent="0.25">
      <c r="A82" t="s">
        <v>83</v>
      </c>
      <c r="B82" s="35">
        <v>13</v>
      </c>
      <c r="C82" s="35">
        <v>14</v>
      </c>
      <c r="D82" s="35">
        <v>56</v>
      </c>
      <c r="E82" s="35" t="s">
        <v>230</v>
      </c>
      <c r="F82" s="35" t="s">
        <v>230</v>
      </c>
      <c r="G82" s="35" t="s">
        <v>230</v>
      </c>
      <c r="H82" s="35" t="s">
        <v>230</v>
      </c>
      <c r="I82" s="35" t="s">
        <v>230</v>
      </c>
      <c r="J82" s="35" t="s">
        <v>230</v>
      </c>
      <c r="K82" s="35" t="s">
        <v>230</v>
      </c>
      <c r="L82" s="45">
        <f t="shared" si="17"/>
        <v>83</v>
      </c>
      <c r="M82" s="35">
        <f t="shared" si="18"/>
        <v>27.666666666666668</v>
      </c>
      <c r="N82" s="35">
        <f>(L82/(L82+'Cull Yield'!L82))*100</f>
        <v>63.84615384615384</v>
      </c>
      <c r="Q82" s="35">
        <v>4.5</v>
      </c>
      <c r="R82" s="35">
        <v>1.75</v>
      </c>
      <c r="S82" s="35">
        <v>4.75</v>
      </c>
      <c r="T82" s="35">
        <v>3.66</v>
      </c>
      <c r="U82" s="35">
        <v>8.6999999999999993</v>
      </c>
      <c r="V82" s="35">
        <v>0.3</v>
      </c>
      <c r="W82" s="35">
        <v>7.85</v>
      </c>
      <c r="X82" s="35">
        <v>3.15</v>
      </c>
      <c r="Y82" s="35">
        <v>2.0499999999999998</v>
      </c>
      <c r="Z82" s="35">
        <v>5.8</v>
      </c>
      <c r="AA82" s="47">
        <f t="shared" si="19"/>
        <v>42.509999999999991</v>
      </c>
      <c r="AB82" s="35">
        <f t="shared" si="20"/>
        <v>4.2509999999999994</v>
      </c>
      <c r="AC82" s="35">
        <f>(AA82/(AA82+'Cull Yield'!AA82))*100</f>
        <v>36.246589358799454</v>
      </c>
      <c r="AF82" s="35">
        <f t="shared" si="21"/>
        <v>5.5384615384615383</v>
      </c>
      <c r="AG82" s="35">
        <f t="shared" si="22"/>
        <v>2</v>
      </c>
      <c r="AH82" s="35">
        <f t="shared" si="23"/>
        <v>1.3571428571428572</v>
      </c>
      <c r="AI82" s="35" t="s">
        <v>230</v>
      </c>
      <c r="AJ82" s="35" t="s">
        <v>230</v>
      </c>
      <c r="AK82" s="35" t="s">
        <v>230</v>
      </c>
      <c r="AL82" s="35" t="s">
        <v>230</v>
      </c>
      <c r="AM82" s="35" t="s">
        <v>230</v>
      </c>
      <c r="AN82" s="35" t="s">
        <v>230</v>
      </c>
      <c r="AO82" s="35" t="s">
        <v>230</v>
      </c>
      <c r="AP82" s="39">
        <f t="shared" si="27"/>
        <v>2.9652014652014653</v>
      </c>
    </row>
    <row r="83" spans="1:42" x14ac:dyDescent="0.25">
      <c r="A83" t="s">
        <v>75</v>
      </c>
      <c r="B83" s="35">
        <v>0</v>
      </c>
      <c r="C83" s="35">
        <v>5</v>
      </c>
      <c r="D83" s="35">
        <v>19</v>
      </c>
      <c r="E83" s="35">
        <v>14</v>
      </c>
      <c r="F83" s="35">
        <v>3</v>
      </c>
      <c r="G83" s="35">
        <v>12</v>
      </c>
      <c r="H83" s="35">
        <v>7</v>
      </c>
      <c r="I83" s="35">
        <v>4</v>
      </c>
      <c r="J83" s="35">
        <v>7</v>
      </c>
      <c r="K83" s="35">
        <v>5</v>
      </c>
      <c r="L83" s="45">
        <f t="shared" si="17"/>
        <v>76</v>
      </c>
      <c r="M83" s="35">
        <f t="shared" si="18"/>
        <v>7.6</v>
      </c>
      <c r="N83" s="35">
        <f>(L83/(L83+'Cull Yield'!L83))*100</f>
        <v>60.8</v>
      </c>
      <c r="Q83" s="35">
        <v>0</v>
      </c>
      <c r="R83" s="35">
        <v>3</v>
      </c>
      <c r="S83" s="35">
        <v>10.3</v>
      </c>
      <c r="T83" s="35">
        <v>3.26</v>
      </c>
      <c r="U83" s="35">
        <v>1.45</v>
      </c>
      <c r="V83" s="35">
        <v>3.5</v>
      </c>
      <c r="W83" s="35">
        <v>2.4</v>
      </c>
      <c r="X83" s="35">
        <v>1.75</v>
      </c>
      <c r="Y83" s="35">
        <v>2.7</v>
      </c>
      <c r="Z83" s="35">
        <v>1.3</v>
      </c>
      <c r="AA83" s="45">
        <f t="shared" si="19"/>
        <v>29.66</v>
      </c>
      <c r="AB83" s="35">
        <f t="shared" si="20"/>
        <v>2.9660000000000002</v>
      </c>
      <c r="AC83" s="35">
        <f>(AA83/(AA83+'Cull Yield'!AA83))*100</f>
        <v>64.143598615916957</v>
      </c>
      <c r="AF83" s="35" t="s">
        <v>230</v>
      </c>
      <c r="AG83" s="35">
        <f t="shared" si="22"/>
        <v>9.6</v>
      </c>
      <c r="AH83" s="35">
        <f t="shared" si="23"/>
        <v>8.6736842105263161</v>
      </c>
      <c r="AI83" s="35">
        <f t="shared" si="24"/>
        <v>3.7257142857142855</v>
      </c>
      <c r="AJ83" s="35">
        <f t="shared" si="25"/>
        <v>7.7333333333333334</v>
      </c>
      <c r="AK83" s="35">
        <f t="shared" si="26"/>
        <v>4.666666666666667</v>
      </c>
      <c r="AL83" s="35">
        <f>(W83/H83)*16</f>
        <v>5.4857142857142858</v>
      </c>
      <c r="AM83" s="35">
        <f>(X83/I83)*16</f>
        <v>7</v>
      </c>
      <c r="AN83" s="35">
        <f>(Y83/J83)*16</f>
        <v>6.1714285714285717</v>
      </c>
      <c r="AO83" s="35">
        <f>(Z83/K83)*16</f>
        <v>4.16</v>
      </c>
      <c r="AP83" s="39">
        <f t="shared" si="27"/>
        <v>6.3573934837092736</v>
      </c>
    </row>
    <row r="84" spans="1:42" x14ac:dyDescent="0.25">
      <c r="A84" t="s">
        <v>76</v>
      </c>
      <c r="B84" s="35">
        <v>1</v>
      </c>
      <c r="C84" s="35">
        <v>4</v>
      </c>
      <c r="D84" s="35">
        <v>22</v>
      </c>
      <c r="E84" s="35">
        <v>33</v>
      </c>
      <c r="F84" s="35">
        <v>7</v>
      </c>
      <c r="G84" s="35">
        <v>0</v>
      </c>
      <c r="H84" s="35">
        <v>0</v>
      </c>
      <c r="I84" s="35">
        <v>2</v>
      </c>
      <c r="J84" s="35">
        <v>2</v>
      </c>
      <c r="K84" s="35">
        <v>6</v>
      </c>
      <c r="L84" s="45">
        <f t="shared" si="17"/>
        <v>77</v>
      </c>
      <c r="M84" s="35">
        <f t="shared" si="18"/>
        <v>7.7</v>
      </c>
      <c r="N84" s="35">
        <f>(L84/(L84+'Cull Yield'!L84))*100</f>
        <v>50.993377483443716</v>
      </c>
      <c r="Q84" s="35">
        <v>0.65</v>
      </c>
      <c r="R84" s="35">
        <v>2.4</v>
      </c>
      <c r="S84" s="35">
        <v>10.9</v>
      </c>
      <c r="T84" s="35">
        <v>7.92</v>
      </c>
      <c r="U84" s="35">
        <v>3.1</v>
      </c>
      <c r="V84" s="35">
        <v>0</v>
      </c>
      <c r="W84" s="35">
        <v>0</v>
      </c>
      <c r="X84" s="35">
        <v>0.85</v>
      </c>
      <c r="Y84" s="35">
        <v>1.1499999999999999</v>
      </c>
      <c r="Z84" s="35">
        <v>2.95</v>
      </c>
      <c r="AA84" s="45">
        <f t="shared" si="19"/>
        <v>29.919999999999998</v>
      </c>
      <c r="AB84" s="35">
        <f t="shared" si="20"/>
        <v>2.992</v>
      </c>
      <c r="AC84" s="35">
        <f>(AA84/(AA84+'Cull Yield'!AA84))*100</f>
        <v>52.528089887640448</v>
      </c>
      <c r="AF84" s="35">
        <f t="shared" si="21"/>
        <v>10.4</v>
      </c>
      <c r="AG84" s="35">
        <f t="shared" si="22"/>
        <v>9.6</v>
      </c>
      <c r="AH84" s="35">
        <f t="shared" si="23"/>
        <v>7.9272727272727277</v>
      </c>
      <c r="AI84" s="35">
        <f t="shared" si="24"/>
        <v>3.84</v>
      </c>
      <c r="AJ84" s="35">
        <f t="shared" si="25"/>
        <v>7.0857142857142863</v>
      </c>
      <c r="AK84" s="35" t="s">
        <v>230</v>
      </c>
      <c r="AL84" s="35" t="s">
        <v>230</v>
      </c>
      <c r="AM84" s="35">
        <f>(X84/I84)*16</f>
        <v>6.8</v>
      </c>
      <c r="AN84" s="35">
        <f>(Y84/J84)*16</f>
        <v>9.1999999999999993</v>
      </c>
      <c r="AO84" s="35">
        <f>(Z84/K84)*16</f>
        <v>7.8666666666666671</v>
      </c>
      <c r="AP84" s="39">
        <f t="shared" si="27"/>
        <v>7.8399567099567102</v>
      </c>
    </row>
    <row r="85" spans="1:42" x14ac:dyDescent="0.25">
      <c r="A85" t="s">
        <v>77</v>
      </c>
      <c r="B85" s="35">
        <v>1</v>
      </c>
      <c r="C85" s="35">
        <v>15</v>
      </c>
      <c r="D85" s="35">
        <v>10</v>
      </c>
      <c r="E85" s="35">
        <v>17</v>
      </c>
      <c r="F85" s="35">
        <v>0</v>
      </c>
      <c r="G85" s="35">
        <v>5</v>
      </c>
      <c r="H85" s="35">
        <v>3</v>
      </c>
      <c r="I85" s="35">
        <v>0</v>
      </c>
      <c r="J85" s="35">
        <v>1</v>
      </c>
      <c r="K85" s="35">
        <v>11</v>
      </c>
      <c r="L85" s="45">
        <f t="shared" si="17"/>
        <v>63</v>
      </c>
      <c r="M85" s="35">
        <f t="shared" si="18"/>
        <v>6.3</v>
      </c>
      <c r="N85" s="35">
        <f>(L85/(L85+'Cull Yield'!L85))*100</f>
        <v>45.323741007194243</v>
      </c>
      <c r="Q85" s="35">
        <v>0.65</v>
      </c>
      <c r="R85" s="35">
        <v>10.25</v>
      </c>
      <c r="S85" s="35">
        <v>5.45</v>
      </c>
      <c r="T85" s="35">
        <v>4.0199999999999996</v>
      </c>
      <c r="U85" s="35">
        <v>0</v>
      </c>
      <c r="V85" s="35">
        <v>2.4500000000000002</v>
      </c>
      <c r="W85" s="35">
        <v>1.5</v>
      </c>
      <c r="X85" s="35">
        <v>0</v>
      </c>
      <c r="Y85" s="35">
        <v>0.4</v>
      </c>
      <c r="Z85" s="35">
        <v>5.25</v>
      </c>
      <c r="AA85" s="45">
        <f t="shared" si="19"/>
        <v>29.97</v>
      </c>
      <c r="AB85" s="35">
        <f t="shared" si="20"/>
        <v>2.9969999999999999</v>
      </c>
      <c r="AC85" s="35">
        <f>(AA85/(AA85+'Cull Yield'!AA85))*100</f>
        <v>50.234663090848144</v>
      </c>
      <c r="AF85" s="35">
        <f t="shared" si="21"/>
        <v>10.4</v>
      </c>
      <c r="AG85" s="35">
        <f t="shared" si="22"/>
        <v>10.933333333333334</v>
      </c>
      <c r="AH85" s="35">
        <f t="shared" si="23"/>
        <v>8.7200000000000006</v>
      </c>
      <c r="AI85" s="35">
        <f t="shared" si="24"/>
        <v>3.7835294117647056</v>
      </c>
      <c r="AJ85" s="35" t="s">
        <v>230</v>
      </c>
      <c r="AK85" s="35">
        <f t="shared" si="26"/>
        <v>7.8400000000000007</v>
      </c>
      <c r="AL85" s="35">
        <f>(W85/H85)*16</f>
        <v>8</v>
      </c>
      <c r="AM85" s="35" t="s">
        <v>230</v>
      </c>
      <c r="AN85" s="35">
        <f>(Y85/J85)*16</f>
        <v>6.4</v>
      </c>
      <c r="AO85" s="35">
        <f>(Z85/K85)*16</f>
        <v>7.6363636363636367</v>
      </c>
      <c r="AP85" s="39">
        <f t="shared" si="27"/>
        <v>7.9641532976827101</v>
      </c>
    </row>
    <row r="86" spans="1:42" x14ac:dyDescent="0.25">
      <c r="A86" t="s">
        <v>78</v>
      </c>
      <c r="B86" s="35">
        <v>3</v>
      </c>
      <c r="C86" s="35">
        <v>6</v>
      </c>
      <c r="D86" s="35">
        <v>12</v>
      </c>
      <c r="E86" s="35">
        <v>13</v>
      </c>
      <c r="F86" s="35">
        <v>7</v>
      </c>
      <c r="G86" s="35">
        <v>0</v>
      </c>
      <c r="H86" s="35">
        <v>0</v>
      </c>
      <c r="I86" s="35">
        <v>0</v>
      </c>
      <c r="J86" s="35">
        <v>0</v>
      </c>
      <c r="K86" s="35">
        <v>5</v>
      </c>
      <c r="L86" s="45">
        <f t="shared" si="17"/>
        <v>46</v>
      </c>
      <c r="M86" s="35">
        <f t="shared" si="18"/>
        <v>4.5999999999999996</v>
      </c>
      <c r="N86" s="35">
        <f>(L86/(L86+'Cull Yield'!L86))*100</f>
        <v>42.990654205607477</v>
      </c>
      <c r="Q86" s="35">
        <v>2.5</v>
      </c>
      <c r="R86" s="35">
        <v>3.55</v>
      </c>
      <c r="S86" s="35">
        <v>7.4</v>
      </c>
      <c r="T86" s="35">
        <v>3.86</v>
      </c>
      <c r="U86" s="35">
        <v>3.95</v>
      </c>
      <c r="V86" s="35">
        <v>0</v>
      </c>
      <c r="W86" s="35">
        <v>0</v>
      </c>
      <c r="X86" s="35">
        <v>0</v>
      </c>
      <c r="Y86" s="35">
        <v>0</v>
      </c>
      <c r="Z86" s="35">
        <v>1.75</v>
      </c>
      <c r="AA86" s="45">
        <f t="shared" si="19"/>
        <v>23.009999999999998</v>
      </c>
      <c r="AB86" s="35">
        <f t="shared" si="20"/>
        <v>2.3009999999999997</v>
      </c>
      <c r="AC86" s="35">
        <f>(AA86/(AA86+'Cull Yield'!AA86))*100</f>
        <v>50.794701986754966</v>
      </c>
      <c r="AF86" s="35">
        <f t="shared" si="21"/>
        <v>13.333333333333334</v>
      </c>
      <c r="AG86" s="35">
        <f t="shared" si="22"/>
        <v>9.4666666666666668</v>
      </c>
      <c r="AH86" s="35">
        <f t="shared" si="23"/>
        <v>9.8666666666666671</v>
      </c>
      <c r="AI86" s="35">
        <f t="shared" si="24"/>
        <v>4.7507692307692304</v>
      </c>
      <c r="AJ86" s="35">
        <f t="shared" si="25"/>
        <v>9.0285714285714285</v>
      </c>
      <c r="AK86" s="35" t="s">
        <v>230</v>
      </c>
      <c r="AL86" s="35" t="s">
        <v>230</v>
      </c>
      <c r="AM86" s="35" t="s">
        <v>230</v>
      </c>
      <c r="AN86" s="35" t="s">
        <v>230</v>
      </c>
      <c r="AO86" s="35">
        <f>(Z86/K86)*16</f>
        <v>5.6</v>
      </c>
      <c r="AP86" s="39">
        <f t="shared" si="27"/>
        <v>8.6743345543345551</v>
      </c>
    </row>
    <row r="87" spans="1:42" x14ac:dyDescent="0.25">
      <c r="A87" t="s">
        <v>79</v>
      </c>
      <c r="B87" s="35" t="s">
        <v>230</v>
      </c>
      <c r="C87" s="35">
        <v>0</v>
      </c>
      <c r="D87" s="35">
        <v>2</v>
      </c>
      <c r="E87" s="35">
        <v>7</v>
      </c>
      <c r="F87" s="35">
        <v>4</v>
      </c>
      <c r="G87" s="35">
        <v>0</v>
      </c>
      <c r="H87" s="35">
        <v>0</v>
      </c>
      <c r="I87" s="35">
        <v>0</v>
      </c>
      <c r="J87" s="35">
        <v>0</v>
      </c>
      <c r="K87" s="35">
        <v>5</v>
      </c>
      <c r="L87" s="45">
        <f t="shared" si="17"/>
        <v>18</v>
      </c>
      <c r="M87" s="35">
        <f t="shared" si="18"/>
        <v>2</v>
      </c>
      <c r="N87" s="35">
        <f>(L87/(L87+'Cull Yield'!L87))*100</f>
        <v>22.222222222222221</v>
      </c>
      <c r="Q87" s="35" t="s">
        <v>230</v>
      </c>
      <c r="R87" s="35">
        <v>0</v>
      </c>
      <c r="S87" s="35">
        <v>1.1499999999999999</v>
      </c>
      <c r="T87" s="35">
        <v>2.14</v>
      </c>
      <c r="U87" s="35">
        <v>2.5499999999999998</v>
      </c>
      <c r="V87" s="35">
        <v>0</v>
      </c>
      <c r="W87" s="35">
        <v>0</v>
      </c>
      <c r="X87" s="35">
        <v>0</v>
      </c>
      <c r="Y87" s="35">
        <v>0</v>
      </c>
      <c r="Z87" s="35">
        <v>2.25</v>
      </c>
      <c r="AA87" s="45">
        <f t="shared" si="19"/>
        <v>8.09</v>
      </c>
      <c r="AB87" s="35">
        <f t="shared" si="20"/>
        <v>0.89888888888888885</v>
      </c>
      <c r="AC87" s="35">
        <f>(AA87/(AA87+'Cull Yield'!AA87))*100</f>
        <v>22.484713729849915</v>
      </c>
      <c r="AF87" s="35" t="s">
        <v>230</v>
      </c>
      <c r="AG87" s="35" t="s">
        <v>230</v>
      </c>
      <c r="AH87" s="35">
        <f t="shared" si="23"/>
        <v>9.1999999999999993</v>
      </c>
      <c r="AI87" s="35">
        <f t="shared" si="24"/>
        <v>4.8914285714285715</v>
      </c>
      <c r="AJ87" s="35">
        <f t="shared" si="25"/>
        <v>10.199999999999999</v>
      </c>
      <c r="AK87" s="35" t="s">
        <v>230</v>
      </c>
      <c r="AL87" s="35" t="s">
        <v>230</v>
      </c>
      <c r="AM87" s="35" t="s">
        <v>230</v>
      </c>
      <c r="AN87" s="35" t="s">
        <v>230</v>
      </c>
      <c r="AO87" s="35">
        <f>(Z87/K87)*16</f>
        <v>7.2</v>
      </c>
      <c r="AP87" s="39">
        <f t="shared" si="27"/>
        <v>7.8728571428571419</v>
      </c>
    </row>
    <row r="88" spans="1:42" x14ac:dyDescent="0.25">
      <c r="A88" t="s">
        <v>80</v>
      </c>
      <c r="B88" s="35" t="s">
        <v>230</v>
      </c>
      <c r="C88" s="35">
        <v>0</v>
      </c>
      <c r="D88" s="35">
        <v>8</v>
      </c>
      <c r="E88" s="35">
        <v>3</v>
      </c>
      <c r="F88" s="35">
        <v>2</v>
      </c>
      <c r="G88" s="35">
        <v>0</v>
      </c>
      <c r="H88" s="35">
        <v>0</v>
      </c>
      <c r="I88" s="35">
        <v>0</v>
      </c>
      <c r="J88" s="35">
        <v>0</v>
      </c>
      <c r="K88" s="35">
        <v>4</v>
      </c>
      <c r="L88" s="45">
        <f t="shared" si="17"/>
        <v>17</v>
      </c>
      <c r="M88" s="35">
        <f t="shared" si="18"/>
        <v>1.8888888888888888</v>
      </c>
      <c r="N88" s="35">
        <f>(L88/(L88+'Cull Yield'!L88))*100</f>
        <v>20</v>
      </c>
      <c r="Q88" s="35" t="s">
        <v>230</v>
      </c>
      <c r="R88" s="35">
        <v>4.75</v>
      </c>
      <c r="S88" s="35">
        <v>6.9</v>
      </c>
      <c r="T88" s="35">
        <v>0.96</v>
      </c>
      <c r="U88" s="35">
        <v>1.45</v>
      </c>
      <c r="V88" s="35">
        <v>0</v>
      </c>
      <c r="W88" s="35">
        <v>0</v>
      </c>
      <c r="X88" s="35">
        <v>0</v>
      </c>
      <c r="Y88" s="35">
        <v>0</v>
      </c>
      <c r="Z88" s="35">
        <v>1.9</v>
      </c>
      <c r="AA88" s="45">
        <f t="shared" si="19"/>
        <v>15.959999999999999</v>
      </c>
      <c r="AB88" s="35">
        <f t="shared" si="20"/>
        <v>1.7733333333333332</v>
      </c>
      <c r="AC88" s="35">
        <f>(AA88/(AA88+'Cull Yield'!AA88))*100</f>
        <v>27.092174503479882</v>
      </c>
      <c r="AF88" s="35" t="s">
        <v>230</v>
      </c>
      <c r="AG88" s="35" t="s">
        <v>230</v>
      </c>
      <c r="AH88" s="35">
        <f t="shared" si="23"/>
        <v>13.8</v>
      </c>
      <c r="AI88" s="35">
        <f t="shared" si="24"/>
        <v>5.12</v>
      </c>
      <c r="AJ88" s="35">
        <f t="shared" si="25"/>
        <v>11.6</v>
      </c>
      <c r="AK88" s="35" t="s">
        <v>230</v>
      </c>
      <c r="AL88" s="35" t="s">
        <v>230</v>
      </c>
      <c r="AM88" s="35" t="s">
        <v>230</v>
      </c>
      <c r="AN88" s="35" t="s">
        <v>230</v>
      </c>
      <c r="AO88" s="35">
        <f>(Z88/K88)*16</f>
        <v>7.6</v>
      </c>
      <c r="AP88" s="39">
        <f t="shared" si="27"/>
        <v>9.5300000000000011</v>
      </c>
    </row>
    <row r="89" spans="1:42" x14ac:dyDescent="0.25">
      <c r="A89" s="42" t="s">
        <v>81</v>
      </c>
      <c r="B89" s="38">
        <v>1</v>
      </c>
      <c r="C89" s="38">
        <v>16</v>
      </c>
      <c r="D89" s="38">
        <v>23</v>
      </c>
      <c r="E89" s="38">
        <v>16</v>
      </c>
      <c r="F89" s="38">
        <v>0</v>
      </c>
      <c r="G89" s="38">
        <v>0</v>
      </c>
      <c r="H89" s="38">
        <v>0</v>
      </c>
      <c r="I89" s="38">
        <v>3</v>
      </c>
      <c r="J89" s="38">
        <v>1</v>
      </c>
      <c r="K89" s="38">
        <v>0</v>
      </c>
      <c r="L89" s="45">
        <f t="shared" si="17"/>
        <v>60</v>
      </c>
      <c r="M89" s="35">
        <f t="shared" si="18"/>
        <v>6</v>
      </c>
      <c r="N89" s="35">
        <f>(L89/(L89+'Cull Yield'!L89))*100</f>
        <v>43.79562043795621</v>
      </c>
      <c r="Q89" s="38">
        <v>0.9</v>
      </c>
      <c r="R89" s="38">
        <v>8.35</v>
      </c>
      <c r="S89" s="38">
        <v>10.6</v>
      </c>
      <c r="T89" s="38">
        <v>3.66</v>
      </c>
      <c r="U89" s="38" t="s">
        <v>230</v>
      </c>
      <c r="V89" s="38">
        <v>0</v>
      </c>
      <c r="W89" s="38">
        <v>0</v>
      </c>
      <c r="X89" s="38">
        <v>1.4</v>
      </c>
      <c r="Y89" s="38">
        <v>0.45</v>
      </c>
      <c r="Z89" s="41">
        <v>0</v>
      </c>
      <c r="AA89" s="45">
        <f t="shared" si="19"/>
        <v>25.36</v>
      </c>
      <c r="AB89" s="35">
        <f t="shared" si="20"/>
        <v>2.8177777777777777</v>
      </c>
      <c r="AC89" s="35">
        <f>(AA89/(AA89+'Cull Yield'!AA89))*100</f>
        <v>48.563768671007281</v>
      </c>
      <c r="AF89" s="38">
        <f t="shared" si="21"/>
        <v>14.4</v>
      </c>
      <c r="AG89" s="38">
        <f t="shared" si="22"/>
        <v>8.35</v>
      </c>
      <c r="AH89" s="38">
        <f t="shared" si="23"/>
        <v>7.3739130434782609</v>
      </c>
      <c r="AI89" s="38">
        <f t="shared" si="24"/>
        <v>3.66</v>
      </c>
      <c r="AJ89" s="38" t="s">
        <v>230</v>
      </c>
      <c r="AK89" s="38" t="s">
        <v>230</v>
      </c>
      <c r="AL89" s="38" t="s">
        <v>230</v>
      </c>
      <c r="AM89" s="38">
        <f>(X89/I89)*16</f>
        <v>7.4666666666666659</v>
      </c>
      <c r="AN89" s="38">
        <f>(Y89/J89)*16</f>
        <v>7.2</v>
      </c>
      <c r="AO89" s="38" t="s">
        <v>230</v>
      </c>
      <c r="AP89" s="39">
        <f t="shared" si="27"/>
        <v>8.0750966183574899</v>
      </c>
    </row>
    <row r="90" spans="1:42" x14ac:dyDescent="0.25">
      <c r="A90" s="4" t="s">
        <v>389</v>
      </c>
      <c r="B90">
        <f>AVERAGE(B3:B16,B18:B19,B21,B48)</f>
        <v>24.555555555555557</v>
      </c>
      <c r="C90">
        <f t="shared" ref="C90:D90" si="29">AVERAGE(C3:C16,C18:C19,C21,C48)</f>
        <v>74.777777777777771</v>
      </c>
      <c r="D90">
        <f t="shared" si="29"/>
        <v>76.277777777777771</v>
      </c>
      <c r="E90" t="s">
        <v>230</v>
      </c>
      <c r="F90" t="s">
        <v>230</v>
      </c>
      <c r="G90" t="s">
        <v>230</v>
      </c>
      <c r="H90" t="s">
        <v>230</v>
      </c>
      <c r="I90" t="s">
        <v>230</v>
      </c>
      <c r="J90" t="s">
        <v>230</v>
      </c>
      <c r="K90" t="s">
        <v>230</v>
      </c>
      <c r="P90" s="4" t="s">
        <v>389</v>
      </c>
      <c r="Q90" s="35">
        <f>AVERAGE(Q3:Q16,Q18:Q19,Q21,Q48)</f>
        <v>1.3883333333333332</v>
      </c>
      <c r="R90" s="35">
        <f t="shared" ref="R90:Z90" si="30">AVERAGE(R3:R16,R18:R19,R21,R48)</f>
        <v>3.882222222222222</v>
      </c>
      <c r="S90" s="35">
        <f t="shared" si="30"/>
        <v>2.8766666666666669</v>
      </c>
      <c r="T90" s="35">
        <f t="shared" si="30"/>
        <v>4.6344444444444441</v>
      </c>
      <c r="U90" s="35">
        <f t="shared" si="30"/>
        <v>1.9450000000000003</v>
      </c>
      <c r="V90" s="35">
        <f t="shared" si="30"/>
        <v>3.4461111111111111</v>
      </c>
      <c r="W90" s="35">
        <f t="shared" si="30"/>
        <v>2.6955555555555559</v>
      </c>
      <c r="X90" s="35">
        <f t="shared" si="30"/>
        <v>1.1511111111111112</v>
      </c>
      <c r="Y90" s="35">
        <f t="shared" si="30"/>
        <v>2.3838888888888889</v>
      </c>
      <c r="Z90" s="35">
        <f t="shared" si="30"/>
        <v>2.5755555555555558</v>
      </c>
      <c r="AE90" s="4" t="s">
        <v>389</v>
      </c>
      <c r="AF90">
        <f>AVERAGE(AF3:AF16,AF18:AF19,AF21,AF48)</f>
        <v>0.9009879821600093</v>
      </c>
      <c r="AG90">
        <f t="shared" ref="AG90:AH90" si="31">AVERAGE(AG3:AG16,AG18:AG19,AG21,AG48)</f>
        <v>0.90521948835432731</v>
      </c>
      <c r="AH90">
        <f t="shared" si="31"/>
        <v>0.60116202878088543</v>
      </c>
      <c r="AI90" t="s">
        <v>230</v>
      </c>
      <c r="AJ90" t="s">
        <v>230</v>
      </c>
      <c r="AK90" t="s">
        <v>230</v>
      </c>
      <c r="AL90" t="s">
        <v>230</v>
      </c>
      <c r="AM90" t="s">
        <v>230</v>
      </c>
      <c r="AN90" t="s">
        <v>230</v>
      </c>
      <c r="AO90" t="s">
        <v>230</v>
      </c>
    </row>
    <row r="91" spans="1:42" x14ac:dyDescent="0.25">
      <c r="A91" s="4" t="s">
        <v>391</v>
      </c>
      <c r="B91">
        <f>SUM(B3:B16,B18:B19,B21,B48)</f>
        <v>442</v>
      </c>
      <c r="C91">
        <f t="shared" ref="C91:D91" si="32">SUM(C3:C16,C18:C19,C21,C48)</f>
        <v>1346</v>
      </c>
      <c r="D91">
        <f t="shared" si="32"/>
        <v>1373</v>
      </c>
      <c r="E91" t="s">
        <v>230</v>
      </c>
      <c r="F91" t="s">
        <v>230</v>
      </c>
      <c r="G91" t="s">
        <v>230</v>
      </c>
      <c r="H91" t="s">
        <v>230</v>
      </c>
      <c r="I91" t="s">
        <v>230</v>
      </c>
      <c r="J91" t="s">
        <v>230</v>
      </c>
      <c r="K91" t="s">
        <v>230</v>
      </c>
      <c r="P91" s="4" t="s">
        <v>391</v>
      </c>
      <c r="Q91" s="35">
        <f>SUM(Q3:Q16,Q18:Q19,Q21,Q48)</f>
        <v>24.99</v>
      </c>
      <c r="R91" s="35">
        <f t="shared" ref="R91:Z91" si="33">SUM(R3:R16,R18:R19,R21,R48)</f>
        <v>69.88</v>
      </c>
      <c r="S91" s="35">
        <f t="shared" si="33"/>
        <v>51.78</v>
      </c>
      <c r="T91" s="35">
        <f t="shared" si="33"/>
        <v>83.42</v>
      </c>
      <c r="U91" s="35">
        <f t="shared" si="33"/>
        <v>35.010000000000005</v>
      </c>
      <c r="V91" s="35">
        <f t="shared" si="33"/>
        <v>62.03</v>
      </c>
      <c r="W91" s="35">
        <f t="shared" si="33"/>
        <v>48.52</v>
      </c>
      <c r="X91" s="35">
        <f t="shared" si="33"/>
        <v>20.720000000000002</v>
      </c>
      <c r="Y91" s="35">
        <f t="shared" si="33"/>
        <v>42.910000000000004</v>
      </c>
      <c r="Z91" s="35">
        <f t="shared" si="33"/>
        <v>46.360000000000007</v>
      </c>
      <c r="AE91" s="4" t="s">
        <v>396</v>
      </c>
      <c r="AF91">
        <f t="shared" ref="AF91:AO91" si="34">AVERAGE(AF17,AF22:AF47,AF49:AF89)</f>
        <v>11.61656220322887</v>
      </c>
      <c r="AG91">
        <f t="shared" si="34"/>
        <v>9.1992981538094352</v>
      </c>
      <c r="AH91">
        <f t="shared" si="34"/>
        <v>9.2916747275893421</v>
      </c>
      <c r="AI91">
        <f t="shared" si="34"/>
        <v>4.8807500446749934</v>
      </c>
      <c r="AJ91">
        <f t="shared" si="34"/>
        <v>8.9020077179336425</v>
      </c>
      <c r="AK91">
        <f t="shared" si="34"/>
        <v>8.2216759629259606</v>
      </c>
      <c r="AL91">
        <f t="shared" si="34"/>
        <v>6.7305006105006102</v>
      </c>
      <c r="AM91">
        <f t="shared" si="34"/>
        <v>6.6719145233851114</v>
      </c>
      <c r="AN91">
        <f t="shared" si="34"/>
        <v>6.5239163907987425</v>
      </c>
      <c r="AO91">
        <f t="shared" si="34"/>
        <v>5.5831076479076494</v>
      </c>
    </row>
    <row r="92" spans="1:42" x14ac:dyDescent="0.25">
      <c r="A92" s="43" t="s">
        <v>394</v>
      </c>
      <c r="B92" s="42">
        <f>(B91/(B91+'Cull Yield'!B91))*100</f>
        <v>78.36879432624113</v>
      </c>
      <c r="C92" s="42">
        <f>(C91/(C91+'Cull Yield'!C91))*100</f>
        <v>74.159779614325075</v>
      </c>
      <c r="D92" s="42">
        <f>(D91/(D91+'Cull Yield'!D91))*100</f>
        <v>88.012820512820511</v>
      </c>
      <c r="E92" s="42"/>
      <c r="F92" s="42"/>
      <c r="G92" s="42"/>
      <c r="H92" s="42"/>
      <c r="I92" s="42"/>
      <c r="J92" s="42"/>
      <c r="K92" s="42"/>
      <c r="P92" s="43" t="s">
        <v>394</v>
      </c>
      <c r="Q92" s="38">
        <f>(Q91/(Q91+'Cull Yield'!Q91))*100</f>
        <v>82.448036951501152</v>
      </c>
      <c r="R92" s="38">
        <f>(R91/(R91+'Cull Yield'!R91))*100</f>
        <v>75.496974935177192</v>
      </c>
      <c r="S92" s="38">
        <f>(S91/(S91+'Cull Yield'!S91))*100</f>
        <v>86.588628762541802</v>
      </c>
      <c r="T92" s="38">
        <f>(T91/(T91+'Cull Yield'!T91))*100</f>
        <v>84.724761324395686</v>
      </c>
      <c r="U92" s="38">
        <f>(U91/(U91+'Cull Yield'!U91))*100</f>
        <v>76.67542706964521</v>
      </c>
      <c r="V92" s="38">
        <f>(V91/(V91+'Cull Yield'!V91))*100</f>
        <v>81.06377417668584</v>
      </c>
      <c r="W92" s="38">
        <f>(W91/(W91+'Cull Yield'!W91))*100</f>
        <v>75.966807577892595</v>
      </c>
      <c r="X92" s="38">
        <f>(X91/(X91+'Cull Yield'!X91))*100</f>
        <v>81.671265273945608</v>
      </c>
      <c r="Y92" s="38">
        <f>(Y91/(Y91+'Cull Yield'!Y91))*100</f>
        <v>58.214624881291542</v>
      </c>
      <c r="Z92" s="38">
        <f>(Z91/(Z91+'Cull Yield'!Z91))*100</f>
        <v>66.361294016604631</v>
      </c>
      <c r="AE92" s="4"/>
    </row>
    <row r="93" spans="1:42" x14ac:dyDescent="0.25">
      <c r="A93" s="4" t="s">
        <v>396</v>
      </c>
      <c r="B93">
        <f t="shared" ref="B93:K93" si="35">AVERAGE(B17,B22:B47,B49:B89)</f>
        <v>2.1956521739130435</v>
      </c>
      <c r="C93">
        <f t="shared" si="35"/>
        <v>4.828125</v>
      </c>
      <c r="D93">
        <f t="shared" si="35"/>
        <v>9.5384615384615383</v>
      </c>
      <c r="E93">
        <f t="shared" si="35"/>
        <v>12.587301587301587</v>
      </c>
      <c r="F93">
        <f t="shared" si="35"/>
        <v>4.421875</v>
      </c>
      <c r="G93">
        <f t="shared" si="35"/>
        <v>2.265625</v>
      </c>
      <c r="H93">
        <f t="shared" si="35"/>
        <v>2.296875</v>
      </c>
      <c r="I93">
        <f t="shared" si="35"/>
        <v>4.40625</v>
      </c>
      <c r="J93">
        <f t="shared" si="35"/>
        <v>5.71875</v>
      </c>
      <c r="K93">
        <f t="shared" si="35"/>
        <v>4.390625</v>
      </c>
      <c r="P93" s="4" t="s">
        <v>396</v>
      </c>
      <c r="Q93" s="35">
        <f t="shared" ref="Q93:Z93" si="36">AVERAGE(Q17,Q22:Q47,Q49:Q89)</f>
        <v>1.5880434782608701</v>
      </c>
      <c r="R93" s="35">
        <f t="shared" si="36"/>
        <v>2.3835937499999997</v>
      </c>
      <c r="S93" s="35">
        <f t="shared" si="36"/>
        <v>4.7752307692307676</v>
      </c>
      <c r="T93" s="35">
        <f t="shared" si="36"/>
        <v>3.6659375000000001</v>
      </c>
      <c r="U93" s="35">
        <f t="shared" si="36"/>
        <v>2.1281249999999998</v>
      </c>
      <c r="V93" s="35">
        <f t="shared" si="36"/>
        <v>0.83140625000000012</v>
      </c>
      <c r="W93" s="35">
        <f t="shared" si="36"/>
        <v>0.98000000000000009</v>
      </c>
      <c r="X93" s="35">
        <f t="shared" si="36"/>
        <v>1.6830769230769234</v>
      </c>
      <c r="Y93" s="35">
        <f t="shared" si="36"/>
        <v>2.2061538461538461</v>
      </c>
      <c r="Z93" s="35">
        <f t="shared" si="36"/>
        <v>1.6546153846153846</v>
      </c>
    </row>
    <row r="94" spans="1:42" x14ac:dyDescent="0.25">
      <c r="A94" s="4" t="s">
        <v>395</v>
      </c>
      <c r="B94">
        <f t="shared" ref="B94:K94" si="37">SUM(B17,B22:B47,B49:B89)</f>
        <v>101</v>
      </c>
      <c r="C94">
        <f t="shared" si="37"/>
        <v>309</v>
      </c>
      <c r="D94">
        <f t="shared" si="37"/>
        <v>620</v>
      </c>
      <c r="E94">
        <f t="shared" si="37"/>
        <v>793</v>
      </c>
      <c r="F94">
        <f t="shared" si="37"/>
        <v>283</v>
      </c>
      <c r="G94">
        <f t="shared" si="37"/>
        <v>145</v>
      </c>
      <c r="H94">
        <f t="shared" si="37"/>
        <v>147</v>
      </c>
      <c r="I94">
        <f t="shared" si="37"/>
        <v>282</v>
      </c>
      <c r="J94">
        <f t="shared" si="37"/>
        <v>366</v>
      </c>
      <c r="K94">
        <f t="shared" si="37"/>
        <v>281</v>
      </c>
      <c r="P94" s="4" t="s">
        <v>395</v>
      </c>
      <c r="Q94" s="35">
        <f t="shared" ref="Q94:Z94" si="38">SUM(Q17,Q22:Q47,Q49:Q89)</f>
        <v>73.050000000000026</v>
      </c>
      <c r="R94" s="35">
        <f t="shared" si="38"/>
        <v>152.54999999999998</v>
      </c>
      <c r="S94" s="35">
        <f t="shared" si="38"/>
        <v>310.38999999999987</v>
      </c>
      <c r="T94" s="35">
        <f t="shared" si="38"/>
        <v>234.62</v>
      </c>
      <c r="U94" s="35">
        <f t="shared" si="38"/>
        <v>136.19999999999999</v>
      </c>
      <c r="V94" s="35">
        <f t="shared" si="38"/>
        <v>53.210000000000008</v>
      </c>
      <c r="W94" s="35">
        <f t="shared" si="38"/>
        <v>63.7</v>
      </c>
      <c r="X94" s="35">
        <f t="shared" si="38"/>
        <v>109.40000000000002</v>
      </c>
      <c r="Y94" s="35">
        <f t="shared" si="38"/>
        <v>143.4</v>
      </c>
      <c r="Z94" s="35">
        <f t="shared" si="38"/>
        <v>107.55</v>
      </c>
    </row>
    <row r="95" spans="1:42" x14ac:dyDescent="0.25">
      <c r="A95" s="4" t="s">
        <v>394</v>
      </c>
      <c r="B95">
        <f>(B94/(B94+'Cull Yield'!B94))*100</f>
        <v>51.010101010101003</v>
      </c>
      <c r="C95">
        <f>(C94/(C94+'Cull Yield'!C94))*100</f>
        <v>36.18266978922717</v>
      </c>
      <c r="D95">
        <f>(D94/(D94+'Cull Yield'!D94))*100</f>
        <v>70.938215102974837</v>
      </c>
      <c r="E95">
        <f>(E94/(E94+'Cull Yield'!E94))*100</f>
        <v>45.185185185185183</v>
      </c>
      <c r="F95">
        <f>(F94/(F94+'Cull Yield'!F94))*100</f>
        <v>47.884940778341793</v>
      </c>
      <c r="G95">
        <f>(G94/(G94+'Cull Yield'!G94))*100</f>
        <v>56.420233463035018</v>
      </c>
      <c r="H95">
        <f>(H94/(H94+'Cull Yield'!H94))*100</f>
        <v>46.964856230031948</v>
      </c>
      <c r="I95">
        <f>(I94/(I94+'Cull Yield'!I94))*100</f>
        <v>39.166666666666664</v>
      </c>
      <c r="J95">
        <f>(J94/(J94+'Cull Yield'!J94))*100</f>
        <v>32.077125328659072</v>
      </c>
      <c r="K95">
        <f>(K94/(K94+'Cull Yield'!K94))*100</f>
        <v>25.922509225092249</v>
      </c>
      <c r="P95" s="43" t="s">
        <v>394</v>
      </c>
      <c r="Q95" s="38">
        <f>(Q94/(Q94+'Cull Yield'!Q94))*100</f>
        <v>55.361879499810541</v>
      </c>
      <c r="R95" s="38">
        <f>(R94/(R94+'Cull Yield'!R94))*100</f>
        <v>31.662515566625153</v>
      </c>
      <c r="S95" s="38">
        <f>(S94/(S94+'Cull Yield'!S94))*100</f>
        <v>65.524593624656958</v>
      </c>
      <c r="T95" s="38">
        <f>(T94/(T94+'Cull Yield'!T94))*100</f>
        <v>48.095609036119875</v>
      </c>
      <c r="U95" s="38">
        <f>(U94/(U94+'Cull Yield'!U94))*100</f>
        <v>52.203909543886539</v>
      </c>
      <c r="V95" s="38">
        <f>(V94/(V94+'Cull Yield'!V94))*100</f>
        <v>51.455371820907082</v>
      </c>
      <c r="W95" s="38">
        <f>(W94/(W94+'Cull Yield'!W94))*100</f>
        <v>38.853308935651114</v>
      </c>
      <c r="X95" s="38">
        <f>(X94/(X94+'Cull Yield'!X94))*100</f>
        <v>44.015288674311009</v>
      </c>
      <c r="Y95" s="38">
        <f>(Y94/(Y94+'Cull Yield'!Y94))*100</f>
        <v>36.84954387768213</v>
      </c>
      <c r="Z95" s="38">
        <f>(Z94/(Z94+'Cull Yield'!Z94))*100</f>
        <v>28.87635924285139</v>
      </c>
    </row>
    <row r="96" spans="1:42" x14ac:dyDescent="0.25">
      <c r="P96" s="4" t="s">
        <v>390</v>
      </c>
      <c r="Q96" s="35">
        <f t="shared" ref="Q96:Z96" si="39">AVERAGE(Q3:Q89)</f>
        <v>1.5318750000000003</v>
      </c>
      <c r="R96" s="35">
        <f t="shared" si="39"/>
        <v>2.7125609756097555</v>
      </c>
      <c r="S96" s="35">
        <f t="shared" si="39"/>
        <v>4.3634939759036149</v>
      </c>
      <c r="T96" s="35">
        <f t="shared" si="39"/>
        <v>3.8785365853658553</v>
      </c>
      <c r="U96" s="35">
        <f t="shared" si="39"/>
        <v>2.0879268292682926</v>
      </c>
      <c r="V96" s="35">
        <f t="shared" si="39"/>
        <v>1.4053658536585363</v>
      </c>
      <c r="W96" s="35">
        <f t="shared" si="39"/>
        <v>1.3520481927710843</v>
      </c>
      <c r="X96" s="35">
        <f t="shared" si="39"/>
        <v>1.5677108433734943</v>
      </c>
      <c r="Y96" s="35">
        <f t="shared" si="39"/>
        <v>2.2446987951807218</v>
      </c>
      <c r="Z96" s="35">
        <f t="shared" si="39"/>
        <v>1.8543373493975899</v>
      </c>
    </row>
    <row r="97" spans="16:26" x14ac:dyDescent="0.25">
      <c r="P97" s="4" t="s">
        <v>392</v>
      </c>
      <c r="Q97" s="35">
        <f t="shared" ref="Q97:Z97" si="40">SUM(Q3:Q89)</f>
        <v>98.04000000000002</v>
      </c>
      <c r="R97" s="35">
        <f t="shared" si="40"/>
        <v>222.42999999999995</v>
      </c>
      <c r="S97" s="35">
        <f t="shared" si="40"/>
        <v>362.17</v>
      </c>
      <c r="T97" s="35">
        <f t="shared" si="40"/>
        <v>318.04000000000013</v>
      </c>
      <c r="U97" s="35">
        <f t="shared" si="40"/>
        <v>171.20999999999998</v>
      </c>
      <c r="V97" s="35">
        <f t="shared" si="40"/>
        <v>115.23999999999998</v>
      </c>
      <c r="W97" s="35">
        <f t="shared" si="40"/>
        <v>112.22</v>
      </c>
      <c r="X97" s="35">
        <f t="shared" si="40"/>
        <v>130.12000000000003</v>
      </c>
      <c r="Y97" s="35">
        <f t="shared" si="40"/>
        <v>186.30999999999992</v>
      </c>
      <c r="Z97" s="35">
        <f t="shared" si="40"/>
        <v>153.90999999999997</v>
      </c>
    </row>
    <row r="98" spans="16:26" x14ac:dyDescent="0.25">
      <c r="P98" s="4" t="s">
        <v>394</v>
      </c>
      <c r="Q98" s="35">
        <f>(Q97/(Q97+'Cull Yield'!Q97))*100</f>
        <v>60.421545667447305</v>
      </c>
      <c r="R98" s="35">
        <f>(R97/(R97+'Cull Yield'!R97))*100</f>
        <v>38.726582631102438</v>
      </c>
      <c r="S98" s="35">
        <f>(S97/(S97+'Cull Yield'!S97))*100</f>
        <v>67.885660731021559</v>
      </c>
      <c r="T98" s="35">
        <f>(T97/(T97+'Cull Yield'!T97))*100</f>
        <v>54.24711741829843</v>
      </c>
      <c r="U98" s="35">
        <f>(U97/(U97+'Cull Yield'!U97))*100</f>
        <v>55.848773486430069</v>
      </c>
      <c r="V98" s="35">
        <f>(V97/(V97+'Cull Yield'!V97))*100</f>
        <v>64.047129439226353</v>
      </c>
      <c r="W98" s="35">
        <f>(W97/(W97+'Cull Yield'!W97))*100</f>
        <v>49.258186287419889</v>
      </c>
      <c r="X98" s="35">
        <f>(X97/(X97+'Cull Yield'!X97))*100</f>
        <v>47.502920560747661</v>
      </c>
      <c r="Y98" s="35">
        <f>(Y97/(Y97+'Cull Yield'!Y97))*100</f>
        <v>40.251912025234404</v>
      </c>
      <c r="Z98" s="35">
        <f>(Z97/(Z97+'Cull Yield'!Z97))*100</f>
        <v>34.796861929416018</v>
      </c>
    </row>
  </sheetData>
  <mergeCells count="3">
    <mergeCell ref="B1:M1"/>
    <mergeCell ref="Q1:AB1"/>
    <mergeCell ref="AF1:AP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114BD-517E-42C0-B236-1E9427345A14}">
  <dimension ref="A1:AR98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P12" sqref="P12"/>
    </sheetView>
  </sheetViews>
  <sheetFormatPr defaultRowHeight="15.75" x14ac:dyDescent="0.25"/>
  <cols>
    <col min="1" max="1" width="21.75" bestFit="1" customWidth="1"/>
    <col min="2" max="10" width="8.5" bestFit="1" customWidth="1"/>
    <col min="11" max="11" width="9.5" bestFit="1" customWidth="1"/>
    <col min="13" max="13" width="15.375" bestFit="1" customWidth="1"/>
    <col min="14" max="14" width="19.875" bestFit="1" customWidth="1"/>
    <col min="16" max="16" width="21.75" bestFit="1" customWidth="1"/>
    <col min="17" max="25" width="8.5" bestFit="1" customWidth="1"/>
    <col min="26" max="26" width="9.5" bestFit="1" customWidth="1"/>
    <col min="28" max="28" width="15.375" bestFit="1" customWidth="1"/>
    <col min="29" max="29" width="19.875" bestFit="1" customWidth="1"/>
    <col min="31" max="31" width="21.75" bestFit="1" customWidth="1"/>
    <col min="32" max="40" width="8.5" bestFit="1" customWidth="1"/>
    <col min="41" max="41" width="9.5" bestFit="1" customWidth="1"/>
  </cols>
  <sheetData>
    <row r="1" spans="1:44" x14ac:dyDescent="0.25">
      <c r="B1" s="48" t="s">
        <v>384</v>
      </c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34"/>
      <c r="P1" s="35"/>
      <c r="Q1" s="48" t="s">
        <v>386</v>
      </c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34"/>
      <c r="AE1" s="35"/>
      <c r="AF1" s="48" t="s">
        <v>388</v>
      </c>
      <c r="AG1" s="48"/>
      <c r="AH1" s="48"/>
      <c r="AI1" s="48"/>
      <c r="AJ1" s="48"/>
      <c r="AK1" s="48"/>
      <c r="AL1" s="48"/>
      <c r="AM1" s="48"/>
      <c r="AN1" s="48"/>
      <c r="AO1" s="48"/>
      <c r="AP1" s="48"/>
    </row>
    <row r="2" spans="1:44" x14ac:dyDescent="0.25">
      <c r="A2" s="4" t="s">
        <v>168</v>
      </c>
      <c r="B2" s="34" t="s">
        <v>374</v>
      </c>
      <c r="C2" s="34" t="s">
        <v>375</v>
      </c>
      <c r="D2" s="34" t="s">
        <v>376</v>
      </c>
      <c r="E2" s="34" t="s">
        <v>377</v>
      </c>
      <c r="F2" s="34" t="s">
        <v>378</v>
      </c>
      <c r="G2" s="34" t="s">
        <v>379</v>
      </c>
      <c r="H2" s="34" t="s">
        <v>380</v>
      </c>
      <c r="I2" s="34" t="s">
        <v>381</v>
      </c>
      <c r="J2" s="34" t="s">
        <v>382</v>
      </c>
      <c r="K2" s="34" t="s">
        <v>383</v>
      </c>
      <c r="L2" s="34" t="s">
        <v>385</v>
      </c>
      <c r="M2" s="34" t="s">
        <v>398</v>
      </c>
      <c r="N2" s="34" t="s">
        <v>393</v>
      </c>
      <c r="O2" s="34"/>
      <c r="P2" s="35"/>
      <c r="Q2" s="34" t="s">
        <v>374</v>
      </c>
      <c r="R2" s="34" t="s">
        <v>375</v>
      </c>
      <c r="S2" s="34" t="s">
        <v>376</v>
      </c>
      <c r="T2" s="34" t="s">
        <v>377</v>
      </c>
      <c r="U2" s="34" t="s">
        <v>378</v>
      </c>
      <c r="V2" s="34" t="s">
        <v>379</v>
      </c>
      <c r="W2" s="34" t="s">
        <v>380</v>
      </c>
      <c r="X2" s="34" t="s">
        <v>381</v>
      </c>
      <c r="Y2" s="34" t="s">
        <v>382</v>
      </c>
      <c r="Z2" s="34" t="s">
        <v>383</v>
      </c>
      <c r="AA2" s="34" t="s">
        <v>385</v>
      </c>
      <c r="AB2" s="34" t="s">
        <v>398</v>
      </c>
      <c r="AC2" s="34" t="s">
        <v>393</v>
      </c>
      <c r="AD2" s="34"/>
      <c r="AE2" s="35"/>
      <c r="AF2" s="34" t="s">
        <v>374</v>
      </c>
      <c r="AG2" s="34" t="s">
        <v>375</v>
      </c>
      <c r="AH2" s="34" t="s">
        <v>376</v>
      </c>
      <c r="AI2" s="34" t="s">
        <v>377</v>
      </c>
      <c r="AJ2" s="34" t="s">
        <v>378</v>
      </c>
      <c r="AK2" s="34" t="s">
        <v>379</v>
      </c>
      <c r="AL2" s="34" t="s">
        <v>380</v>
      </c>
      <c r="AM2" s="34" t="s">
        <v>381</v>
      </c>
      <c r="AN2" s="34" t="s">
        <v>382</v>
      </c>
      <c r="AO2" s="34" t="s">
        <v>383</v>
      </c>
      <c r="AP2" s="34" t="s">
        <v>387</v>
      </c>
    </row>
    <row r="3" spans="1:44" x14ac:dyDescent="0.25">
      <c r="A3" t="s">
        <v>0</v>
      </c>
      <c r="B3" s="37">
        <v>34</v>
      </c>
      <c r="C3" s="37">
        <v>26</v>
      </c>
      <c r="D3" s="37">
        <v>16</v>
      </c>
      <c r="E3" s="37" t="s">
        <v>230</v>
      </c>
      <c r="F3" s="37" t="s">
        <v>230</v>
      </c>
      <c r="G3" s="37" t="s">
        <v>230</v>
      </c>
      <c r="H3" s="37" t="s">
        <v>230</v>
      </c>
      <c r="I3" s="37" t="s">
        <v>230</v>
      </c>
      <c r="J3" s="37" t="s">
        <v>230</v>
      </c>
      <c r="K3" s="37" t="s">
        <v>230</v>
      </c>
      <c r="L3" s="44">
        <f>SUM(B3:K3)</f>
        <v>76</v>
      </c>
      <c r="M3" s="37">
        <f>AVERAGE(B3:K3)</f>
        <v>25.333333333333332</v>
      </c>
      <c r="N3" s="37">
        <f>(L3/(L3+'Marketable Yield'!L3))*100</f>
        <v>28.35820895522388</v>
      </c>
      <c r="O3" s="35"/>
      <c r="P3" s="35"/>
      <c r="Q3" s="37">
        <v>1.1399999999999999</v>
      </c>
      <c r="R3" s="37">
        <v>0.62</v>
      </c>
      <c r="S3" s="37">
        <v>0.35</v>
      </c>
      <c r="T3" s="37">
        <v>0.68</v>
      </c>
      <c r="U3" s="37">
        <v>0.57999999999999996</v>
      </c>
      <c r="V3" s="37">
        <v>0.45</v>
      </c>
      <c r="W3" s="37">
        <v>0.49</v>
      </c>
      <c r="X3" s="37">
        <v>0.12</v>
      </c>
      <c r="Y3" s="37">
        <v>1.68</v>
      </c>
      <c r="Z3" s="37">
        <v>2.63</v>
      </c>
      <c r="AA3" s="44">
        <f>SUM(Q3:Z3)</f>
        <v>8.74</v>
      </c>
      <c r="AB3" s="37">
        <f>AVERAGE(Q3:Z3)</f>
        <v>0.874</v>
      </c>
      <c r="AC3" s="37">
        <f>(AA3/(AA3+'Marketable Yield'!AA3))*100</f>
        <v>24.271035823382395</v>
      </c>
      <c r="AD3" s="35"/>
      <c r="AE3" s="35"/>
      <c r="AF3" s="37">
        <f>(Q3/B3)*16</f>
        <v>0.53647058823529403</v>
      </c>
      <c r="AG3" s="37">
        <f t="shared" ref="AG3:AH3" si="0">(R3/C3)*16</f>
        <v>0.38153846153846155</v>
      </c>
      <c r="AH3" s="37">
        <f t="shared" si="0"/>
        <v>0.35</v>
      </c>
      <c r="AI3" s="37" t="s">
        <v>230</v>
      </c>
      <c r="AJ3" s="37" t="s">
        <v>230</v>
      </c>
      <c r="AK3" s="37" t="s">
        <v>230</v>
      </c>
      <c r="AL3" s="37" t="s">
        <v>230</v>
      </c>
      <c r="AM3" s="37" t="s">
        <v>230</v>
      </c>
      <c r="AN3" s="37" t="s">
        <v>230</v>
      </c>
      <c r="AO3" s="37" t="s">
        <v>230</v>
      </c>
      <c r="AP3" s="44">
        <f>AVERAGE(AF3:AO3)</f>
        <v>0.42266968325791848</v>
      </c>
      <c r="AR3" t="s">
        <v>373</v>
      </c>
    </row>
    <row r="4" spans="1:44" x14ac:dyDescent="0.25">
      <c r="A4" t="s">
        <v>1</v>
      </c>
      <c r="B4" s="37">
        <v>1</v>
      </c>
      <c r="C4" s="37">
        <v>40</v>
      </c>
      <c r="D4" s="37">
        <v>16</v>
      </c>
      <c r="E4" s="37" t="s">
        <v>230</v>
      </c>
      <c r="F4" s="37" t="s">
        <v>230</v>
      </c>
      <c r="G4" s="37" t="s">
        <v>230</v>
      </c>
      <c r="H4" s="37" t="s">
        <v>230</v>
      </c>
      <c r="I4" s="37" t="s">
        <v>230</v>
      </c>
      <c r="J4" s="37" t="s">
        <v>230</v>
      </c>
      <c r="K4" s="37" t="s">
        <v>230</v>
      </c>
      <c r="L4" s="44">
        <f t="shared" ref="L4:L67" si="1">SUM(B4:K4)</f>
        <v>57</v>
      </c>
      <c r="M4" s="37">
        <f t="shared" ref="M4:M67" si="2">AVERAGE(B4:K4)</f>
        <v>19</v>
      </c>
      <c r="N4" s="37">
        <f>(L4/(L4+'Marketable Yield'!L4))*100</f>
        <v>28.078817733990146</v>
      </c>
      <c r="O4" s="35"/>
      <c r="P4" s="35"/>
      <c r="Q4" s="37">
        <v>0.06</v>
      </c>
      <c r="R4" s="37">
        <v>2.68</v>
      </c>
      <c r="S4" s="37">
        <v>0.62</v>
      </c>
      <c r="T4" s="37">
        <v>0.92</v>
      </c>
      <c r="U4" s="37">
        <v>0.94</v>
      </c>
      <c r="V4" s="37">
        <v>1.1299999999999999</v>
      </c>
      <c r="W4" s="37">
        <v>0.94</v>
      </c>
      <c r="X4" s="37">
        <v>0.24</v>
      </c>
      <c r="Y4" s="37">
        <v>1.63</v>
      </c>
      <c r="Z4" s="37">
        <v>1.49</v>
      </c>
      <c r="AA4" s="44">
        <f t="shared" ref="AA4:AA67" si="3">SUM(Q4:Z4)</f>
        <v>10.65</v>
      </c>
      <c r="AB4" s="37">
        <f t="shared" ref="AB4:AB67" si="4">AVERAGE(Q4:Z4)</f>
        <v>1.0649999999999999</v>
      </c>
      <c r="AC4" s="37">
        <f>(AA4/(AA4+'Marketable Yield'!AA4))*100</f>
        <v>31.781557743957027</v>
      </c>
      <c r="AD4" s="35"/>
      <c r="AE4" s="35"/>
      <c r="AF4" s="37">
        <f t="shared" ref="AF4:AF67" si="5">(Q4/B4)*16</f>
        <v>0.96</v>
      </c>
      <c r="AG4" s="37">
        <f t="shared" ref="AG4:AG67" si="6">(R4/C4)*16</f>
        <v>1.0720000000000001</v>
      </c>
      <c r="AH4" s="37">
        <f t="shared" ref="AH4:AH67" si="7">(S4/D4)*16</f>
        <v>0.62</v>
      </c>
      <c r="AI4" s="37" t="s">
        <v>230</v>
      </c>
      <c r="AJ4" s="37" t="s">
        <v>230</v>
      </c>
      <c r="AK4" s="37" t="s">
        <v>230</v>
      </c>
      <c r="AL4" s="37" t="s">
        <v>230</v>
      </c>
      <c r="AM4" s="37" t="s">
        <v>230</v>
      </c>
      <c r="AN4" s="37" t="s">
        <v>230</v>
      </c>
      <c r="AO4" s="37" t="s">
        <v>230</v>
      </c>
      <c r="AP4" s="44">
        <f t="shared" ref="AP4:AP67" si="8">AVERAGE(AF4:AO4)</f>
        <v>0.88400000000000001</v>
      </c>
    </row>
    <row r="5" spans="1:44" x14ac:dyDescent="0.25">
      <c r="A5" t="s">
        <v>2</v>
      </c>
      <c r="B5" s="37">
        <v>11</v>
      </c>
      <c r="C5" s="37">
        <v>24</v>
      </c>
      <c r="D5" s="37">
        <v>7</v>
      </c>
      <c r="E5" s="37" t="s">
        <v>230</v>
      </c>
      <c r="F5" s="37" t="s">
        <v>230</v>
      </c>
      <c r="G5" s="37" t="s">
        <v>230</v>
      </c>
      <c r="H5" s="37" t="s">
        <v>230</v>
      </c>
      <c r="I5" s="37" t="s">
        <v>230</v>
      </c>
      <c r="J5" s="37" t="s">
        <v>230</v>
      </c>
      <c r="K5" s="37" t="s">
        <v>230</v>
      </c>
      <c r="L5" s="44">
        <f t="shared" si="1"/>
        <v>42</v>
      </c>
      <c r="M5" s="37">
        <f t="shared" si="2"/>
        <v>14</v>
      </c>
      <c r="N5" s="37">
        <f>(L5/(L5+'Marketable Yield'!L5))*100</f>
        <v>21.53846153846154</v>
      </c>
      <c r="O5" s="35"/>
      <c r="P5" s="35"/>
      <c r="Q5" s="37">
        <v>0.39</v>
      </c>
      <c r="R5" s="37">
        <v>0.71</v>
      </c>
      <c r="S5" s="37">
        <v>0.17</v>
      </c>
      <c r="T5" s="37">
        <v>0.62</v>
      </c>
      <c r="U5" s="37">
        <v>0.74</v>
      </c>
      <c r="V5" s="37">
        <v>0.41</v>
      </c>
      <c r="W5" s="37">
        <v>0.59</v>
      </c>
      <c r="X5" s="37">
        <v>0.31</v>
      </c>
      <c r="Y5" s="37">
        <v>1.32</v>
      </c>
      <c r="Z5" s="37">
        <v>0.56000000000000005</v>
      </c>
      <c r="AA5" s="44">
        <f t="shared" si="3"/>
        <v>5.82</v>
      </c>
      <c r="AB5" s="37">
        <f t="shared" si="4"/>
        <v>0.58200000000000007</v>
      </c>
      <c r="AC5" s="37">
        <f>(AA5/(AA5+'Marketable Yield'!AA5))*100</f>
        <v>15.949575226089344</v>
      </c>
      <c r="AD5" s="35"/>
      <c r="AE5" s="35"/>
      <c r="AF5" s="37">
        <f t="shared" si="5"/>
        <v>0.56727272727272726</v>
      </c>
      <c r="AG5" s="37">
        <f t="shared" si="6"/>
        <v>0.47333333333333333</v>
      </c>
      <c r="AH5" s="37">
        <f t="shared" si="7"/>
        <v>0.38857142857142862</v>
      </c>
      <c r="AI5" s="37" t="s">
        <v>230</v>
      </c>
      <c r="AJ5" s="37" t="s">
        <v>230</v>
      </c>
      <c r="AK5" s="37" t="s">
        <v>230</v>
      </c>
      <c r="AL5" s="37" t="s">
        <v>230</v>
      </c>
      <c r="AM5" s="37" t="s">
        <v>230</v>
      </c>
      <c r="AN5" s="37" t="s">
        <v>230</v>
      </c>
      <c r="AO5" s="37" t="s">
        <v>230</v>
      </c>
      <c r="AP5" s="44">
        <f t="shared" si="8"/>
        <v>0.47639249639249637</v>
      </c>
    </row>
    <row r="6" spans="1:44" x14ac:dyDescent="0.25">
      <c r="A6" t="s">
        <v>3</v>
      </c>
      <c r="B6" s="37">
        <v>7</v>
      </c>
      <c r="C6" s="37">
        <v>33</v>
      </c>
      <c r="D6" s="37">
        <v>9</v>
      </c>
      <c r="E6" s="37" t="s">
        <v>230</v>
      </c>
      <c r="F6" s="37" t="s">
        <v>230</v>
      </c>
      <c r="G6" s="37" t="s">
        <v>230</v>
      </c>
      <c r="H6" s="37" t="s">
        <v>230</v>
      </c>
      <c r="I6" s="37" t="s">
        <v>230</v>
      </c>
      <c r="J6" s="37" t="s">
        <v>230</v>
      </c>
      <c r="K6" s="37" t="s">
        <v>230</v>
      </c>
      <c r="L6" s="44">
        <f t="shared" si="1"/>
        <v>49</v>
      </c>
      <c r="M6" s="37">
        <f t="shared" si="2"/>
        <v>16.333333333333332</v>
      </c>
      <c r="N6" s="37">
        <f>(L6/(L6+'Marketable Yield'!L6))*100</f>
        <v>21.212121212121211</v>
      </c>
      <c r="O6" s="35"/>
      <c r="P6" s="35"/>
      <c r="Q6" s="37">
        <v>0.4</v>
      </c>
      <c r="R6" s="37">
        <v>1.72</v>
      </c>
      <c r="S6" s="37">
        <v>0.32</v>
      </c>
      <c r="T6" s="37">
        <v>0.38</v>
      </c>
      <c r="U6" s="37">
        <v>0.15</v>
      </c>
      <c r="V6" s="37">
        <v>0.37</v>
      </c>
      <c r="W6" s="37">
        <v>0.49</v>
      </c>
      <c r="X6" s="37">
        <v>0.11</v>
      </c>
      <c r="Y6" s="37">
        <v>1.83</v>
      </c>
      <c r="Z6" s="37">
        <v>1.26</v>
      </c>
      <c r="AA6" s="44">
        <f t="shared" si="3"/>
        <v>7.0299999999999994</v>
      </c>
      <c r="AB6" s="37">
        <f t="shared" si="4"/>
        <v>0.70299999999999996</v>
      </c>
      <c r="AC6" s="37">
        <f>(AA6/(AA6+'Marketable Yield'!AA6))*100</f>
        <v>20.017084282460136</v>
      </c>
      <c r="AD6" s="35"/>
      <c r="AE6" s="35"/>
      <c r="AF6" s="37">
        <f t="shared" si="5"/>
        <v>0.91428571428571437</v>
      </c>
      <c r="AG6" s="37">
        <f t="shared" si="6"/>
        <v>0.83393939393939398</v>
      </c>
      <c r="AH6" s="37">
        <f t="shared" si="7"/>
        <v>0.56888888888888889</v>
      </c>
      <c r="AI6" s="37" t="s">
        <v>230</v>
      </c>
      <c r="AJ6" s="37" t="s">
        <v>230</v>
      </c>
      <c r="AK6" s="37" t="s">
        <v>230</v>
      </c>
      <c r="AL6" s="37" t="s">
        <v>230</v>
      </c>
      <c r="AM6" s="37" t="s">
        <v>230</v>
      </c>
      <c r="AN6" s="37" t="s">
        <v>230</v>
      </c>
      <c r="AO6" s="37" t="s">
        <v>230</v>
      </c>
      <c r="AP6" s="44">
        <f t="shared" si="8"/>
        <v>0.77237133237133238</v>
      </c>
    </row>
    <row r="7" spans="1:44" x14ac:dyDescent="0.25">
      <c r="A7" t="s">
        <v>4</v>
      </c>
      <c r="B7" s="37">
        <v>6</v>
      </c>
      <c r="C7" s="37">
        <v>35</v>
      </c>
      <c r="D7" s="37">
        <v>22</v>
      </c>
      <c r="E7" s="37" t="s">
        <v>230</v>
      </c>
      <c r="F7" s="37" t="s">
        <v>230</v>
      </c>
      <c r="G7" s="37" t="s">
        <v>230</v>
      </c>
      <c r="H7" s="37" t="s">
        <v>230</v>
      </c>
      <c r="I7" s="37" t="s">
        <v>230</v>
      </c>
      <c r="J7" s="37" t="s">
        <v>230</v>
      </c>
      <c r="K7" s="37" t="s">
        <v>230</v>
      </c>
      <c r="L7" s="44">
        <f t="shared" si="1"/>
        <v>63</v>
      </c>
      <c r="M7" s="37">
        <f t="shared" si="2"/>
        <v>21</v>
      </c>
      <c r="N7" s="37">
        <f>(L7/(L7+'Marketable Yield'!L7))*100</f>
        <v>39.130434782608695</v>
      </c>
      <c r="O7" s="35"/>
      <c r="P7" s="35"/>
      <c r="Q7" s="37">
        <v>0.37</v>
      </c>
      <c r="R7" s="37">
        <v>1.64</v>
      </c>
      <c r="S7" s="37">
        <v>0.67</v>
      </c>
      <c r="T7" s="37">
        <v>0.89</v>
      </c>
      <c r="U7" s="37">
        <v>0.8</v>
      </c>
      <c r="V7" s="37">
        <v>0.09</v>
      </c>
      <c r="W7" s="37">
        <v>0.28999999999999998</v>
      </c>
      <c r="X7" s="37">
        <v>0.13</v>
      </c>
      <c r="Y7" s="37">
        <v>0.16</v>
      </c>
      <c r="Z7" s="37">
        <v>0.25</v>
      </c>
      <c r="AA7" s="44">
        <f t="shared" si="3"/>
        <v>5.29</v>
      </c>
      <c r="AB7" s="37">
        <f t="shared" si="4"/>
        <v>0.52900000000000003</v>
      </c>
      <c r="AC7" s="37">
        <f>(AA7/(AA7+'Marketable Yield'!AA7))*100</f>
        <v>12.886723507917175</v>
      </c>
      <c r="AD7" s="35"/>
      <c r="AE7" s="35"/>
      <c r="AF7" s="37">
        <f t="shared" si="5"/>
        <v>0.98666666666666669</v>
      </c>
      <c r="AG7" s="37">
        <f t="shared" si="6"/>
        <v>0.74971428571428567</v>
      </c>
      <c r="AH7" s="37">
        <f t="shared" si="7"/>
        <v>0.4872727272727273</v>
      </c>
      <c r="AI7" s="37" t="s">
        <v>230</v>
      </c>
      <c r="AJ7" s="37" t="s">
        <v>230</v>
      </c>
      <c r="AK7" s="37" t="s">
        <v>230</v>
      </c>
      <c r="AL7" s="37" t="s">
        <v>230</v>
      </c>
      <c r="AM7" s="37" t="s">
        <v>230</v>
      </c>
      <c r="AN7" s="37" t="s">
        <v>230</v>
      </c>
      <c r="AO7" s="37" t="s">
        <v>230</v>
      </c>
      <c r="AP7" s="44">
        <f t="shared" si="8"/>
        <v>0.74121789321789322</v>
      </c>
    </row>
    <row r="8" spans="1:44" x14ac:dyDescent="0.25">
      <c r="A8" t="s">
        <v>5</v>
      </c>
      <c r="B8" s="37">
        <v>0</v>
      </c>
      <c r="C8" s="37">
        <v>29</v>
      </c>
      <c r="D8" s="37">
        <v>28</v>
      </c>
      <c r="E8" s="37" t="s">
        <v>230</v>
      </c>
      <c r="F8" s="37" t="s">
        <v>230</v>
      </c>
      <c r="G8" s="37" t="s">
        <v>230</v>
      </c>
      <c r="H8" s="37" t="s">
        <v>230</v>
      </c>
      <c r="I8" s="37" t="s">
        <v>230</v>
      </c>
      <c r="J8" s="37" t="s">
        <v>230</v>
      </c>
      <c r="K8" s="37" t="s">
        <v>230</v>
      </c>
      <c r="L8" s="44">
        <f t="shared" si="1"/>
        <v>57</v>
      </c>
      <c r="M8" s="37">
        <f t="shared" si="2"/>
        <v>19</v>
      </c>
      <c r="N8" s="37">
        <f>(L8/(L8+'Marketable Yield'!L8))*100</f>
        <v>20.727272727272727</v>
      </c>
      <c r="O8" s="35"/>
      <c r="P8" s="35"/>
      <c r="Q8" s="37">
        <v>0</v>
      </c>
      <c r="R8" s="37">
        <v>1.37</v>
      </c>
      <c r="S8" s="37">
        <v>1.03</v>
      </c>
      <c r="T8" s="37">
        <v>0.57999999999999996</v>
      </c>
      <c r="U8" s="37">
        <v>0.53</v>
      </c>
      <c r="V8" s="37">
        <v>0.3</v>
      </c>
      <c r="W8" s="37">
        <v>0.12</v>
      </c>
      <c r="X8" s="37">
        <v>0.31</v>
      </c>
      <c r="Y8" s="37">
        <v>1.89</v>
      </c>
      <c r="Z8" s="37">
        <v>0.83</v>
      </c>
      <c r="AA8" s="44">
        <f t="shared" si="3"/>
        <v>6.96</v>
      </c>
      <c r="AB8" s="37">
        <f t="shared" si="4"/>
        <v>0.69599999999999995</v>
      </c>
      <c r="AC8" s="37">
        <f>(AA8/(AA8+'Marketable Yield'!AA8))*100</f>
        <v>19.016393442622949</v>
      </c>
      <c r="AD8" s="35"/>
      <c r="AE8" s="35"/>
      <c r="AF8" s="37" t="s">
        <v>230</v>
      </c>
      <c r="AG8" s="37">
        <f t="shared" si="6"/>
        <v>0.75586206896551733</v>
      </c>
      <c r="AH8" s="37">
        <f t="shared" si="7"/>
        <v>0.58857142857142863</v>
      </c>
      <c r="AI8" s="37" t="s">
        <v>230</v>
      </c>
      <c r="AJ8" s="37" t="s">
        <v>230</v>
      </c>
      <c r="AK8" s="37" t="s">
        <v>230</v>
      </c>
      <c r="AL8" s="37" t="s">
        <v>230</v>
      </c>
      <c r="AM8" s="37" t="s">
        <v>230</v>
      </c>
      <c r="AN8" s="37" t="s">
        <v>230</v>
      </c>
      <c r="AO8" s="37" t="s">
        <v>230</v>
      </c>
      <c r="AP8" s="44">
        <f t="shared" si="8"/>
        <v>0.67221674876847293</v>
      </c>
    </row>
    <row r="9" spans="1:44" x14ac:dyDescent="0.25">
      <c r="A9" t="s">
        <v>6</v>
      </c>
      <c r="B9" s="37">
        <v>0</v>
      </c>
      <c r="C9" s="37">
        <v>28</v>
      </c>
      <c r="D9" s="37">
        <v>5</v>
      </c>
      <c r="E9" s="37" t="s">
        <v>230</v>
      </c>
      <c r="F9" s="37" t="s">
        <v>230</v>
      </c>
      <c r="G9" s="37" t="s">
        <v>230</v>
      </c>
      <c r="H9" s="37" t="s">
        <v>230</v>
      </c>
      <c r="I9" s="37" t="s">
        <v>230</v>
      </c>
      <c r="J9" s="37" t="s">
        <v>230</v>
      </c>
      <c r="K9" s="37" t="s">
        <v>230</v>
      </c>
      <c r="L9" s="44">
        <f t="shared" si="1"/>
        <v>33</v>
      </c>
      <c r="M9" s="37">
        <f t="shared" si="2"/>
        <v>11</v>
      </c>
      <c r="N9" s="37">
        <f>(L9/(L9+'Marketable Yield'!L9))*100</f>
        <v>12.452830188679245</v>
      </c>
      <c r="O9" s="35"/>
      <c r="P9" s="35"/>
      <c r="Q9" s="37">
        <v>0</v>
      </c>
      <c r="R9" s="37">
        <v>1.56</v>
      </c>
      <c r="S9" s="37">
        <v>0.19</v>
      </c>
      <c r="T9" s="37">
        <v>0.08</v>
      </c>
      <c r="U9" s="37">
        <v>0.23</v>
      </c>
      <c r="V9" s="37">
        <v>0.38</v>
      </c>
      <c r="W9" s="37">
        <v>0.81</v>
      </c>
      <c r="X9" s="37">
        <v>0.56999999999999995</v>
      </c>
      <c r="Y9" s="37">
        <v>2.42</v>
      </c>
      <c r="Z9" s="37">
        <v>0.9</v>
      </c>
      <c r="AA9" s="44">
        <f t="shared" si="3"/>
        <v>7.1400000000000006</v>
      </c>
      <c r="AB9" s="37">
        <f t="shared" si="4"/>
        <v>0.71400000000000008</v>
      </c>
      <c r="AC9" s="37">
        <f>(AA9/(AA9+'Marketable Yield'!AA9))*100</f>
        <v>17.664522513607125</v>
      </c>
      <c r="AD9" s="35"/>
      <c r="AE9" s="35"/>
      <c r="AF9" s="37" t="s">
        <v>230</v>
      </c>
      <c r="AG9" s="37">
        <f t="shared" si="6"/>
        <v>0.89142857142857146</v>
      </c>
      <c r="AH9" s="37">
        <f t="shared" si="7"/>
        <v>0.60799999999999998</v>
      </c>
      <c r="AI9" s="37" t="s">
        <v>230</v>
      </c>
      <c r="AJ9" s="37" t="s">
        <v>230</v>
      </c>
      <c r="AK9" s="37" t="s">
        <v>230</v>
      </c>
      <c r="AL9" s="37" t="s">
        <v>230</v>
      </c>
      <c r="AM9" s="37" t="s">
        <v>230</v>
      </c>
      <c r="AN9" s="37" t="s">
        <v>230</v>
      </c>
      <c r="AO9" s="37" t="s">
        <v>230</v>
      </c>
      <c r="AP9" s="44">
        <f t="shared" si="8"/>
        <v>0.74971428571428578</v>
      </c>
    </row>
    <row r="10" spans="1:44" x14ac:dyDescent="0.25">
      <c r="A10" t="s">
        <v>7</v>
      </c>
      <c r="B10" s="37">
        <v>5</v>
      </c>
      <c r="C10" s="37">
        <v>29</v>
      </c>
      <c r="D10" s="37">
        <v>5</v>
      </c>
      <c r="E10" s="37" t="s">
        <v>230</v>
      </c>
      <c r="F10" s="37" t="s">
        <v>230</v>
      </c>
      <c r="G10" s="37" t="s">
        <v>230</v>
      </c>
      <c r="H10" s="37" t="s">
        <v>230</v>
      </c>
      <c r="I10" s="37" t="s">
        <v>230</v>
      </c>
      <c r="J10" s="37" t="s">
        <v>230</v>
      </c>
      <c r="K10" s="37" t="s">
        <v>230</v>
      </c>
      <c r="L10" s="44">
        <f t="shared" si="1"/>
        <v>39</v>
      </c>
      <c r="M10" s="37">
        <f t="shared" si="2"/>
        <v>13</v>
      </c>
      <c r="N10" s="37">
        <f>(L10/(L10+'Marketable Yield'!L10))*100</f>
        <v>24.375</v>
      </c>
      <c r="O10" s="35"/>
      <c r="P10" s="35"/>
      <c r="Q10" s="37">
        <v>0.32</v>
      </c>
      <c r="R10" s="37">
        <v>1.81</v>
      </c>
      <c r="S10" s="37">
        <v>0.23</v>
      </c>
      <c r="T10" s="37">
        <v>1.19</v>
      </c>
      <c r="U10" s="37">
        <v>1.1399999999999999</v>
      </c>
      <c r="V10" s="37">
        <v>0.71</v>
      </c>
      <c r="W10" s="37">
        <v>2.33</v>
      </c>
      <c r="X10" s="37">
        <v>0.28999999999999998</v>
      </c>
      <c r="Y10" s="37">
        <v>2.4500000000000002</v>
      </c>
      <c r="Z10" s="37">
        <v>1.71</v>
      </c>
      <c r="AA10" s="44">
        <f t="shared" si="3"/>
        <v>12.18</v>
      </c>
      <c r="AB10" s="37">
        <f t="shared" si="4"/>
        <v>1.218</v>
      </c>
      <c r="AC10" s="37">
        <f>(AA10/(AA10+'Marketable Yield'!AA10))*100</f>
        <v>37.179487179487175</v>
      </c>
      <c r="AD10" s="35"/>
      <c r="AE10" s="35"/>
      <c r="AF10" s="37">
        <f t="shared" si="5"/>
        <v>1.024</v>
      </c>
      <c r="AG10" s="37">
        <f t="shared" si="6"/>
        <v>0.99862068965517248</v>
      </c>
      <c r="AH10" s="37">
        <f t="shared" si="7"/>
        <v>0.73599999999999999</v>
      </c>
      <c r="AI10" s="37" t="s">
        <v>230</v>
      </c>
      <c r="AJ10" s="37" t="s">
        <v>230</v>
      </c>
      <c r="AK10" s="37" t="s">
        <v>230</v>
      </c>
      <c r="AL10" s="37" t="s">
        <v>230</v>
      </c>
      <c r="AM10" s="37" t="s">
        <v>230</v>
      </c>
      <c r="AN10" s="37" t="s">
        <v>230</v>
      </c>
      <c r="AO10" s="37" t="s">
        <v>230</v>
      </c>
      <c r="AP10" s="44">
        <f t="shared" si="8"/>
        <v>0.91954022988505757</v>
      </c>
    </row>
    <row r="11" spans="1:44" x14ac:dyDescent="0.25">
      <c r="A11" t="s">
        <v>8</v>
      </c>
      <c r="B11" s="37">
        <v>3</v>
      </c>
      <c r="C11" s="37">
        <v>25</v>
      </c>
      <c r="D11" s="37">
        <v>11</v>
      </c>
      <c r="E11" s="37" t="s">
        <v>230</v>
      </c>
      <c r="F11" s="37" t="s">
        <v>230</v>
      </c>
      <c r="G11" s="37" t="s">
        <v>230</v>
      </c>
      <c r="H11" s="37" t="s">
        <v>230</v>
      </c>
      <c r="I11" s="37" t="s">
        <v>230</v>
      </c>
      <c r="J11" s="37" t="s">
        <v>230</v>
      </c>
      <c r="K11" s="37" t="s">
        <v>230</v>
      </c>
      <c r="L11" s="44">
        <f t="shared" si="1"/>
        <v>39</v>
      </c>
      <c r="M11" s="37">
        <f t="shared" si="2"/>
        <v>13</v>
      </c>
      <c r="N11" s="37">
        <f>(L11/(L11+'Marketable Yield'!L11))*100</f>
        <v>19.306930693069308</v>
      </c>
      <c r="O11" s="35"/>
      <c r="P11" s="35"/>
      <c r="Q11" s="37">
        <v>0.11</v>
      </c>
      <c r="R11" s="37">
        <v>1.24</v>
      </c>
      <c r="S11" s="37">
        <v>0.48</v>
      </c>
      <c r="T11" s="37">
        <v>0.61</v>
      </c>
      <c r="U11" s="37">
        <v>0.37</v>
      </c>
      <c r="V11" s="37">
        <v>1.26</v>
      </c>
      <c r="W11" s="37">
        <v>0.69</v>
      </c>
      <c r="X11" s="37">
        <v>0</v>
      </c>
      <c r="Y11" s="37">
        <v>2.14</v>
      </c>
      <c r="Z11" s="37">
        <v>0.95</v>
      </c>
      <c r="AA11" s="44">
        <f t="shared" si="3"/>
        <v>7.8500000000000005</v>
      </c>
      <c r="AB11" s="37">
        <f t="shared" si="4"/>
        <v>0.78500000000000003</v>
      </c>
      <c r="AC11" s="37">
        <f>(AA11/(AA11+'Marketable Yield'!AA11))*100</f>
        <v>24.492979719188771</v>
      </c>
      <c r="AD11" s="35"/>
      <c r="AE11" s="35"/>
      <c r="AF11" s="37">
        <f t="shared" si="5"/>
        <v>0.58666666666666667</v>
      </c>
      <c r="AG11" s="37">
        <f t="shared" si="6"/>
        <v>0.79359999999999997</v>
      </c>
      <c r="AH11" s="37">
        <f t="shared" si="7"/>
        <v>0.69818181818181813</v>
      </c>
      <c r="AI11" s="37" t="s">
        <v>230</v>
      </c>
      <c r="AJ11" s="37" t="s">
        <v>230</v>
      </c>
      <c r="AK11" s="37" t="s">
        <v>230</v>
      </c>
      <c r="AL11" s="37" t="s">
        <v>230</v>
      </c>
      <c r="AM11" s="37" t="s">
        <v>230</v>
      </c>
      <c r="AN11" s="37" t="s">
        <v>230</v>
      </c>
      <c r="AO11" s="37" t="s">
        <v>230</v>
      </c>
      <c r="AP11" s="44">
        <f t="shared" si="8"/>
        <v>0.69281616161616155</v>
      </c>
    </row>
    <row r="12" spans="1:44" x14ac:dyDescent="0.25">
      <c r="A12" t="s">
        <v>9</v>
      </c>
      <c r="B12" s="37">
        <v>8</v>
      </c>
      <c r="C12" s="37">
        <v>45</v>
      </c>
      <c r="D12" s="37">
        <v>13</v>
      </c>
      <c r="E12" s="37" t="s">
        <v>230</v>
      </c>
      <c r="F12" s="37" t="s">
        <v>230</v>
      </c>
      <c r="G12" s="37" t="s">
        <v>230</v>
      </c>
      <c r="H12" s="37" t="s">
        <v>230</v>
      </c>
      <c r="I12" s="37" t="s">
        <v>230</v>
      </c>
      <c r="J12" s="37"/>
      <c r="K12" s="37" t="s">
        <v>230</v>
      </c>
      <c r="L12" s="44">
        <f t="shared" si="1"/>
        <v>66</v>
      </c>
      <c r="M12" s="37">
        <f t="shared" si="2"/>
        <v>22</v>
      </c>
      <c r="N12" s="37">
        <f>(L12/(L12+'Marketable Yield'!L12))*100</f>
        <v>36.263736263736263</v>
      </c>
      <c r="O12" s="35"/>
      <c r="P12" s="35"/>
      <c r="Q12" s="37">
        <v>0.4</v>
      </c>
      <c r="R12" s="37">
        <v>2.44</v>
      </c>
      <c r="S12" s="37">
        <v>0.35</v>
      </c>
      <c r="T12" s="37">
        <v>1.34</v>
      </c>
      <c r="U12" s="37">
        <v>1.1399999999999999</v>
      </c>
      <c r="V12" s="37">
        <v>0.69</v>
      </c>
      <c r="W12" s="37">
        <v>1.1599999999999999</v>
      </c>
      <c r="X12" s="37">
        <v>0.78</v>
      </c>
      <c r="Y12" s="37">
        <v>1.64</v>
      </c>
      <c r="Z12" s="37">
        <v>2.1</v>
      </c>
      <c r="AA12" s="44">
        <f t="shared" si="3"/>
        <v>12.04</v>
      </c>
      <c r="AB12" s="37">
        <f t="shared" si="4"/>
        <v>1.204</v>
      </c>
      <c r="AC12" s="37">
        <f>(AA12/(AA12+'Marketable Yield'!AA12))*100</f>
        <v>38.763683193818409</v>
      </c>
      <c r="AD12" s="35"/>
      <c r="AE12" s="35"/>
      <c r="AF12" s="37">
        <f t="shared" si="5"/>
        <v>0.8</v>
      </c>
      <c r="AG12" s="37">
        <f t="shared" si="6"/>
        <v>0.86755555555555552</v>
      </c>
      <c r="AH12" s="37">
        <f t="shared" si="7"/>
        <v>0.43076923076923074</v>
      </c>
      <c r="AI12" s="37" t="s">
        <v>230</v>
      </c>
      <c r="AJ12" s="37" t="s">
        <v>230</v>
      </c>
      <c r="AK12" s="37" t="s">
        <v>230</v>
      </c>
      <c r="AL12" s="37" t="s">
        <v>230</v>
      </c>
      <c r="AM12" s="37" t="s">
        <v>230</v>
      </c>
      <c r="AN12" s="37" t="s">
        <v>230</v>
      </c>
      <c r="AO12" s="37" t="s">
        <v>230</v>
      </c>
      <c r="AP12" s="44">
        <f t="shared" si="8"/>
        <v>0.69944159544159534</v>
      </c>
    </row>
    <row r="13" spans="1:44" x14ac:dyDescent="0.25">
      <c r="A13" t="s">
        <v>10</v>
      </c>
      <c r="B13" s="37">
        <v>7</v>
      </c>
      <c r="C13" s="37">
        <v>34</v>
      </c>
      <c r="D13" s="37">
        <v>20</v>
      </c>
      <c r="E13" s="37" t="s">
        <v>230</v>
      </c>
      <c r="F13" s="37" t="s">
        <v>230</v>
      </c>
      <c r="G13" s="37" t="s">
        <v>230</v>
      </c>
      <c r="H13" s="37" t="s">
        <v>230</v>
      </c>
      <c r="I13" s="37" t="s">
        <v>230</v>
      </c>
      <c r="J13" s="37" t="s">
        <v>230</v>
      </c>
      <c r="K13" s="37" t="s">
        <v>230</v>
      </c>
      <c r="L13" s="44">
        <f t="shared" si="1"/>
        <v>61</v>
      </c>
      <c r="M13" s="37">
        <f t="shared" si="2"/>
        <v>20.333333333333332</v>
      </c>
      <c r="N13" s="37">
        <f>(L13/(L13+'Marketable Yield'!L13))*100</f>
        <v>30.348258706467661</v>
      </c>
      <c r="O13" s="35"/>
      <c r="P13" s="35"/>
      <c r="Q13" s="37">
        <v>0.27</v>
      </c>
      <c r="R13" s="37">
        <v>1.34</v>
      </c>
      <c r="S13" s="37">
        <v>0.54</v>
      </c>
      <c r="T13" s="37">
        <v>1.71</v>
      </c>
      <c r="U13" s="37">
        <v>1.01</v>
      </c>
      <c r="V13" s="37">
        <v>0.68</v>
      </c>
      <c r="W13" s="37">
        <v>1.34</v>
      </c>
      <c r="X13" s="37">
        <v>0.18</v>
      </c>
      <c r="Y13" s="37">
        <v>1.33</v>
      </c>
      <c r="Z13" s="37">
        <v>2.41</v>
      </c>
      <c r="AA13" s="44">
        <f t="shared" si="3"/>
        <v>10.809999999999999</v>
      </c>
      <c r="AB13" s="37">
        <f t="shared" si="4"/>
        <v>1.081</v>
      </c>
      <c r="AC13" s="37">
        <f>(AA13/(AA13+'Marketable Yield'!AA13))*100</f>
        <v>34.437719018795789</v>
      </c>
      <c r="AD13" s="35"/>
      <c r="AE13" s="35"/>
      <c r="AF13" s="37">
        <f t="shared" si="5"/>
        <v>0.61714285714285722</v>
      </c>
      <c r="AG13" s="37">
        <f t="shared" si="6"/>
        <v>0.63058823529411767</v>
      </c>
      <c r="AH13" s="37">
        <f t="shared" si="7"/>
        <v>0.43200000000000005</v>
      </c>
      <c r="AI13" s="37" t="s">
        <v>230</v>
      </c>
      <c r="AJ13" s="37" t="s">
        <v>230</v>
      </c>
      <c r="AK13" s="37" t="s">
        <v>230</v>
      </c>
      <c r="AL13" s="37" t="s">
        <v>230</v>
      </c>
      <c r="AM13" s="37" t="s">
        <v>230</v>
      </c>
      <c r="AN13" s="37" t="s">
        <v>230</v>
      </c>
      <c r="AO13" s="37" t="s">
        <v>230</v>
      </c>
      <c r="AP13" s="44">
        <f t="shared" si="8"/>
        <v>0.55991036414565831</v>
      </c>
    </row>
    <row r="14" spans="1:44" x14ac:dyDescent="0.25">
      <c r="A14" t="s">
        <v>11</v>
      </c>
      <c r="B14" s="37">
        <v>0</v>
      </c>
      <c r="C14" s="37">
        <v>9</v>
      </c>
      <c r="D14" s="37">
        <v>3</v>
      </c>
      <c r="E14" s="37" t="s">
        <v>230</v>
      </c>
      <c r="F14" s="37" t="s">
        <v>230</v>
      </c>
      <c r="G14" s="37" t="s">
        <v>230</v>
      </c>
      <c r="H14" s="37" t="s">
        <v>230</v>
      </c>
      <c r="I14" s="37" t="s">
        <v>230</v>
      </c>
      <c r="J14" s="37" t="s">
        <v>230</v>
      </c>
      <c r="K14" s="37" t="s">
        <v>230</v>
      </c>
      <c r="L14" s="44">
        <f t="shared" si="1"/>
        <v>12</v>
      </c>
      <c r="M14" s="37">
        <f t="shared" si="2"/>
        <v>4</v>
      </c>
      <c r="N14" s="37">
        <f>(L14/(L14+'Marketable Yield'!L14))*100</f>
        <v>5.0420168067226889</v>
      </c>
      <c r="O14" s="35"/>
      <c r="P14" s="35"/>
      <c r="Q14" s="37">
        <v>0</v>
      </c>
      <c r="R14" s="37">
        <v>0.44</v>
      </c>
      <c r="S14" s="37">
        <v>0.09</v>
      </c>
      <c r="T14" s="37">
        <v>0.01</v>
      </c>
      <c r="U14" s="37">
        <v>0.26</v>
      </c>
      <c r="V14" s="37">
        <v>0.16</v>
      </c>
      <c r="W14" s="37">
        <v>1.71</v>
      </c>
      <c r="X14" s="37">
        <v>0.2</v>
      </c>
      <c r="Y14" s="37">
        <v>2.5099999999999998</v>
      </c>
      <c r="Z14" s="37">
        <v>2.1800000000000002</v>
      </c>
      <c r="AA14" s="44">
        <f t="shared" si="3"/>
        <v>7.5600000000000005</v>
      </c>
      <c r="AB14" s="37">
        <f t="shared" si="4"/>
        <v>0.75600000000000001</v>
      </c>
      <c r="AC14" s="37">
        <f>(AA14/(AA14+'Marketable Yield'!AA14))*100</f>
        <v>17.027027027027025</v>
      </c>
      <c r="AD14" s="35"/>
      <c r="AE14" s="35"/>
      <c r="AF14" s="37" t="s">
        <v>230</v>
      </c>
      <c r="AG14" s="37">
        <f t="shared" si="6"/>
        <v>0.78222222222222226</v>
      </c>
      <c r="AH14" s="37">
        <f t="shared" si="7"/>
        <v>0.48</v>
      </c>
      <c r="AI14" s="37" t="s">
        <v>230</v>
      </c>
      <c r="AJ14" s="37" t="s">
        <v>230</v>
      </c>
      <c r="AK14" s="37" t="s">
        <v>230</v>
      </c>
      <c r="AL14" s="37" t="s">
        <v>230</v>
      </c>
      <c r="AM14" s="37" t="s">
        <v>230</v>
      </c>
      <c r="AN14" s="37" t="s">
        <v>230</v>
      </c>
      <c r="AO14" s="37" t="s">
        <v>230</v>
      </c>
      <c r="AP14" s="44">
        <f t="shared" si="8"/>
        <v>0.63111111111111118</v>
      </c>
    </row>
    <row r="15" spans="1:44" x14ac:dyDescent="0.25">
      <c r="A15" t="s">
        <v>12</v>
      </c>
      <c r="B15" s="37">
        <v>7</v>
      </c>
      <c r="C15" s="37">
        <v>23</v>
      </c>
      <c r="D15" s="37">
        <v>8</v>
      </c>
      <c r="E15" s="37" t="s">
        <v>230</v>
      </c>
      <c r="F15" s="37" t="s">
        <v>230</v>
      </c>
      <c r="G15" s="37" t="s">
        <v>230</v>
      </c>
      <c r="H15" s="37" t="s">
        <v>230</v>
      </c>
      <c r="I15" s="37" t="s">
        <v>230</v>
      </c>
      <c r="J15" s="37" t="s">
        <v>230</v>
      </c>
      <c r="K15" s="37" t="s">
        <v>230</v>
      </c>
      <c r="L15" s="44">
        <f t="shared" si="1"/>
        <v>38</v>
      </c>
      <c r="M15" s="37">
        <f t="shared" si="2"/>
        <v>12.666666666666666</v>
      </c>
      <c r="N15" s="37">
        <f>(L15/(L15+'Marketable Yield'!L15))*100</f>
        <v>12.101910828025478</v>
      </c>
      <c r="O15" s="35"/>
      <c r="P15" s="35"/>
      <c r="Q15" s="37">
        <v>0.31</v>
      </c>
      <c r="R15" s="37">
        <v>0.98</v>
      </c>
      <c r="S15" s="37">
        <v>0.27</v>
      </c>
      <c r="T15" s="37">
        <v>0.18</v>
      </c>
      <c r="U15" s="37">
        <v>0.24</v>
      </c>
      <c r="V15" s="37">
        <v>0.3</v>
      </c>
      <c r="W15" s="37">
        <v>0.38</v>
      </c>
      <c r="X15" s="37">
        <v>0.12</v>
      </c>
      <c r="Y15" s="37">
        <v>3.44</v>
      </c>
      <c r="Z15" s="37">
        <v>0.8</v>
      </c>
      <c r="AA15" s="44">
        <f t="shared" si="3"/>
        <v>7.02</v>
      </c>
      <c r="AB15" s="37">
        <f t="shared" si="4"/>
        <v>0.70199999999999996</v>
      </c>
      <c r="AC15" s="37">
        <f>(AA15/(AA15+'Marketable Yield'!AA15))*100</f>
        <v>17.180616740088105</v>
      </c>
      <c r="AD15" s="35"/>
      <c r="AE15" s="35"/>
      <c r="AF15" s="37">
        <f t="shared" si="5"/>
        <v>0.70857142857142852</v>
      </c>
      <c r="AG15" s="37">
        <f t="shared" si="6"/>
        <v>0.68173913043478263</v>
      </c>
      <c r="AH15" s="37">
        <f t="shared" si="7"/>
        <v>0.54</v>
      </c>
      <c r="AI15" s="37" t="s">
        <v>230</v>
      </c>
      <c r="AJ15" s="37" t="s">
        <v>230</v>
      </c>
      <c r="AK15" s="37" t="s">
        <v>230</v>
      </c>
      <c r="AL15" s="37" t="s">
        <v>230</v>
      </c>
      <c r="AM15" s="37" t="s">
        <v>230</v>
      </c>
      <c r="AN15" s="37" t="s">
        <v>230</v>
      </c>
      <c r="AO15" s="37" t="s">
        <v>230</v>
      </c>
      <c r="AP15" s="44">
        <f t="shared" si="8"/>
        <v>0.64343685300207032</v>
      </c>
    </row>
    <row r="16" spans="1:44" x14ac:dyDescent="0.25">
      <c r="A16" t="s">
        <v>13</v>
      </c>
      <c r="B16" s="37">
        <v>7</v>
      </c>
      <c r="C16" s="37">
        <v>9</v>
      </c>
      <c r="D16" s="37">
        <v>9</v>
      </c>
      <c r="E16" s="37" t="s">
        <v>230</v>
      </c>
      <c r="F16" s="37" t="s">
        <v>230</v>
      </c>
      <c r="G16" s="37" t="s">
        <v>230</v>
      </c>
      <c r="H16" s="37" t="s">
        <v>230</v>
      </c>
      <c r="I16" s="37" t="s">
        <v>230</v>
      </c>
      <c r="J16" s="37" t="s">
        <v>230</v>
      </c>
      <c r="K16" s="37" t="s">
        <v>230</v>
      </c>
      <c r="L16" s="44">
        <f t="shared" si="1"/>
        <v>25</v>
      </c>
      <c r="M16" s="37">
        <f t="shared" si="2"/>
        <v>8.3333333333333339</v>
      </c>
      <c r="N16" s="37">
        <f>(L16/(L16+'Marketable Yield'!L16))*100</f>
        <v>7.8369905956112857</v>
      </c>
      <c r="O16" s="35"/>
      <c r="P16" s="35"/>
      <c r="Q16" s="37">
        <v>0.31</v>
      </c>
      <c r="R16" s="37">
        <v>0.34</v>
      </c>
      <c r="S16" s="37">
        <v>0.33</v>
      </c>
      <c r="T16" s="37">
        <v>1.78</v>
      </c>
      <c r="U16" s="37">
        <v>0.49</v>
      </c>
      <c r="V16" s="37">
        <v>2.31</v>
      </c>
      <c r="W16" s="37">
        <v>1.1000000000000001</v>
      </c>
      <c r="X16" s="37">
        <v>0.5</v>
      </c>
      <c r="Y16" s="37">
        <v>2.93</v>
      </c>
      <c r="Z16" s="37">
        <v>1.54</v>
      </c>
      <c r="AA16" s="44">
        <f t="shared" si="3"/>
        <v>11.629999999999999</v>
      </c>
      <c r="AB16" s="37">
        <f t="shared" si="4"/>
        <v>1.1629999999999998</v>
      </c>
      <c r="AC16" s="37">
        <f>(AA16/(AA16+'Marketable Yield'!AA16))*100</f>
        <v>25.907774560035641</v>
      </c>
      <c r="AD16" s="35"/>
      <c r="AE16" s="35"/>
      <c r="AF16" s="37">
        <f t="shared" si="5"/>
        <v>0.70857142857142852</v>
      </c>
      <c r="AG16" s="37">
        <f t="shared" si="6"/>
        <v>0.60444444444444445</v>
      </c>
      <c r="AH16" s="37">
        <f t="shared" si="7"/>
        <v>0.58666666666666667</v>
      </c>
      <c r="AI16" s="37" t="s">
        <v>230</v>
      </c>
      <c r="AJ16" s="37" t="s">
        <v>230</v>
      </c>
      <c r="AK16" s="37" t="s">
        <v>230</v>
      </c>
      <c r="AL16" s="37" t="s">
        <v>230</v>
      </c>
      <c r="AM16" s="37" t="s">
        <v>230</v>
      </c>
      <c r="AN16" s="37" t="s">
        <v>230</v>
      </c>
      <c r="AO16" s="37" t="s">
        <v>230</v>
      </c>
      <c r="AP16" s="44">
        <f t="shared" si="8"/>
        <v>0.63322751322751325</v>
      </c>
    </row>
    <row r="17" spans="1:42" x14ac:dyDescent="0.25">
      <c r="A17" t="s">
        <v>14</v>
      </c>
      <c r="B17" s="35" t="s">
        <v>230</v>
      </c>
      <c r="C17" s="35">
        <v>8</v>
      </c>
      <c r="D17" s="35">
        <v>3</v>
      </c>
      <c r="E17" s="35">
        <v>1</v>
      </c>
      <c r="F17" s="35">
        <v>6</v>
      </c>
      <c r="G17" s="35">
        <v>1</v>
      </c>
      <c r="H17" s="35">
        <v>0</v>
      </c>
      <c r="I17" s="35">
        <v>1</v>
      </c>
      <c r="J17" s="35">
        <v>3</v>
      </c>
      <c r="K17" s="35">
        <v>2</v>
      </c>
      <c r="L17" s="45">
        <f t="shared" si="1"/>
        <v>25</v>
      </c>
      <c r="M17" s="35">
        <f t="shared" si="2"/>
        <v>2.7777777777777777</v>
      </c>
      <c r="N17" s="35">
        <f>(L17/(L17+'Marketable Yield'!L17))*100</f>
        <v>62.5</v>
      </c>
      <c r="O17" s="35"/>
      <c r="P17" s="35"/>
      <c r="Q17" s="35" t="s">
        <v>230</v>
      </c>
      <c r="R17" s="35">
        <v>5.45</v>
      </c>
      <c r="S17" s="35">
        <v>2.2000000000000002</v>
      </c>
      <c r="T17" s="35">
        <v>0.48</v>
      </c>
      <c r="U17" s="35">
        <v>1.95</v>
      </c>
      <c r="V17" s="35">
        <v>0.35</v>
      </c>
      <c r="W17" s="35">
        <v>0</v>
      </c>
      <c r="X17" s="35">
        <v>0.9</v>
      </c>
      <c r="Y17" s="35">
        <v>1.8</v>
      </c>
      <c r="Z17" s="35">
        <v>0.35</v>
      </c>
      <c r="AA17" s="45">
        <f t="shared" si="3"/>
        <v>13.48</v>
      </c>
      <c r="AB17" s="35">
        <f t="shared" si="4"/>
        <v>1.4977777777777779</v>
      </c>
      <c r="AC17" s="35">
        <f>(AA17/(AA17+'Marketable Yield'!AA17))*100</f>
        <v>59.804791481810113</v>
      </c>
      <c r="AD17" s="35"/>
      <c r="AE17" s="35"/>
      <c r="AF17" s="35" t="s">
        <v>230</v>
      </c>
      <c r="AG17" s="35">
        <f t="shared" si="6"/>
        <v>10.9</v>
      </c>
      <c r="AH17" s="35">
        <f t="shared" si="7"/>
        <v>11.733333333333334</v>
      </c>
      <c r="AI17" s="35">
        <f t="shared" ref="AI17:AI67" si="9">(T17/E17)*16</f>
        <v>7.68</v>
      </c>
      <c r="AJ17" s="35">
        <f t="shared" ref="AJ17:AJ67" si="10">(U17/F17)*16</f>
        <v>5.2</v>
      </c>
      <c r="AK17" s="35">
        <f t="shared" ref="AK17:AK67" si="11">(V17/G17)*16</f>
        <v>5.6</v>
      </c>
      <c r="AL17" s="35" t="s">
        <v>230</v>
      </c>
      <c r="AM17" s="35">
        <f t="shared" ref="AM17:AM67" si="12">(X17/I17)*16</f>
        <v>14.4</v>
      </c>
      <c r="AN17" s="35">
        <f t="shared" ref="AN17:AN67" si="13">(Y17/J17)*16</f>
        <v>9.6</v>
      </c>
      <c r="AO17" s="35">
        <f t="shared" ref="AO17:AO67" si="14">(Z17/K17)*16</f>
        <v>2.8</v>
      </c>
      <c r="AP17" s="45">
        <f t="shared" si="8"/>
        <v>8.4891666666666659</v>
      </c>
    </row>
    <row r="18" spans="1:42" x14ac:dyDescent="0.25">
      <c r="A18" t="s">
        <v>15</v>
      </c>
      <c r="B18" s="37">
        <v>7</v>
      </c>
      <c r="C18" s="37">
        <v>9</v>
      </c>
      <c r="D18" s="37">
        <v>3</v>
      </c>
      <c r="E18" s="37" t="s">
        <v>230</v>
      </c>
      <c r="F18" s="37" t="s">
        <v>230</v>
      </c>
      <c r="G18" s="37" t="s">
        <v>230</v>
      </c>
      <c r="H18" s="37" t="s">
        <v>230</v>
      </c>
      <c r="I18" s="37" t="s">
        <v>230</v>
      </c>
      <c r="J18" s="37" t="s">
        <v>230</v>
      </c>
      <c r="K18" s="37" t="s">
        <v>230</v>
      </c>
      <c r="L18" s="44">
        <f t="shared" si="1"/>
        <v>19</v>
      </c>
      <c r="M18" s="37">
        <f t="shared" si="2"/>
        <v>6.333333333333333</v>
      </c>
      <c r="N18" s="37">
        <f>(L18/(L18+'Marketable Yield'!L18))*100</f>
        <v>31.147540983606557</v>
      </c>
      <c r="O18" s="35"/>
      <c r="P18" s="35"/>
      <c r="Q18" s="37">
        <v>0.22</v>
      </c>
      <c r="R18" s="37">
        <v>0.31</v>
      </c>
      <c r="S18" s="37">
        <v>0.04</v>
      </c>
      <c r="T18" s="37">
        <v>0.17</v>
      </c>
      <c r="U18" s="37">
        <v>0.03</v>
      </c>
      <c r="V18" s="37">
        <v>0.31</v>
      </c>
      <c r="W18" s="37">
        <v>0.16</v>
      </c>
      <c r="X18" s="37">
        <v>0.04</v>
      </c>
      <c r="Y18" s="37">
        <v>0.64</v>
      </c>
      <c r="Z18" s="37">
        <v>0.94</v>
      </c>
      <c r="AA18" s="44">
        <f t="shared" si="3"/>
        <v>2.86</v>
      </c>
      <c r="AB18" s="37">
        <f t="shared" si="4"/>
        <v>0.28599999999999998</v>
      </c>
      <c r="AC18" s="37">
        <f>(AA18/(AA18+'Marketable Yield'!AA18))*100</f>
        <v>23.853211009174313</v>
      </c>
      <c r="AD18" s="35"/>
      <c r="AE18" s="35"/>
      <c r="AF18" s="37">
        <f t="shared" si="5"/>
        <v>0.50285714285714289</v>
      </c>
      <c r="AG18" s="37">
        <f t="shared" si="6"/>
        <v>0.55111111111111111</v>
      </c>
      <c r="AH18" s="37">
        <f t="shared" si="7"/>
        <v>0.21333333333333335</v>
      </c>
      <c r="AI18" s="37" t="s">
        <v>230</v>
      </c>
      <c r="AJ18" s="37" t="s">
        <v>230</v>
      </c>
      <c r="AK18" s="37" t="s">
        <v>230</v>
      </c>
      <c r="AL18" s="37" t="s">
        <v>230</v>
      </c>
      <c r="AM18" s="37" t="s">
        <v>230</v>
      </c>
      <c r="AN18" s="37" t="s">
        <v>230</v>
      </c>
      <c r="AO18" s="37" t="s">
        <v>230</v>
      </c>
      <c r="AP18" s="44">
        <f t="shared" si="8"/>
        <v>0.42243386243386244</v>
      </c>
    </row>
    <row r="19" spans="1:42" x14ac:dyDescent="0.25">
      <c r="A19" t="s">
        <v>16</v>
      </c>
      <c r="B19" s="37">
        <v>7</v>
      </c>
      <c r="C19" s="37">
        <v>20</v>
      </c>
      <c r="D19" s="37">
        <v>0</v>
      </c>
      <c r="E19" s="37" t="s">
        <v>230</v>
      </c>
      <c r="F19" s="37" t="s">
        <v>230</v>
      </c>
      <c r="G19" s="37" t="s">
        <v>230</v>
      </c>
      <c r="H19" s="37" t="s">
        <v>230</v>
      </c>
      <c r="I19" s="37" t="s">
        <v>230</v>
      </c>
      <c r="J19" s="37" t="s">
        <v>230</v>
      </c>
      <c r="K19" s="37" t="s">
        <v>230</v>
      </c>
      <c r="L19" s="44">
        <f t="shared" si="1"/>
        <v>27</v>
      </c>
      <c r="M19" s="37">
        <f t="shared" si="2"/>
        <v>9</v>
      </c>
      <c r="N19" s="37">
        <f>(L19/(L19+'Marketable Yield'!L19))*100</f>
        <v>18.243243243243242</v>
      </c>
      <c r="O19" s="35"/>
      <c r="P19" s="35"/>
      <c r="Q19" s="37">
        <v>0.39</v>
      </c>
      <c r="R19" s="37">
        <v>1.0900000000000001</v>
      </c>
      <c r="S19" s="37">
        <v>0</v>
      </c>
      <c r="T19" s="37">
        <v>0.81</v>
      </c>
      <c r="U19" s="37">
        <v>0.85</v>
      </c>
      <c r="V19" s="37">
        <v>1.61</v>
      </c>
      <c r="W19" s="37">
        <v>0.62</v>
      </c>
      <c r="X19" s="37">
        <v>0.18</v>
      </c>
      <c r="Y19" s="37">
        <v>2.09</v>
      </c>
      <c r="Z19" s="37">
        <v>1.69</v>
      </c>
      <c r="AA19" s="44">
        <f t="shared" si="3"/>
        <v>9.33</v>
      </c>
      <c r="AB19" s="37">
        <f t="shared" si="4"/>
        <v>0.93300000000000005</v>
      </c>
      <c r="AC19" s="37">
        <f>(AA19/(AA19+'Marketable Yield'!AA19))*100</f>
        <v>21.799065420560748</v>
      </c>
      <c r="AD19" s="35"/>
      <c r="AE19" s="35"/>
      <c r="AF19" s="37">
        <f t="shared" si="5"/>
        <v>0.89142857142857146</v>
      </c>
      <c r="AG19" s="37">
        <f t="shared" si="6"/>
        <v>0.87200000000000011</v>
      </c>
      <c r="AH19" s="37" t="s">
        <v>230</v>
      </c>
      <c r="AI19" s="37" t="s">
        <v>230</v>
      </c>
      <c r="AJ19" s="37" t="s">
        <v>230</v>
      </c>
      <c r="AK19" s="37" t="s">
        <v>230</v>
      </c>
      <c r="AL19" s="37" t="s">
        <v>230</v>
      </c>
      <c r="AM19" s="37" t="s">
        <v>230</v>
      </c>
      <c r="AN19" s="37" t="s">
        <v>230</v>
      </c>
      <c r="AO19" s="37" t="s">
        <v>230</v>
      </c>
      <c r="AP19" s="44">
        <f t="shared" si="8"/>
        <v>0.88171428571428578</v>
      </c>
    </row>
    <row r="20" spans="1:42" x14ac:dyDescent="0.25"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4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4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45"/>
    </row>
    <row r="21" spans="1:42" x14ac:dyDescent="0.25">
      <c r="A21" t="s">
        <v>18</v>
      </c>
      <c r="B21" s="37">
        <v>11</v>
      </c>
      <c r="C21" s="37">
        <v>37</v>
      </c>
      <c r="D21" s="37">
        <v>7</v>
      </c>
      <c r="E21" s="37" t="s">
        <v>230</v>
      </c>
      <c r="F21" s="37" t="s">
        <v>230</v>
      </c>
      <c r="G21" s="37" t="s">
        <v>230</v>
      </c>
      <c r="H21" s="37" t="s">
        <v>230</v>
      </c>
      <c r="I21" s="37" t="s">
        <v>230</v>
      </c>
      <c r="J21" s="37" t="s">
        <v>230</v>
      </c>
      <c r="K21" s="37" t="s">
        <v>230</v>
      </c>
      <c r="L21" s="44">
        <f t="shared" si="1"/>
        <v>55</v>
      </c>
      <c r="M21" s="37">
        <f t="shared" si="2"/>
        <v>18.333333333333332</v>
      </c>
      <c r="N21" s="37">
        <f>(L21/(L21+'Marketable Yield'!L21))*100</f>
        <v>15.580736543909349</v>
      </c>
      <c r="O21" s="35"/>
      <c r="P21" s="35"/>
      <c r="Q21" s="37">
        <v>0.55000000000000004</v>
      </c>
      <c r="R21" s="37">
        <v>1.58</v>
      </c>
      <c r="S21" s="37">
        <v>2.12</v>
      </c>
      <c r="T21" s="37">
        <v>2.61</v>
      </c>
      <c r="U21" s="37">
        <v>0.26</v>
      </c>
      <c r="V21" s="37">
        <v>0.55000000000000004</v>
      </c>
      <c r="W21" s="37">
        <v>1.01</v>
      </c>
      <c r="X21" s="37">
        <v>0.16</v>
      </c>
      <c r="Y21" s="37">
        <v>0.28000000000000003</v>
      </c>
      <c r="Z21" s="37">
        <v>0.26</v>
      </c>
      <c r="AA21" s="44">
        <f t="shared" si="3"/>
        <v>9.379999999999999</v>
      </c>
      <c r="AB21" s="37">
        <f t="shared" si="4"/>
        <v>0.93799999999999994</v>
      </c>
      <c r="AC21" s="37">
        <f>(AA21/(AA21+'Marketable Yield'!AA21))*100</f>
        <v>33.098094565984468</v>
      </c>
      <c r="AD21" s="35"/>
      <c r="AE21" s="35"/>
      <c r="AF21" s="37">
        <f t="shared" si="5"/>
        <v>0.8</v>
      </c>
      <c r="AG21" s="37">
        <f t="shared" si="6"/>
        <v>0.68324324324324326</v>
      </c>
      <c r="AH21" s="37">
        <f t="shared" si="7"/>
        <v>4.8457142857142861</v>
      </c>
      <c r="AI21" s="37" t="s">
        <v>230</v>
      </c>
      <c r="AJ21" s="37" t="s">
        <v>230</v>
      </c>
      <c r="AK21" s="37" t="s">
        <v>230</v>
      </c>
      <c r="AL21" s="37" t="s">
        <v>230</v>
      </c>
      <c r="AM21" s="37" t="s">
        <v>230</v>
      </c>
      <c r="AN21" s="37" t="s">
        <v>230</v>
      </c>
      <c r="AO21" s="37" t="s">
        <v>230</v>
      </c>
      <c r="AP21" s="44">
        <f t="shared" si="8"/>
        <v>2.1096525096525096</v>
      </c>
    </row>
    <row r="22" spans="1:42" x14ac:dyDescent="0.25">
      <c r="A22" t="s">
        <v>19</v>
      </c>
      <c r="B22" s="35">
        <v>3</v>
      </c>
      <c r="C22" s="35">
        <v>12</v>
      </c>
      <c r="D22" s="35">
        <v>5</v>
      </c>
      <c r="E22" s="35">
        <v>6</v>
      </c>
      <c r="F22" s="35">
        <v>5</v>
      </c>
      <c r="G22" s="35">
        <v>0</v>
      </c>
      <c r="H22" s="35">
        <v>1</v>
      </c>
      <c r="I22" s="35">
        <v>7</v>
      </c>
      <c r="J22" s="35">
        <v>2</v>
      </c>
      <c r="K22" s="35">
        <v>5</v>
      </c>
      <c r="L22" s="45">
        <f t="shared" si="1"/>
        <v>46</v>
      </c>
      <c r="M22" s="35">
        <f t="shared" si="2"/>
        <v>4.5999999999999996</v>
      </c>
      <c r="N22" s="35">
        <f>(L22/(L22+'Marketable Yield'!L22))*100</f>
        <v>71.875</v>
      </c>
      <c r="O22" s="35"/>
      <c r="P22" s="35"/>
      <c r="Q22" s="35">
        <v>3</v>
      </c>
      <c r="R22" s="35">
        <v>11.2</v>
      </c>
      <c r="S22" s="35">
        <v>3.9</v>
      </c>
      <c r="T22" s="35">
        <v>2.08</v>
      </c>
      <c r="U22" s="35">
        <v>3.1</v>
      </c>
      <c r="V22" s="35">
        <v>0</v>
      </c>
      <c r="W22" s="35">
        <v>0.5</v>
      </c>
      <c r="X22" s="35">
        <v>4</v>
      </c>
      <c r="Y22" s="35">
        <v>0.9</v>
      </c>
      <c r="Z22" s="35">
        <v>1.75</v>
      </c>
      <c r="AA22" s="45">
        <f t="shared" si="3"/>
        <v>30.43</v>
      </c>
      <c r="AB22" s="35">
        <f t="shared" si="4"/>
        <v>3.0430000000000001</v>
      </c>
      <c r="AC22" s="35">
        <f>(AA22/(AA22+'Marketable Yield'!AA22))*100</f>
        <v>76.669186192995724</v>
      </c>
      <c r="AD22" s="35"/>
      <c r="AE22" s="35"/>
      <c r="AF22" s="35">
        <f t="shared" si="5"/>
        <v>16</v>
      </c>
      <c r="AG22" s="35">
        <f t="shared" si="6"/>
        <v>14.933333333333332</v>
      </c>
      <c r="AH22" s="35">
        <f t="shared" si="7"/>
        <v>12.48</v>
      </c>
      <c r="AI22" s="35">
        <f t="shared" si="9"/>
        <v>5.5466666666666669</v>
      </c>
      <c r="AJ22" s="35">
        <f t="shared" si="10"/>
        <v>9.92</v>
      </c>
      <c r="AK22" s="35" t="s">
        <v>230</v>
      </c>
      <c r="AL22" s="35">
        <f t="shared" ref="AL22:AL67" si="15">(W22/H22)*16</f>
        <v>8</v>
      </c>
      <c r="AM22" s="35">
        <f t="shared" si="12"/>
        <v>9.1428571428571423</v>
      </c>
      <c r="AN22" s="35">
        <f t="shared" si="13"/>
        <v>7.2</v>
      </c>
      <c r="AO22" s="35">
        <f t="shared" si="14"/>
        <v>5.6</v>
      </c>
      <c r="AP22" s="45">
        <f t="shared" si="8"/>
        <v>9.8692063492063475</v>
      </c>
    </row>
    <row r="23" spans="1:42" x14ac:dyDescent="0.25">
      <c r="A23" t="s">
        <v>20</v>
      </c>
      <c r="B23" s="35">
        <v>6</v>
      </c>
      <c r="C23" s="35">
        <v>8</v>
      </c>
      <c r="D23" s="35">
        <v>4</v>
      </c>
      <c r="E23" s="35">
        <v>8</v>
      </c>
      <c r="F23" s="35">
        <v>3</v>
      </c>
      <c r="G23" s="35">
        <v>1</v>
      </c>
      <c r="H23" s="35">
        <v>0</v>
      </c>
      <c r="I23" s="35">
        <v>2</v>
      </c>
      <c r="J23" s="35">
        <v>0</v>
      </c>
      <c r="K23" s="35">
        <v>2</v>
      </c>
      <c r="L23" s="45">
        <f t="shared" si="1"/>
        <v>34</v>
      </c>
      <c r="M23" s="35">
        <f t="shared" si="2"/>
        <v>3.4</v>
      </c>
      <c r="N23" s="35">
        <f>(L23/(L23+'Marketable Yield'!L23))*100</f>
        <v>58.620689655172406</v>
      </c>
      <c r="O23" s="35"/>
      <c r="P23" s="35"/>
      <c r="Q23" s="35">
        <v>4.4000000000000004</v>
      </c>
      <c r="R23" s="35">
        <v>8.15</v>
      </c>
      <c r="S23" s="35">
        <v>3.35</v>
      </c>
      <c r="T23" s="35">
        <v>2.76</v>
      </c>
      <c r="U23" s="35">
        <v>2.35</v>
      </c>
      <c r="V23" s="35">
        <v>0.7</v>
      </c>
      <c r="W23" s="35">
        <v>0</v>
      </c>
      <c r="X23" s="35">
        <v>1.25</v>
      </c>
      <c r="Y23" s="35">
        <v>0</v>
      </c>
      <c r="Z23" s="35">
        <v>0.8</v>
      </c>
      <c r="AA23" s="45">
        <f t="shared" si="3"/>
        <v>23.76</v>
      </c>
      <c r="AB23" s="35">
        <f t="shared" si="4"/>
        <v>2.3760000000000003</v>
      </c>
      <c r="AC23" s="35">
        <f>(AA23/(AA23+'Marketable Yield'!AA23))*100</f>
        <v>63.191489361702125</v>
      </c>
      <c r="AD23" s="35"/>
      <c r="AE23" s="35"/>
      <c r="AF23" s="35">
        <f t="shared" si="5"/>
        <v>11.733333333333334</v>
      </c>
      <c r="AG23" s="35">
        <f t="shared" si="6"/>
        <v>16.3</v>
      </c>
      <c r="AH23" s="35">
        <f t="shared" si="7"/>
        <v>13.4</v>
      </c>
      <c r="AI23" s="35">
        <f t="shared" si="9"/>
        <v>5.52</v>
      </c>
      <c r="AJ23" s="35">
        <f t="shared" si="10"/>
        <v>12.533333333333333</v>
      </c>
      <c r="AK23" s="35">
        <f t="shared" si="11"/>
        <v>11.2</v>
      </c>
      <c r="AL23" s="35" t="s">
        <v>230</v>
      </c>
      <c r="AM23" s="35">
        <f t="shared" si="12"/>
        <v>10</v>
      </c>
      <c r="AN23" s="35" t="s">
        <v>230</v>
      </c>
      <c r="AO23" s="35">
        <f t="shared" si="14"/>
        <v>6.4</v>
      </c>
      <c r="AP23" s="45">
        <f t="shared" si="8"/>
        <v>10.885833333333334</v>
      </c>
    </row>
    <row r="24" spans="1:42" x14ac:dyDescent="0.25">
      <c r="A24" t="s">
        <v>21</v>
      </c>
      <c r="B24" s="35">
        <v>0</v>
      </c>
      <c r="C24" s="35">
        <v>7</v>
      </c>
      <c r="D24" s="35">
        <v>2</v>
      </c>
      <c r="E24" s="35">
        <v>9</v>
      </c>
      <c r="F24" s="35">
        <v>4</v>
      </c>
      <c r="G24" s="35">
        <v>0</v>
      </c>
      <c r="H24" s="35">
        <v>1</v>
      </c>
      <c r="I24" s="35">
        <v>2</v>
      </c>
      <c r="J24" s="35">
        <v>9</v>
      </c>
      <c r="K24" s="35">
        <v>7</v>
      </c>
      <c r="L24" s="45">
        <f t="shared" si="1"/>
        <v>41</v>
      </c>
      <c r="M24" s="35">
        <f t="shared" si="2"/>
        <v>4.0999999999999996</v>
      </c>
      <c r="N24" s="35">
        <f>(L24/(L24+'Marketable Yield'!L24))*100</f>
        <v>41.414141414141412</v>
      </c>
      <c r="O24" s="35"/>
      <c r="P24" s="35"/>
      <c r="Q24" s="35">
        <v>0</v>
      </c>
      <c r="R24" s="35">
        <v>6.25</v>
      </c>
      <c r="S24" s="35">
        <v>1.3</v>
      </c>
      <c r="T24" s="35">
        <v>2.58</v>
      </c>
      <c r="U24" s="35">
        <v>1.85</v>
      </c>
      <c r="V24" s="35">
        <v>0</v>
      </c>
      <c r="W24" s="35">
        <v>0.5</v>
      </c>
      <c r="X24" s="35">
        <v>0.9</v>
      </c>
      <c r="Y24" s="35">
        <v>3.6</v>
      </c>
      <c r="Z24" s="35">
        <v>1.8</v>
      </c>
      <c r="AA24" s="45">
        <f t="shared" si="3"/>
        <v>18.78</v>
      </c>
      <c r="AB24" s="35">
        <f t="shared" si="4"/>
        <v>1.8780000000000001</v>
      </c>
      <c r="AC24" s="35">
        <f>(AA24/(AA24+'Marketable Yield'!AA24))*100</f>
        <v>46.531219028741333</v>
      </c>
      <c r="AD24" s="35"/>
      <c r="AE24" s="35"/>
      <c r="AF24" s="35" t="s">
        <v>230</v>
      </c>
      <c r="AG24" s="35">
        <f t="shared" si="6"/>
        <v>14.285714285714286</v>
      </c>
      <c r="AH24" s="35">
        <f t="shared" si="7"/>
        <v>10.4</v>
      </c>
      <c r="AI24" s="35">
        <f t="shared" si="9"/>
        <v>4.5866666666666669</v>
      </c>
      <c r="AJ24" s="35">
        <f t="shared" si="10"/>
        <v>7.4</v>
      </c>
      <c r="AK24" s="35" t="s">
        <v>230</v>
      </c>
      <c r="AL24" s="35">
        <f t="shared" si="15"/>
        <v>8</v>
      </c>
      <c r="AM24" s="35">
        <f t="shared" si="12"/>
        <v>7.2</v>
      </c>
      <c r="AN24" s="35">
        <f t="shared" si="13"/>
        <v>6.4</v>
      </c>
      <c r="AO24" s="35">
        <f t="shared" si="14"/>
        <v>4.1142857142857148</v>
      </c>
      <c r="AP24" s="45">
        <f t="shared" si="8"/>
        <v>7.7983333333333338</v>
      </c>
    </row>
    <row r="25" spans="1:42" x14ac:dyDescent="0.25">
      <c r="A25" t="s">
        <v>28</v>
      </c>
      <c r="B25" s="35" t="s">
        <v>230</v>
      </c>
      <c r="C25" s="35">
        <v>7</v>
      </c>
      <c r="D25" s="35">
        <v>2</v>
      </c>
      <c r="E25" s="35">
        <v>12</v>
      </c>
      <c r="F25" s="35">
        <v>5</v>
      </c>
      <c r="G25" s="35">
        <v>0</v>
      </c>
      <c r="H25" s="35">
        <v>1</v>
      </c>
      <c r="I25" s="35">
        <v>0</v>
      </c>
      <c r="J25" s="35">
        <v>4</v>
      </c>
      <c r="K25" s="35">
        <v>3</v>
      </c>
      <c r="L25" s="45">
        <f t="shared" si="1"/>
        <v>34</v>
      </c>
      <c r="M25" s="35">
        <f t="shared" si="2"/>
        <v>3.7777777777777777</v>
      </c>
      <c r="N25" s="35">
        <f>(L25/(L25+'Marketable Yield'!L25))*100</f>
        <v>56.666666666666664</v>
      </c>
      <c r="O25" s="35"/>
      <c r="P25" s="35"/>
      <c r="Q25" s="35" t="s">
        <v>230</v>
      </c>
      <c r="R25" s="35">
        <v>5.5</v>
      </c>
      <c r="S25" s="35">
        <v>1.85</v>
      </c>
      <c r="T25" s="35">
        <v>4.12</v>
      </c>
      <c r="U25" s="35">
        <v>2.8</v>
      </c>
      <c r="V25" s="35">
        <v>0</v>
      </c>
      <c r="W25" s="35">
        <v>0.15</v>
      </c>
      <c r="X25" s="35">
        <v>0</v>
      </c>
      <c r="Y25" s="35">
        <v>1.45</v>
      </c>
      <c r="Z25" s="35">
        <v>0.85</v>
      </c>
      <c r="AA25" s="45">
        <f t="shared" si="3"/>
        <v>16.72</v>
      </c>
      <c r="AB25" s="35">
        <f t="shared" si="4"/>
        <v>1.8577777777777778</v>
      </c>
      <c r="AC25" s="35">
        <f>(AA25/(AA25+'Marketable Yield'!AA25))*100</f>
        <v>58.156521739130426</v>
      </c>
      <c r="AD25" s="35"/>
      <c r="AE25" s="35"/>
      <c r="AF25" s="35" t="s">
        <v>230</v>
      </c>
      <c r="AG25" s="35">
        <f t="shared" si="6"/>
        <v>12.571428571428571</v>
      </c>
      <c r="AH25" s="35">
        <f t="shared" si="7"/>
        <v>14.8</v>
      </c>
      <c r="AI25" s="35">
        <f t="shared" si="9"/>
        <v>5.4933333333333332</v>
      </c>
      <c r="AJ25" s="35">
        <f t="shared" si="10"/>
        <v>8.9599999999999991</v>
      </c>
      <c r="AK25" s="35" t="s">
        <v>230</v>
      </c>
      <c r="AL25" s="35">
        <f t="shared" si="15"/>
        <v>2.4</v>
      </c>
      <c r="AM25" s="35" t="s">
        <v>230</v>
      </c>
      <c r="AN25" s="35">
        <f t="shared" si="13"/>
        <v>5.8</v>
      </c>
      <c r="AO25" s="35">
        <f t="shared" si="14"/>
        <v>4.5333333333333332</v>
      </c>
      <c r="AP25" s="45">
        <f t="shared" si="8"/>
        <v>7.794013605442176</v>
      </c>
    </row>
    <row r="26" spans="1:42" x14ac:dyDescent="0.25">
      <c r="A26" t="s">
        <v>29</v>
      </c>
      <c r="B26" s="35">
        <v>2</v>
      </c>
      <c r="C26" s="35">
        <v>8</v>
      </c>
      <c r="D26" s="35">
        <v>1</v>
      </c>
      <c r="E26" s="35">
        <v>13</v>
      </c>
      <c r="F26" s="35">
        <v>3</v>
      </c>
      <c r="G26" s="35">
        <v>2</v>
      </c>
      <c r="H26" s="35">
        <v>0</v>
      </c>
      <c r="I26" s="35">
        <v>2</v>
      </c>
      <c r="J26" s="35">
        <v>4</v>
      </c>
      <c r="K26" s="35">
        <v>6</v>
      </c>
      <c r="L26" s="45">
        <f t="shared" si="1"/>
        <v>41</v>
      </c>
      <c r="M26" s="35">
        <f t="shared" si="2"/>
        <v>4.0999999999999996</v>
      </c>
      <c r="N26" s="35">
        <f>(L26/(L26+'Marketable Yield'!L26))*100</f>
        <v>62.121212121212125</v>
      </c>
      <c r="O26" s="35"/>
      <c r="P26" s="35"/>
      <c r="Q26" s="35">
        <v>1.4</v>
      </c>
      <c r="R26" s="35">
        <v>6.9</v>
      </c>
      <c r="S26" s="35">
        <v>1</v>
      </c>
      <c r="T26" s="35">
        <v>4.66</v>
      </c>
      <c r="U26" s="35">
        <v>2.25</v>
      </c>
      <c r="V26" s="35">
        <v>1.1000000000000001</v>
      </c>
      <c r="W26" s="35">
        <v>0</v>
      </c>
      <c r="X26" s="35">
        <v>1.55</v>
      </c>
      <c r="Y26" s="35">
        <v>1.5</v>
      </c>
      <c r="Z26" s="35">
        <v>2.0499999999999998</v>
      </c>
      <c r="AA26" s="45">
        <f t="shared" si="3"/>
        <v>22.410000000000004</v>
      </c>
      <c r="AB26" s="35">
        <f t="shared" si="4"/>
        <v>2.2410000000000005</v>
      </c>
      <c r="AC26" s="35">
        <f>(AA26/(AA26+'Marketable Yield'!AA26))*100</f>
        <v>64.285714285714306</v>
      </c>
      <c r="AD26" s="35"/>
      <c r="AE26" s="35"/>
      <c r="AF26" s="35">
        <f t="shared" si="5"/>
        <v>11.2</v>
      </c>
      <c r="AG26" s="35">
        <f t="shared" si="6"/>
        <v>13.8</v>
      </c>
      <c r="AH26" s="35">
        <f t="shared" si="7"/>
        <v>16</v>
      </c>
      <c r="AI26" s="35">
        <f t="shared" si="9"/>
        <v>5.735384615384616</v>
      </c>
      <c r="AJ26" s="35">
        <f t="shared" si="10"/>
        <v>12</v>
      </c>
      <c r="AK26" s="35">
        <f t="shared" si="11"/>
        <v>8.8000000000000007</v>
      </c>
      <c r="AL26" s="35" t="s">
        <v>230</v>
      </c>
      <c r="AM26" s="35">
        <f t="shared" si="12"/>
        <v>12.4</v>
      </c>
      <c r="AN26" s="35">
        <f t="shared" si="13"/>
        <v>6</v>
      </c>
      <c r="AO26" s="35">
        <f t="shared" si="14"/>
        <v>5.4666666666666659</v>
      </c>
      <c r="AP26" s="45">
        <f t="shared" si="8"/>
        <v>10.155783475783476</v>
      </c>
    </row>
    <row r="27" spans="1:42" x14ac:dyDescent="0.25">
      <c r="A27" t="s">
        <v>30</v>
      </c>
      <c r="B27" s="35" t="s">
        <v>230</v>
      </c>
      <c r="C27" s="35">
        <v>8</v>
      </c>
      <c r="D27" s="35">
        <v>2</v>
      </c>
      <c r="E27" s="35">
        <v>2</v>
      </c>
      <c r="F27" s="35">
        <v>3</v>
      </c>
      <c r="G27" s="35">
        <v>4</v>
      </c>
      <c r="H27" s="35">
        <v>1</v>
      </c>
      <c r="I27" s="35">
        <v>3</v>
      </c>
      <c r="J27" s="35">
        <v>12</v>
      </c>
      <c r="K27" s="35">
        <v>8</v>
      </c>
      <c r="L27" s="45">
        <f t="shared" si="1"/>
        <v>43</v>
      </c>
      <c r="M27" s="35">
        <f t="shared" si="2"/>
        <v>4.7777777777777777</v>
      </c>
      <c r="N27" s="35">
        <f>(L27/(L27+'Marketable Yield'!L27))*100</f>
        <v>67.1875</v>
      </c>
      <c r="O27" s="35"/>
      <c r="P27" s="35"/>
      <c r="Q27" s="35" t="s">
        <v>230</v>
      </c>
      <c r="R27" s="35">
        <v>5.45</v>
      </c>
      <c r="S27" s="35">
        <v>1.2</v>
      </c>
      <c r="T27" s="35">
        <v>0.52</v>
      </c>
      <c r="U27" s="35">
        <v>1.55</v>
      </c>
      <c r="V27" s="35">
        <v>1.55</v>
      </c>
      <c r="W27" s="35">
        <v>0.45</v>
      </c>
      <c r="X27" s="35">
        <v>1.45</v>
      </c>
      <c r="Y27" s="35">
        <v>4</v>
      </c>
      <c r="Z27" s="35">
        <v>3</v>
      </c>
      <c r="AA27" s="45">
        <f t="shared" si="3"/>
        <v>19.170000000000002</v>
      </c>
      <c r="AB27" s="35">
        <f t="shared" si="4"/>
        <v>2.1300000000000003</v>
      </c>
      <c r="AC27" s="35">
        <f>(AA27/(AA27+'Marketable Yield'!AA27))*100</f>
        <v>66.747910863509759</v>
      </c>
      <c r="AD27" s="35"/>
      <c r="AE27" s="35"/>
      <c r="AF27" s="35" t="s">
        <v>230</v>
      </c>
      <c r="AG27" s="35">
        <f t="shared" si="6"/>
        <v>10.9</v>
      </c>
      <c r="AH27" s="35">
        <f t="shared" si="7"/>
        <v>9.6</v>
      </c>
      <c r="AI27" s="35">
        <f t="shared" si="9"/>
        <v>4.16</v>
      </c>
      <c r="AJ27" s="35">
        <f t="shared" si="10"/>
        <v>8.2666666666666675</v>
      </c>
      <c r="AK27" s="35">
        <f t="shared" si="11"/>
        <v>6.2</v>
      </c>
      <c r="AL27" s="35">
        <f t="shared" si="15"/>
        <v>7.2</v>
      </c>
      <c r="AM27" s="35">
        <f t="shared" si="12"/>
        <v>7.7333333333333334</v>
      </c>
      <c r="AN27" s="35">
        <f t="shared" si="13"/>
        <v>5.333333333333333</v>
      </c>
      <c r="AO27" s="35">
        <f t="shared" si="14"/>
        <v>6</v>
      </c>
      <c r="AP27" s="45">
        <f t="shared" si="8"/>
        <v>7.2659259259259272</v>
      </c>
    </row>
    <row r="28" spans="1:42" x14ac:dyDescent="0.25">
      <c r="A28" t="s">
        <v>31</v>
      </c>
      <c r="B28" s="35">
        <v>1</v>
      </c>
      <c r="C28" s="35">
        <v>10</v>
      </c>
      <c r="D28" s="35">
        <v>2</v>
      </c>
      <c r="E28" s="35">
        <v>7</v>
      </c>
      <c r="F28" s="35">
        <v>2</v>
      </c>
      <c r="G28" s="35">
        <v>0</v>
      </c>
      <c r="H28" s="35">
        <v>0</v>
      </c>
      <c r="I28" s="35">
        <v>6</v>
      </c>
      <c r="J28" s="35">
        <v>8</v>
      </c>
      <c r="K28" s="35">
        <v>5</v>
      </c>
      <c r="L28" s="45">
        <f t="shared" si="1"/>
        <v>41</v>
      </c>
      <c r="M28" s="35">
        <f t="shared" si="2"/>
        <v>4.0999999999999996</v>
      </c>
      <c r="N28" s="35">
        <f>(L28/(L28+'Marketable Yield'!L28))*100</f>
        <v>37.272727272727273</v>
      </c>
      <c r="O28" s="35"/>
      <c r="P28" s="35"/>
      <c r="Q28" s="35">
        <v>1.25</v>
      </c>
      <c r="R28" s="35">
        <v>7.65</v>
      </c>
      <c r="S28" s="35">
        <v>1.4</v>
      </c>
      <c r="T28" s="35">
        <v>1.75</v>
      </c>
      <c r="U28" s="35">
        <v>1.1000000000000001</v>
      </c>
      <c r="V28" s="35">
        <v>0</v>
      </c>
      <c r="W28" s="35">
        <v>0</v>
      </c>
      <c r="X28" s="35">
        <v>2.2999999999999998</v>
      </c>
      <c r="Y28" s="35">
        <v>2.9</v>
      </c>
      <c r="Z28" s="35">
        <v>1.45</v>
      </c>
      <c r="AA28" s="45">
        <f t="shared" si="3"/>
        <v>19.799999999999997</v>
      </c>
      <c r="AB28" s="35">
        <f t="shared" si="4"/>
        <v>1.9799999999999998</v>
      </c>
      <c r="AC28" s="35">
        <f>(AA28/(AA28+'Marketable Yield'!AA28))*100</f>
        <v>40.080971659919022</v>
      </c>
      <c r="AD28" s="35"/>
      <c r="AE28" s="35"/>
      <c r="AF28" s="35">
        <f t="shared" si="5"/>
        <v>20</v>
      </c>
      <c r="AG28" s="35">
        <f t="shared" si="6"/>
        <v>12.24</v>
      </c>
      <c r="AH28" s="35">
        <f t="shared" si="7"/>
        <v>11.2</v>
      </c>
      <c r="AI28" s="35">
        <f t="shared" si="9"/>
        <v>4</v>
      </c>
      <c r="AJ28" s="35">
        <f t="shared" si="10"/>
        <v>8.8000000000000007</v>
      </c>
      <c r="AK28" s="35" t="s">
        <v>230</v>
      </c>
      <c r="AL28" s="35" t="s">
        <v>230</v>
      </c>
      <c r="AM28" s="35">
        <f t="shared" si="12"/>
        <v>6.1333333333333329</v>
      </c>
      <c r="AN28" s="35">
        <f t="shared" si="13"/>
        <v>5.8</v>
      </c>
      <c r="AO28" s="35">
        <f t="shared" si="14"/>
        <v>4.6399999999999997</v>
      </c>
      <c r="AP28" s="45">
        <f t="shared" si="8"/>
        <v>9.1016666666666666</v>
      </c>
    </row>
    <row r="29" spans="1:42" x14ac:dyDescent="0.25">
      <c r="A29" t="s">
        <v>32</v>
      </c>
      <c r="B29" s="35" t="s">
        <v>230</v>
      </c>
      <c r="C29" s="35">
        <v>12</v>
      </c>
      <c r="D29" s="35">
        <v>6</v>
      </c>
      <c r="E29" s="35">
        <v>15</v>
      </c>
      <c r="F29" s="35">
        <v>0</v>
      </c>
      <c r="G29" s="35">
        <v>1</v>
      </c>
      <c r="H29" s="35">
        <v>1</v>
      </c>
      <c r="I29" s="35">
        <v>6</v>
      </c>
      <c r="J29" s="35">
        <v>7</v>
      </c>
      <c r="K29" s="35">
        <v>25</v>
      </c>
      <c r="L29" s="45">
        <f t="shared" si="1"/>
        <v>73</v>
      </c>
      <c r="M29" s="35">
        <f t="shared" si="2"/>
        <v>8.1111111111111107</v>
      </c>
      <c r="N29" s="35">
        <f>(L29/(L29+'Marketable Yield'!L29))*100</f>
        <v>96.05263157894737</v>
      </c>
      <c r="O29" s="35"/>
      <c r="P29" s="35"/>
      <c r="Q29" s="35" t="s">
        <v>230</v>
      </c>
      <c r="R29" s="35">
        <v>8.9</v>
      </c>
      <c r="S29" s="35">
        <v>5</v>
      </c>
      <c r="T29" s="35">
        <v>4.8</v>
      </c>
      <c r="U29" s="35">
        <v>0</v>
      </c>
      <c r="V29" s="35">
        <v>0.55000000000000004</v>
      </c>
      <c r="W29" s="35">
        <v>0.6</v>
      </c>
      <c r="X29" s="35">
        <v>3.5</v>
      </c>
      <c r="Y29" s="35">
        <v>2.85</v>
      </c>
      <c r="Z29" s="35">
        <v>9</v>
      </c>
      <c r="AA29" s="45">
        <f t="shared" si="3"/>
        <v>35.200000000000003</v>
      </c>
      <c r="AB29" s="35">
        <f t="shared" si="4"/>
        <v>3.9111111111111114</v>
      </c>
      <c r="AC29" s="35">
        <f>(AA29/(AA29+'Marketable Yield'!AA29))*100</f>
        <v>92.875989445910278</v>
      </c>
      <c r="AD29" s="35"/>
      <c r="AE29" s="35"/>
      <c r="AF29" s="35" t="s">
        <v>230</v>
      </c>
      <c r="AG29" s="35">
        <f t="shared" si="6"/>
        <v>11.866666666666667</v>
      </c>
      <c r="AH29" s="35">
        <f t="shared" si="7"/>
        <v>13.333333333333334</v>
      </c>
      <c r="AI29" s="35">
        <f t="shared" si="9"/>
        <v>5.12</v>
      </c>
      <c r="AJ29" s="35" t="s">
        <v>230</v>
      </c>
      <c r="AK29" s="35">
        <f t="shared" si="11"/>
        <v>8.8000000000000007</v>
      </c>
      <c r="AL29" s="35">
        <f t="shared" si="15"/>
        <v>9.6</v>
      </c>
      <c r="AM29" s="35">
        <f t="shared" si="12"/>
        <v>9.3333333333333339</v>
      </c>
      <c r="AN29" s="35">
        <f t="shared" si="13"/>
        <v>6.5142857142857142</v>
      </c>
      <c r="AO29" s="35">
        <f t="shared" si="14"/>
        <v>5.76</v>
      </c>
      <c r="AP29" s="45">
        <f t="shared" si="8"/>
        <v>8.7909523809523833</v>
      </c>
    </row>
    <row r="30" spans="1:42" x14ac:dyDescent="0.25">
      <c r="A30" t="s">
        <v>33</v>
      </c>
      <c r="B30" s="35" t="s">
        <v>230</v>
      </c>
      <c r="C30" s="35">
        <v>7</v>
      </c>
      <c r="D30" s="35">
        <v>2</v>
      </c>
      <c r="E30" s="35">
        <v>9</v>
      </c>
      <c r="F30" s="35">
        <v>33</v>
      </c>
      <c r="G30" s="35">
        <v>1</v>
      </c>
      <c r="H30" s="35">
        <v>1</v>
      </c>
      <c r="I30" s="35">
        <v>10</v>
      </c>
      <c r="J30" s="35">
        <v>6</v>
      </c>
      <c r="K30" s="35">
        <v>3</v>
      </c>
      <c r="L30" s="45">
        <f t="shared" si="1"/>
        <v>72</v>
      </c>
      <c r="M30" s="35">
        <f t="shared" si="2"/>
        <v>8</v>
      </c>
      <c r="N30" s="35">
        <f>(L30/(L30+'Marketable Yield'!L30))*100</f>
        <v>65.454545454545453</v>
      </c>
      <c r="O30" s="35"/>
      <c r="P30" s="35"/>
      <c r="Q30" s="35" t="s">
        <v>230</v>
      </c>
      <c r="R30" s="35">
        <v>6.35</v>
      </c>
      <c r="S30" s="35">
        <v>1.9</v>
      </c>
      <c r="T30" s="35">
        <v>6.5</v>
      </c>
      <c r="U30" s="35">
        <v>0</v>
      </c>
      <c r="V30" s="35">
        <v>0.65</v>
      </c>
      <c r="W30" s="35">
        <v>0.2</v>
      </c>
      <c r="X30" s="35">
        <v>4.25</v>
      </c>
      <c r="Y30" s="35">
        <v>2.6</v>
      </c>
      <c r="Z30" s="35">
        <v>1.2</v>
      </c>
      <c r="AA30" s="45">
        <f t="shared" si="3"/>
        <v>23.650000000000002</v>
      </c>
      <c r="AB30" s="35">
        <f t="shared" si="4"/>
        <v>2.6277777777777782</v>
      </c>
      <c r="AC30" s="35">
        <f>(AA30/(AA30+'Marketable Yield'!AA30))*100</f>
        <v>57.125603864734295</v>
      </c>
      <c r="AD30" s="35"/>
      <c r="AE30" s="35"/>
      <c r="AF30" s="35" t="s">
        <v>230</v>
      </c>
      <c r="AG30" s="35">
        <f t="shared" si="6"/>
        <v>14.514285714285714</v>
      </c>
      <c r="AH30" s="35">
        <f t="shared" si="7"/>
        <v>15.2</v>
      </c>
      <c r="AI30" s="35">
        <f t="shared" si="9"/>
        <v>11.555555555555555</v>
      </c>
      <c r="AJ30" s="35">
        <f t="shared" si="10"/>
        <v>0</v>
      </c>
      <c r="AK30" s="35">
        <f t="shared" si="11"/>
        <v>10.4</v>
      </c>
      <c r="AL30" s="35">
        <f t="shared" si="15"/>
        <v>3.2</v>
      </c>
      <c r="AM30" s="35">
        <f t="shared" si="12"/>
        <v>6.8</v>
      </c>
      <c r="AN30" s="35">
        <f t="shared" si="13"/>
        <v>6.9333333333333336</v>
      </c>
      <c r="AO30" s="35">
        <f t="shared" si="14"/>
        <v>6.3999999999999995</v>
      </c>
      <c r="AP30" s="45">
        <f t="shared" si="8"/>
        <v>8.3336860670194017</v>
      </c>
    </row>
    <row r="31" spans="1:42" x14ac:dyDescent="0.25">
      <c r="A31" t="s">
        <v>34</v>
      </c>
      <c r="B31" s="35">
        <v>2</v>
      </c>
      <c r="C31" s="35">
        <v>5</v>
      </c>
      <c r="D31" s="35">
        <v>6</v>
      </c>
      <c r="E31" s="35">
        <v>15</v>
      </c>
      <c r="F31" s="35">
        <v>5</v>
      </c>
      <c r="G31" s="35">
        <v>2</v>
      </c>
      <c r="H31" s="35">
        <v>1</v>
      </c>
      <c r="I31" s="35">
        <v>4</v>
      </c>
      <c r="J31" s="35">
        <v>11</v>
      </c>
      <c r="K31" s="35">
        <v>4</v>
      </c>
      <c r="L31" s="45">
        <f t="shared" si="1"/>
        <v>55</v>
      </c>
      <c r="M31" s="35">
        <f t="shared" si="2"/>
        <v>5.5</v>
      </c>
      <c r="N31" s="35">
        <f>(L31/(L31+'Marketable Yield'!L31))*100</f>
        <v>87.301587301587304</v>
      </c>
      <c r="O31" s="35"/>
      <c r="P31" s="35"/>
      <c r="Q31" s="35">
        <v>2.1</v>
      </c>
      <c r="R31" s="35">
        <v>3.55</v>
      </c>
      <c r="S31" s="35">
        <v>5.25</v>
      </c>
      <c r="T31" s="35">
        <v>12.35</v>
      </c>
      <c r="U31" s="35">
        <v>2.4</v>
      </c>
      <c r="V31" s="35">
        <v>1.4</v>
      </c>
      <c r="W31" s="35">
        <v>0.4</v>
      </c>
      <c r="X31" s="35">
        <v>1.6</v>
      </c>
      <c r="Y31" s="35">
        <v>5</v>
      </c>
      <c r="Z31" s="35">
        <v>1.1000000000000001</v>
      </c>
      <c r="AA31" s="45">
        <f t="shared" si="3"/>
        <v>35.15</v>
      </c>
      <c r="AB31" s="35">
        <f t="shared" si="4"/>
        <v>3.5149999999999997</v>
      </c>
      <c r="AC31" s="35">
        <f>(AA31/(AA31+'Marketable Yield'!AA31))*100</f>
        <v>86.04651162790698</v>
      </c>
      <c r="AD31" s="35"/>
      <c r="AE31" s="35"/>
      <c r="AF31" s="35">
        <f t="shared" si="5"/>
        <v>16.8</v>
      </c>
      <c r="AG31" s="35">
        <f t="shared" si="6"/>
        <v>11.36</v>
      </c>
      <c r="AH31" s="35">
        <f t="shared" si="7"/>
        <v>14</v>
      </c>
      <c r="AI31" s="35">
        <f t="shared" si="9"/>
        <v>13.173333333333334</v>
      </c>
      <c r="AJ31" s="35">
        <f t="shared" si="10"/>
        <v>7.68</v>
      </c>
      <c r="AK31" s="35">
        <f t="shared" si="11"/>
        <v>11.2</v>
      </c>
      <c r="AL31" s="35">
        <f t="shared" si="15"/>
        <v>6.4</v>
      </c>
      <c r="AM31" s="35">
        <f t="shared" si="12"/>
        <v>6.4</v>
      </c>
      <c r="AN31" s="35">
        <f t="shared" si="13"/>
        <v>7.2727272727272725</v>
      </c>
      <c r="AO31" s="35">
        <f t="shared" si="14"/>
        <v>4.4000000000000004</v>
      </c>
      <c r="AP31" s="45">
        <f t="shared" si="8"/>
        <v>9.8686060606060604</v>
      </c>
    </row>
    <row r="32" spans="1:42" x14ac:dyDescent="0.25">
      <c r="A32" t="s">
        <v>35</v>
      </c>
      <c r="B32" s="35" t="s">
        <v>230</v>
      </c>
      <c r="C32" s="35">
        <v>6</v>
      </c>
      <c r="D32" s="35">
        <v>2</v>
      </c>
      <c r="E32" s="35">
        <v>12</v>
      </c>
      <c r="F32" s="35">
        <v>2</v>
      </c>
      <c r="G32" s="35">
        <v>0</v>
      </c>
      <c r="H32" s="35">
        <v>0</v>
      </c>
      <c r="I32" s="35">
        <v>0</v>
      </c>
      <c r="J32" s="35">
        <v>4</v>
      </c>
      <c r="K32" s="35">
        <v>9</v>
      </c>
      <c r="L32" s="45">
        <f t="shared" si="1"/>
        <v>35</v>
      </c>
      <c r="M32" s="35">
        <f t="shared" si="2"/>
        <v>3.8888888888888888</v>
      </c>
      <c r="N32" s="35">
        <f>(L32/(L32+'Marketable Yield'!L32))*100</f>
        <v>50</v>
      </c>
      <c r="O32" s="35"/>
      <c r="P32" s="35"/>
      <c r="Q32" s="35" t="s">
        <v>230</v>
      </c>
      <c r="R32" s="35">
        <v>6.85</v>
      </c>
      <c r="S32" s="35">
        <v>1.7</v>
      </c>
      <c r="T32" s="35">
        <v>8.4</v>
      </c>
      <c r="U32" s="35">
        <v>2.0499999999999998</v>
      </c>
      <c r="V32" s="35">
        <v>0</v>
      </c>
      <c r="W32" s="35">
        <v>0</v>
      </c>
      <c r="X32" s="35">
        <v>0</v>
      </c>
      <c r="Y32" s="35">
        <v>1.95</v>
      </c>
      <c r="Z32" s="35">
        <v>4.4000000000000004</v>
      </c>
      <c r="AA32" s="45">
        <f t="shared" si="3"/>
        <v>25.35</v>
      </c>
      <c r="AB32" s="35">
        <f t="shared" si="4"/>
        <v>2.8166666666666669</v>
      </c>
      <c r="AC32" s="35">
        <f>(AA32/(AA32+'Marketable Yield'!AA32))*100</f>
        <v>48.148148148148145</v>
      </c>
      <c r="AD32" s="35"/>
      <c r="AE32" s="35"/>
      <c r="AF32" s="35" t="s">
        <v>230</v>
      </c>
      <c r="AG32" s="35">
        <f t="shared" si="6"/>
        <v>18.266666666666666</v>
      </c>
      <c r="AH32" s="35">
        <f t="shared" si="7"/>
        <v>13.6</v>
      </c>
      <c r="AI32" s="35">
        <f t="shared" si="9"/>
        <v>11.200000000000001</v>
      </c>
      <c r="AJ32" s="35">
        <f t="shared" si="10"/>
        <v>16.399999999999999</v>
      </c>
      <c r="AK32" s="35" t="s">
        <v>230</v>
      </c>
      <c r="AL32" s="35" t="s">
        <v>230</v>
      </c>
      <c r="AM32" s="35" t="s">
        <v>230</v>
      </c>
      <c r="AN32" s="35">
        <f t="shared" si="13"/>
        <v>7.8</v>
      </c>
      <c r="AO32" s="35">
        <f t="shared" si="14"/>
        <v>7.8222222222222229</v>
      </c>
      <c r="AP32" s="45">
        <f t="shared" si="8"/>
        <v>12.514814814814814</v>
      </c>
    </row>
    <row r="33" spans="1:42" x14ac:dyDescent="0.25">
      <c r="A33" t="s">
        <v>36</v>
      </c>
      <c r="B33" s="35">
        <v>1</v>
      </c>
      <c r="C33" s="35">
        <v>5</v>
      </c>
      <c r="D33" s="35">
        <v>1</v>
      </c>
      <c r="E33" s="35">
        <v>15</v>
      </c>
      <c r="F33" s="35">
        <v>3</v>
      </c>
      <c r="G33" s="35">
        <v>0</v>
      </c>
      <c r="H33" s="35">
        <v>1</v>
      </c>
      <c r="I33" s="35">
        <v>1</v>
      </c>
      <c r="J33" s="35">
        <v>5</v>
      </c>
      <c r="K33" s="35">
        <v>5</v>
      </c>
      <c r="L33" s="45">
        <f t="shared" si="1"/>
        <v>37</v>
      </c>
      <c r="M33" s="35">
        <f t="shared" si="2"/>
        <v>3.7</v>
      </c>
      <c r="N33" s="35">
        <f>(L33/(L33+'Marketable Yield'!L33))*100</f>
        <v>39.784946236559136</v>
      </c>
      <c r="O33" s="35"/>
      <c r="P33" s="35"/>
      <c r="Q33" s="35">
        <v>0.5</v>
      </c>
      <c r="R33" s="35">
        <v>3.9</v>
      </c>
      <c r="S33" s="35">
        <v>0.5</v>
      </c>
      <c r="T33" s="35">
        <v>6.4</v>
      </c>
      <c r="U33" s="35">
        <v>1.75</v>
      </c>
      <c r="V33" s="35">
        <v>0</v>
      </c>
      <c r="W33" s="35">
        <v>0.4</v>
      </c>
      <c r="X33" s="35">
        <v>0.35</v>
      </c>
      <c r="Y33" s="35">
        <v>1.9</v>
      </c>
      <c r="Z33" s="35">
        <v>1.6</v>
      </c>
      <c r="AA33" s="45">
        <f t="shared" si="3"/>
        <v>17.3</v>
      </c>
      <c r="AB33" s="35">
        <f t="shared" si="4"/>
        <v>1.73</v>
      </c>
      <c r="AC33" s="35">
        <f>(AA33/(AA33+'Marketable Yield'!AA33))*100</f>
        <v>36.382754994742378</v>
      </c>
      <c r="AD33" s="35"/>
      <c r="AE33" s="35"/>
      <c r="AF33" s="35">
        <f t="shared" si="5"/>
        <v>8</v>
      </c>
      <c r="AG33" s="35">
        <f t="shared" si="6"/>
        <v>12.48</v>
      </c>
      <c r="AH33" s="35">
        <f t="shared" si="7"/>
        <v>8</v>
      </c>
      <c r="AI33" s="35">
        <f t="shared" si="9"/>
        <v>6.8266666666666671</v>
      </c>
      <c r="AJ33" s="35">
        <f t="shared" si="10"/>
        <v>9.3333333333333339</v>
      </c>
      <c r="AK33" s="35" t="s">
        <v>230</v>
      </c>
      <c r="AL33" s="35">
        <f t="shared" si="15"/>
        <v>6.4</v>
      </c>
      <c r="AM33" s="35">
        <f t="shared" si="12"/>
        <v>5.6</v>
      </c>
      <c r="AN33" s="35">
        <f t="shared" si="13"/>
        <v>6.08</v>
      </c>
      <c r="AO33" s="35">
        <f t="shared" si="14"/>
        <v>5.12</v>
      </c>
      <c r="AP33" s="45">
        <f t="shared" si="8"/>
        <v>7.5377777777777784</v>
      </c>
    </row>
    <row r="34" spans="1:42" x14ac:dyDescent="0.25">
      <c r="A34" t="s">
        <v>37</v>
      </c>
      <c r="B34" s="35">
        <v>2</v>
      </c>
      <c r="C34" s="35">
        <v>5</v>
      </c>
      <c r="D34" s="35">
        <v>1</v>
      </c>
      <c r="E34" s="35">
        <v>16</v>
      </c>
      <c r="F34" s="35">
        <v>6</v>
      </c>
      <c r="G34" s="35">
        <v>0</v>
      </c>
      <c r="H34" s="35">
        <v>2</v>
      </c>
      <c r="I34" s="35">
        <v>25</v>
      </c>
      <c r="J34" s="35">
        <v>27</v>
      </c>
      <c r="K34" s="35">
        <v>9</v>
      </c>
      <c r="L34" s="45">
        <f t="shared" si="1"/>
        <v>93</v>
      </c>
      <c r="M34" s="35">
        <f t="shared" si="2"/>
        <v>9.3000000000000007</v>
      </c>
      <c r="N34" s="35">
        <f>(L34/(L34+'Marketable Yield'!L34))*100</f>
        <v>41.333333333333336</v>
      </c>
      <c r="O34" s="35"/>
      <c r="P34" s="35"/>
      <c r="Q34" s="35">
        <v>1</v>
      </c>
      <c r="R34" s="35">
        <v>2.4500000000000002</v>
      </c>
      <c r="S34" s="35">
        <v>0.5</v>
      </c>
      <c r="T34" s="35">
        <v>5.4</v>
      </c>
      <c r="U34" s="35">
        <v>2.0499999999999998</v>
      </c>
      <c r="V34" s="35">
        <v>0</v>
      </c>
      <c r="W34" s="35">
        <v>0.55000000000000004</v>
      </c>
      <c r="X34" s="35">
        <v>5.3</v>
      </c>
      <c r="Y34" s="35">
        <v>5</v>
      </c>
      <c r="Z34" s="35">
        <v>1.35</v>
      </c>
      <c r="AA34" s="45">
        <f t="shared" si="3"/>
        <v>23.600000000000005</v>
      </c>
      <c r="AB34" s="35">
        <f t="shared" si="4"/>
        <v>2.3600000000000003</v>
      </c>
      <c r="AC34" s="35">
        <f>(AA34/(AA34+'Marketable Yield'!AA34))*100</f>
        <v>36.113236419280796</v>
      </c>
      <c r="AD34" s="35"/>
      <c r="AE34" s="35"/>
      <c r="AF34" s="35">
        <f t="shared" si="5"/>
        <v>8</v>
      </c>
      <c r="AG34" s="35">
        <f t="shared" si="6"/>
        <v>7.8400000000000007</v>
      </c>
      <c r="AH34" s="35">
        <f t="shared" si="7"/>
        <v>8</v>
      </c>
      <c r="AI34" s="35">
        <f t="shared" si="9"/>
        <v>5.4</v>
      </c>
      <c r="AJ34" s="35">
        <f t="shared" si="10"/>
        <v>5.4666666666666659</v>
      </c>
      <c r="AK34" s="35" t="s">
        <v>230</v>
      </c>
      <c r="AL34" s="35">
        <f t="shared" si="15"/>
        <v>4.4000000000000004</v>
      </c>
      <c r="AM34" s="35">
        <f t="shared" si="12"/>
        <v>3.3919999999999999</v>
      </c>
      <c r="AN34" s="35">
        <f t="shared" si="13"/>
        <v>2.9629629629629628</v>
      </c>
      <c r="AO34" s="35">
        <f t="shared" si="14"/>
        <v>2.4000000000000004</v>
      </c>
      <c r="AP34" s="45">
        <f t="shared" si="8"/>
        <v>5.3179588477366257</v>
      </c>
    </row>
    <row r="35" spans="1:42" x14ac:dyDescent="0.25">
      <c r="A35" t="s">
        <v>38</v>
      </c>
      <c r="B35" s="35">
        <v>7</v>
      </c>
      <c r="C35" s="35">
        <v>9</v>
      </c>
      <c r="D35" s="35">
        <v>1</v>
      </c>
      <c r="E35" s="35">
        <v>34</v>
      </c>
      <c r="F35" s="35">
        <v>3</v>
      </c>
      <c r="G35" s="35">
        <v>4</v>
      </c>
      <c r="H35" s="35">
        <v>21</v>
      </c>
      <c r="I35" s="35">
        <v>15</v>
      </c>
      <c r="J35" s="35">
        <v>24</v>
      </c>
      <c r="K35" s="35">
        <v>16</v>
      </c>
      <c r="L35" s="45">
        <f t="shared" si="1"/>
        <v>134</v>
      </c>
      <c r="M35" s="35">
        <f t="shared" si="2"/>
        <v>13.4</v>
      </c>
      <c r="N35" s="35">
        <f>(L35/(L35+'Marketable Yield'!L35))*100</f>
        <v>55.833333333333336</v>
      </c>
      <c r="O35" s="35"/>
      <c r="P35" s="35"/>
      <c r="Q35" s="35">
        <v>1.7</v>
      </c>
      <c r="R35" s="35">
        <v>2.6</v>
      </c>
      <c r="S35" s="35">
        <v>0.2</v>
      </c>
      <c r="T35" s="35">
        <v>6.5</v>
      </c>
      <c r="U35" s="35">
        <v>0.55000000000000004</v>
      </c>
      <c r="V35" s="35">
        <v>0.5</v>
      </c>
      <c r="W35" s="35">
        <v>1.9</v>
      </c>
      <c r="X35" s="35">
        <v>2</v>
      </c>
      <c r="Y35" s="35">
        <v>2.5499999999999998</v>
      </c>
      <c r="Z35" s="35">
        <v>1.1499999999999999</v>
      </c>
      <c r="AA35" s="45">
        <f t="shared" si="3"/>
        <v>19.649999999999999</v>
      </c>
      <c r="AB35" s="35">
        <f t="shared" si="4"/>
        <v>1.9649999999999999</v>
      </c>
      <c r="AC35" s="35">
        <f>(AA35/(AA35+'Marketable Yield'!AA35))*100</f>
        <v>47.752126366950186</v>
      </c>
      <c r="AD35" s="35"/>
      <c r="AE35" s="35"/>
      <c r="AF35" s="35">
        <f t="shared" si="5"/>
        <v>3.8857142857142857</v>
      </c>
      <c r="AG35" s="35">
        <f t="shared" si="6"/>
        <v>4.6222222222222227</v>
      </c>
      <c r="AH35" s="35">
        <f t="shared" si="7"/>
        <v>3.2</v>
      </c>
      <c r="AI35" s="35">
        <f t="shared" si="9"/>
        <v>3.0588235294117645</v>
      </c>
      <c r="AJ35" s="35">
        <f t="shared" si="10"/>
        <v>2.9333333333333336</v>
      </c>
      <c r="AK35" s="35">
        <f t="shared" si="11"/>
        <v>2</v>
      </c>
      <c r="AL35" s="35">
        <f t="shared" si="15"/>
        <v>1.4476190476190476</v>
      </c>
      <c r="AM35" s="35">
        <f t="shared" si="12"/>
        <v>2.1333333333333333</v>
      </c>
      <c r="AN35" s="35">
        <f t="shared" si="13"/>
        <v>1.7</v>
      </c>
      <c r="AO35" s="35">
        <f t="shared" si="14"/>
        <v>1.1499999999999999</v>
      </c>
      <c r="AP35" s="45">
        <f t="shared" si="8"/>
        <v>2.6131045751633986</v>
      </c>
    </row>
    <row r="36" spans="1:42" x14ac:dyDescent="0.25">
      <c r="A36" t="s">
        <v>39</v>
      </c>
      <c r="B36" s="35">
        <v>3</v>
      </c>
      <c r="C36" s="35">
        <v>11</v>
      </c>
      <c r="D36" s="35">
        <v>1</v>
      </c>
      <c r="E36" s="35">
        <v>22</v>
      </c>
      <c r="F36" s="35">
        <v>5</v>
      </c>
      <c r="G36" s="35">
        <v>4</v>
      </c>
      <c r="H36" s="35">
        <v>5</v>
      </c>
      <c r="I36" s="35">
        <v>25</v>
      </c>
      <c r="J36" s="35">
        <v>13</v>
      </c>
      <c r="K36" s="35">
        <v>42</v>
      </c>
      <c r="L36" s="45">
        <f t="shared" si="1"/>
        <v>131</v>
      </c>
      <c r="M36" s="35">
        <f t="shared" si="2"/>
        <v>13.1</v>
      </c>
      <c r="N36" s="35">
        <f>(L36/(L36+'Marketable Yield'!L36))*100</f>
        <v>58.222222222222221</v>
      </c>
      <c r="O36" s="35"/>
      <c r="P36" s="35"/>
      <c r="Q36" s="35">
        <v>1.3</v>
      </c>
      <c r="R36" s="35">
        <v>4.75</v>
      </c>
      <c r="S36" s="35">
        <v>0.35</v>
      </c>
      <c r="T36" s="35">
        <v>7.2</v>
      </c>
      <c r="U36" s="35">
        <v>1.55</v>
      </c>
      <c r="V36" s="35">
        <v>0.75</v>
      </c>
      <c r="W36" s="35">
        <v>1.05</v>
      </c>
      <c r="X36" s="35">
        <v>4.6500000000000004</v>
      </c>
      <c r="Y36" s="35">
        <v>2.65</v>
      </c>
      <c r="Z36" s="35">
        <v>6.2</v>
      </c>
      <c r="AA36" s="45">
        <f t="shared" si="3"/>
        <v>30.45</v>
      </c>
      <c r="AB36" s="35">
        <f t="shared" si="4"/>
        <v>3.0449999999999999</v>
      </c>
      <c r="AC36" s="35">
        <f>(AA36/(AA36+'Marketable Yield'!AA36))*100</f>
        <v>48.954983922829584</v>
      </c>
      <c r="AD36" s="35"/>
      <c r="AE36" s="35"/>
      <c r="AF36" s="35">
        <f t="shared" si="5"/>
        <v>6.9333333333333336</v>
      </c>
      <c r="AG36" s="35">
        <f t="shared" si="6"/>
        <v>6.9090909090909092</v>
      </c>
      <c r="AH36" s="35">
        <f t="shared" si="7"/>
        <v>5.6</v>
      </c>
      <c r="AI36" s="35">
        <f t="shared" si="9"/>
        <v>5.2363636363636363</v>
      </c>
      <c r="AJ36" s="35">
        <f t="shared" si="10"/>
        <v>4.96</v>
      </c>
      <c r="AK36" s="35">
        <f t="shared" si="11"/>
        <v>3</v>
      </c>
      <c r="AL36" s="35">
        <f t="shared" si="15"/>
        <v>3.3600000000000003</v>
      </c>
      <c r="AM36" s="35">
        <f t="shared" si="12"/>
        <v>2.9760000000000004</v>
      </c>
      <c r="AN36" s="35">
        <f t="shared" si="13"/>
        <v>3.2615384615384615</v>
      </c>
      <c r="AO36" s="35">
        <f t="shared" si="14"/>
        <v>2.361904761904762</v>
      </c>
      <c r="AP36" s="45">
        <f t="shared" si="8"/>
        <v>4.4598231102231107</v>
      </c>
    </row>
    <row r="37" spans="1:42" x14ac:dyDescent="0.25"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4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4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45"/>
    </row>
    <row r="38" spans="1:42" x14ac:dyDescent="0.25">
      <c r="A38" t="s">
        <v>50</v>
      </c>
      <c r="B38" s="35">
        <v>3</v>
      </c>
      <c r="C38" s="35">
        <v>6</v>
      </c>
      <c r="D38" s="35">
        <v>2</v>
      </c>
      <c r="E38" s="35">
        <v>7</v>
      </c>
      <c r="F38" s="35">
        <v>3</v>
      </c>
      <c r="G38" s="35">
        <v>0</v>
      </c>
      <c r="H38" s="35">
        <v>1</v>
      </c>
      <c r="I38" s="35">
        <v>2</v>
      </c>
      <c r="J38" s="35">
        <v>15</v>
      </c>
      <c r="K38" s="35">
        <v>28</v>
      </c>
      <c r="L38" s="45">
        <f t="shared" si="1"/>
        <v>67</v>
      </c>
      <c r="M38" s="35">
        <f t="shared" si="2"/>
        <v>6.7</v>
      </c>
      <c r="N38" s="35">
        <f>(L38/(L38+'Marketable Yield'!L38))*100</f>
        <v>90.540540540540533</v>
      </c>
      <c r="O38" s="35"/>
      <c r="P38" s="35"/>
      <c r="Q38" s="35">
        <v>2.5</v>
      </c>
      <c r="R38" s="35">
        <v>3.9</v>
      </c>
      <c r="S38" s="35">
        <v>1.5</v>
      </c>
      <c r="T38" s="35">
        <v>2.08</v>
      </c>
      <c r="U38" s="35">
        <v>1.5</v>
      </c>
      <c r="V38" s="35">
        <v>0</v>
      </c>
      <c r="W38" s="35">
        <v>0.55000000000000004</v>
      </c>
      <c r="X38" s="35">
        <v>1.35</v>
      </c>
      <c r="Y38" s="35">
        <v>8.1</v>
      </c>
      <c r="Z38" s="35">
        <v>14.1</v>
      </c>
      <c r="AA38" s="45">
        <f t="shared" si="3"/>
        <v>35.58</v>
      </c>
      <c r="AB38" s="35">
        <f t="shared" si="4"/>
        <v>3.5579999999999998</v>
      </c>
      <c r="AC38" s="35">
        <f>(AA38/(AA38+'Marketable Yield'!AA38))*100</f>
        <v>90.672782874617738</v>
      </c>
      <c r="AD38" s="35"/>
      <c r="AE38" s="35"/>
      <c r="AF38" s="35">
        <f t="shared" si="5"/>
        <v>13.333333333333334</v>
      </c>
      <c r="AG38" s="35">
        <f t="shared" si="6"/>
        <v>10.4</v>
      </c>
      <c r="AH38" s="35">
        <f t="shared" si="7"/>
        <v>12</v>
      </c>
      <c r="AI38" s="35">
        <f t="shared" si="9"/>
        <v>4.7542857142857144</v>
      </c>
      <c r="AJ38" s="35">
        <f t="shared" si="10"/>
        <v>8</v>
      </c>
      <c r="AK38" s="35" t="s">
        <v>230</v>
      </c>
      <c r="AL38" s="35">
        <f t="shared" si="15"/>
        <v>8.8000000000000007</v>
      </c>
      <c r="AM38" s="35">
        <f t="shared" si="12"/>
        <v>10.8</v>
      </c>
      <c r="AN38" s="35">
        <f t="shared" si="13"/>
        <v>8.6399999999999988</v>
      </c>
      <c r="AO38" s="35">
        <f t="shared" si="14"/>
        <v>8.0571428571428569</v>
      </c>
      <c r="AP38" s="45">
        <f t="shared" si="8"/>
        <v>9.4205291005290999</v>
      </c>
    </row>
    <row r="39" spans="1:42" x14ac:dyDescent="0.25">
      <c r="A39" t="s">
        <v>41</v>
      </c>
      <c r="B39" s="35">
        <v>0</v>
      </c>
      <c r="C39" s="35">
        <v>14</v>
      </c>
      <c r="D39" s="35">
        <v>3</v>
      </c>
      <c r="E39" s="35">
        <v>17</v>
      </c>
      <c r="F39" s="35">
        <v>8</v>
      </c>
      <c r="G39" s="35">
        <v>0</v>
      </c>
      <c r="H39" s="35">
        <v>5</v>
      </c>
      <c r="I39" s="35">
        <v>7</v>
      </c>
      <c r="J39" s="35">
        <v>11</v>
      </c>
      <c r="K39" s="35">
        <v>15</v>
      </c>
      <c r="L39" s="45">
        <f t="shared" si="1"/>
        <v>80</v>
      </c>
      <c r="M39" s="35">
        <f t="shared" si="2"/>
        <v>8</v>
      </c>
      <c r="N39" s="35">
        <f>(L39/(L39+'Marketable Yield'!L39))*100</f>
        <v>41.666666666666671</v>
      </c>
      <c r="O39" s="35"/>
      <c r="P39" s="35"/>
      <c r="Q39" s="35">
        <v>0</v>
      </c>
      <c r="R39" s="35">
        <v>3.55</v>
      </c>
      <c r="S39" s="35">
        <v>1.1000000000000001</v>
      </c>
      <c r="T39" s="35">
        <v>2.06</v>
      </c>
      <c r="U39" s="35">
        <v>2.5499999999999998</v>
      </c>
      <c r="V39" s="35">
        <v>0</v>
      </c>
      <c r="W39" s="35">
        <v>1.25</v>
      </c>
      <c r="X39" s="35">
        <v>1.35</v>
      </c>
      <c r="Y39" s="35">
        <v>1.8</v>
      </c>
      <c r="Z39" s="35">
        <v>3.5</v>
      </c>
      <c r="AA39" s="45">
        <f t="shared" si="3"/>
        <v>17.160000000000004</v>
      </c>
      <c r="AB39" s="35">
        <f t="shared" si="4"/>
        <v>1.7160000000000004</v>
      </c>
      <c r="AC39" s="35">
        <f>(AA39/(AA39+'Marketable Yield'!AA39))*100</f>
        <v>38.218262806236083</v>
      </c>
      <c r="AD39" s="35"/>
      <c r="AE39" s="35"/>
      <c r="AF39" s="35" t="s">
        <v>230</v>
      </c>
      <c r="AG39" s="35">
        <f t="shared" si="6"/>
        <v>4.0571428571428569</v>
      </c>
      <c r="AH39" s="35">
        <f t="shared" si="7"/>
        <v>5.8666666666666671</v>
      </c>
      <c r="AI39" s="35">
        <f t="shared" si="9"/>
        <v>1.9388235294117648</v>
      </c>
      <c r="AJ39" s="35">
        <f t="shared" si="10"/>
        <v>5.0999999999999996</v>
      </c>
      <c r="AK39" s="35" t="s">
        <v>230</v>
      </c>
      <c r="AL39" s="35">
        <f t="shared" si="15"/>
        <v>4</v>
      </c>
      <c r="AM39" s="35">
        <f t="shared" si="12"/>
        <v>3.0857142857142859</v>
      </c>
      <c r="AN39" s="35">
        <f t="shared" si="13"/>
        <v>2.6181818181818182</v>
      </c>
      <c r="AO39" s="35">
        <f t="shared" si="14"/>
        <v>3.7333333333333334</v>
      </c>
      <c r="AP39" s="45">
        <f t="shared" si="8"/>
        <v>3.7999828113063407</v>
      </c>
    </row>
    <row r="40" spans="1:42" x14ac:dyDescent="0.25">
      <c r="A40" t="s">
        <v>42</v>
      </c>
      <c r="B40" s="35">
        <v>1</v>
      </c>
      <c r="C40" s="35">
        <v>14</v>
      </c>
      <c r="D40" s="35">
        <v>1</v>
      </c>
      <c r="E40" s="35">
        <v>12</v>
      </c>
      <c r="F40" s="35">
        <v>4</v>
      </c>
      <c r="G40" s="35">
        <v>3</v>
      </c>
      <c r="H40" s="35">
        <v>10</v>
      </c>
      <c r="I40" s="35">
        <v>13</v>
      </c>
      <c r="J40" s="35">
        <v>7</v>
      </c>
      <c r="K40" s="35">
        <v>3</v>
      </c>
      <c r="L40" s="45">
        <f t="shared" si="1"/>
        <v>68</v>
      </c>
      <c r="M40" s="35">
        <f t="shared" si="2"/>
        <v>6.8</v>
      </c>
      <c r="N40" s="35">
        <f>(L40/(L40+'Marketable Yield'!L40))*100</f>
        <v>54.400000000000006</v>
      </c>
      <c r="O40" s="35"/>
      <c r="P40" s="35"/>
      <c r="Q40" s="35">
        <v>0.35</v>
      </c>
      <c r="R40" s="35">
        <v>4.3499999999999996</v>
      </c>
      <c r="S40" s="35">
        <v>0.55000000000000004</v>
      </c>
      <c r="T40" s="35">
        <v>1.84</v>
      </c>
      <c r="U40" s="35">
        <v>1</v>
      </c>
      <c r="V40" s="35">
        <v>0.7</v>
      </c>
      <c r="W40" s="35">
        <v>1.95</v>
      </c>
      <c r="X40" s="35">
        <v>2.35</v>
      </c>
      <c r="Y40" s="35">
        <v>1</v>
      </c>
      <c r="Z40" s="35">
        <v>0.35</v>
      </c>
      <c r="AA40" s="45">
        <f t="shared" si="3"/>
        <v>14.439999999999998</v>
      </c>
      <c r="AB40" s="35">
        <f t="shared" si="4"/>
        <v>1.4439999999999997</v>
      </c>
      <c r="AC40" s="35">
        <f>(AA40/(AA40+'Marketable Yield'!AA40))*100</f>
        <v>47.035830618892497</v>
      </c>
      <c r="AD40" s="35"/>
      <c r="AE40" s="35"/>
      <c r="AF40" s="35">
        <f t="shared" si="5"/>
        <v>5.6</v>
      </c>
      <c r="AG40" s="35">
        <f t="shared" si="6"/>
        <v>4.9714285714285706</v>
      </c>
      <c r="AH40" s="35">
        <f t="shared" si="7"/>
        <v>8.8000000000000007</v>
      </c>
      <c r="AI40" s="35">
        <f t="shared" si="9"/>
        <v>2.4533333333333336</v>
      </c>
      <c r="AJ40" s="35">
        <f t="shared" si="10"/>
        <v>4</v>
      </c>
      <c r="AK40" s="35">
        <f t="shared" si="11"/>
        <v>3.7333333333333329</v>
      </c>
      <c r="AL40" s="35">
        <f t="shared" si="15"/>
        <v>3.12</v>
      </c>
      <c r="AM40" s="35">
        <f t="shared" si="12"/>
        <v>2.8923076923076922</v>
      </c>
      <c r="AN40" s="35">
        <f t="shared" si="13"/>
        <v>2.2857142857142856</v>
      </c>
      <c r="AO40" s="35">
        <f t="shared" si="14"/>
        <v>1.8666666666666665</v>
      </c>
      <c r="AP40" s="45">
        <f t="shared" si="8"/>
        <v>3.9722783882783879</v>
      </c>
    </row>
    <row r="41" spans="1:42" x14ac:dyDescent="0.25">
      <c r="A41" t="s">
        <v>43</v>
      </c>
      <c r="B41" s="35">
        <v>9</v>
      </c>
      <c r="C41" s="35">
        <v>7</v>
      </c>
      <c r="D41" s="35">
        <v>13</v>
      </c>
      <c r="E41" s="35">
        <v>51</v>
      </c>
      <c r="F41" s="35">
        <v>12</v>
      </c>
      <c r="G41" s="35">
        <v>7</v>
      </c>
      <c r="H41" s="35">
        <v>15</v>
      </c>
      <c r="I41" s="35">
        <v>30</v>
      </c>
      <c r="J41" s="35">
        <v>61</v>
      </c>
      <c r="K41" s="35">
        <v>23</v>
      </c>
      <c r="L41" s="45">
        <f t="shared" si="1"/>
        <v>228</v>
      </c>
      <c r="M41" s="35">
        <f t="shared" si="2"/>
        <v>22.8</v>
      </c>
      <c r="N41" s="35">
        <f>(L41/(L41+'Marketable Yield'!L41))*100</f>
        <v>75</v>
      </c>
      <c r="O41" s="35"/>
      <c r="P41" s="35"/>
      <c r="Q41" s="35">
        <v>2.65</v>
      </c>
      <c r="R41" s="35">
        <v>1.7</v>
      </c>
      <c r="S41" s="35">
        <v>2.7</v>
      </c>
      <c r="T41" s="35">
        <v>4.32</v>
      </c>
      <c r="U41" s="35">
        <v>2.5499999999999998</v>
      </c>
      <c r="V41" s="35">
        <v>0.75</v>
      </c>
      <c r="W41" s="35">
        <v>2</v>
      </c>
      <c r="X41" s="35">
        <v>3.35</v>
      </c>
      <c r="Y41" s="35">
        <v>5.45</v>
      </c>
      <c r="Z41" s="35">
        <v>1.9</v>
      </c>
      <c r="AA41" s="45">
        <f t="shared" si="3"/>
        <v>27.37</v>
      </c>
      <c r="AB41" s="35">
        <f t="shared" si="4"/>
        <v>2.7370000000000001</v>
      </c>
      <c r="AC41" s="35">
        <f>(AA41/(AA41+'Marketable Yield'!AA41))*100</f>
        <v>69.608341810783315</v>
      </c>
      <c r="AD41" s="35"/>
      <c r="AE41" s="35"/>
      <c r="AF41" s="35">
        <f t="shared" si="5"/>
        <v>4.7111111111111112</v>
      </c>
      <c r="AG41" s="35">
        <f t="shared" si="6"/>
        <v>3.8857142857142857</v>
      </c>
      <c r="AH41" s="35">
        <f t="shared" si="7"/>
        <v>3.3230769230769233</v>
      </c>
      <c r="AI41" s="35">
        <f t="shared" si="9"/>
        <v>1.355294117647059</v>
      </c>
      <c r="AJ41" s="35">
        <f t="shared" si="10"/>
        <v>3.4</v>
      </c>
      <c r="AK41" s="35">
        <f t="shared" si="11"/>
        <v>1.7142857142857142</v>
      </c>
      <c r="AL41" s="35">
        <f t="shared" si="15"/>
        <v>2.1333333333333333</v>
      </c>
      <c r="AM41" s="35">
        <f t="shared" si="12"/>
        <v>1.7866666666666666</v>
      </c>
      <c r="AN41" s="35">
        <f t="shared" si="13"/>
        <v>1.4295081967213115</v>
      </c>
      <c r="AO41" s="35">
        <f t="shared" si="14"/>
        <v>1.3217391304347825</v>
      </c>
      <c r="AP41" s="45">
        <f t="shared" si="8"/>
        <v>2.5060729478991184</v>
      </c>
    </row>
    <row r="42" spans="1:42" x14ac:dyDescent="0.25">
      <c r="A42" t="s">
        <v>45</v>
      </c>
      <c r="B42" s="35">
        <v>1</v>
      </c>
      <c r="C42" s="35">
        <v>7</v>
      </c>
      <c r="D42" s="35">
        <v>3</v>
      </c>
      <c r="E42" s="35">
        <v>6</v>
      </c>
      <c r="F42" s="35">
        <v>2</v>
      </c>
      <c r="G42" s="35">
        <v>0</v>
      </c>
      <c r="H42" s="35">
        <v>3</v>
      </c>
      <c r="I42" s="35">
        <v>18</v>
      </c>
      <c r="J42" s="35">
        <v>14</v>
      </c>
      <c r="K42" s="35">
        <v>5</v>
      </c>
      <c r="L42" s="45">
        <f t="shared" si="1"/>
        <v>59</v>
      </c>
      <c r="M42" s="35">
        <f t="shared" si="2"/>
        <v>5.9</v>
      </c>
      <c r="N42" s="35">
        <f>(L42/(L42+'Marketable Yield'!L42))*100</f>
        <v>33.522727272727273</v>
      </c>
      <c r="O42" s="35"/>
      <c r="P42" s="35"/>
      <c r="Q42" s="35">
        <v>0.1</v>
      </c>
      <c r="R42" s="35">
        <v>2.5499999999999998</v>
      </c>
      <c r="S42" s="35">
        <v>0.55000000000000004</v>
      </c>
      <c r="T42" s="35">
        <v>1.04</v>
      </c>
      <c r="U42" s="35">
        <v>0.6</v>
      </c>
      <c r="V42" s="35">
        <v>0</v>
      </c>
      <c r="W42" s="35">
        <v>0.6</v>
      </c>
      <c r="X42" s="35">
        <v>2.95</v>
      </c>
      <c r="Y42" s="35">
        <v>2.4500000000000002</v>
      </c>
      <c r="Z42" s="35">
        <v>0.8</v>
      </c>
      <c r="AA42" s="45">
        <f t="shared" si="3"/>
        <v>11.64</v>
      </c>
      <c r="AB42" s="35">
        <f t="shared" si="4"/>
        <v>1.1640000000000001</v>
      </c>
      <c r="AC42" s="35">
        <f>(AA42/(AA42+'Marketable Yield'!AA42))*100</f>
        <v>25.860919795600978</v>
      </c>
      <c r="AD42" s="35"/>
      <c r="AE42" s="35"/>
      <c r="AF42" s="35">
        <f t="shared" si="5"/>
        <v>1.6</v>
      </c>
      <c r="AG42" s="35">
        <f t="shared" si="6"/>
        <v>5.8285714285714283</v>
      </c>
      <c r="AH42" s="35">
        <f t="shared" si="7"/>
        <v>2.9333333333333336</v>
      </c>
      <c r="AI42" s="35">
        <f t="shared" si="9"/>
        <v>2.7733333333333334</v>
      </c>
      <c r="AJ42" s="35">
        <f t="shared" si="10"/>
        <v>4.8</v>
      </c>
      <c r="AK42" s="35" t="s">
        <v>230</v>
      </c>
      <c r="AL42" s="35">
        <f t="shared" si="15"/>
        <v>3.1999999999999997</v>
      </c>
      <c r="AM42" s="35">
        <f t="shared" si="12"/>
        <v>2.6222222222222222</v>
      </c>
      <c r="AN42" s="35">
        <f t="shared" si="13"/>
        <v>2.8000000000000003</v>
      </c>
      <c r="AO42" s="35">
        <f t="shared" si="14"/>
        <v>2.56</v>
      </c>
      <c r="AP42" s="45">
        <f t="shared" si="8"/>
        <v>3.2352733686067019</v>
      </c>
    </row>
    <row r="43" spans="1:42" x14ac:dyDescent="0.25">
      <c r="A43" t="s">
        <v>46</v>
      </c>
      <c r="B43" s="35" t="s">
        <v>230</v>
      </c>
      <c r="C43" s="35">
        <v>14</v>
      </c>
      <c r="D43" s="35">
        <v>6</v>
      </c>
      <c r="E43" s="35">
        <v>6</v>
      </c>
      <c r="F43" s="35">
        <v>9</v>
      </c>
      <c r="G43" s="35">
        <v>1</v>
      </c>
      <c r="H43" s="35">
        <v>2</v>
      </c>
      <c r="I43" s="35">
        <v>4</v>
      </c>
      <c r="J43" s="35">
        <v>0</v>
      </c>
      <c r="K43" s="35">
        <v>2</v>
      </c>
      <c r="L43" s="45">
        <f t="shared" si="1"/>
        <v>44</v>
      </c>
      <c r="M43" s="35">
        <f t="shared" si="2"/>
        <v>4.8888888888888893</v>
      </c>
      <c r="N43" s="35">
        <f>(L43/(L43+'Marketable Yield'!L43))*100</f>
        <v>61.971830985915489</v>
      </c>
      <c r="O43" s="35"/>
      <c r="P43" s="35"/>
      <c r="Q43" s="35" t="s">
        <v>230</v>
      </c>
      <c r="R43" s="35">
        <v>4</v>
      </c>
      <c r="S43" s="35">
        <v>2.0499999999999998</v>
      </c>
      <c r="T43" s="35">
        <v>1.18</v>
      </c>
      <c r="U43" s="35">
        <v>2.4</v>
      </c>
      <c r="V43" s="35">
        <v>0.25</v>
      </c>
      <c r="W43" s="35">
        <v>0.4</v>
      </c>
      <c r="X43" s="35">
        <v>1</v>
      </c>
      <c r="Y43" s="35">
        <v>0</v>
      </c>
      <c r="Z43" s="35">
        <v>0.5</v>
      </c>
      <c r="AA43" s="45">
        <f t="shared" si="3"/>
        <v>11.78</v>
      </c>
      <c r="AB43" s="35">
        <f t="shared" si="4"/>
        <v>1.3088888888888888</v>
      </c>
      <c r="AC43" s="35">
        <f>(AA43/(AA43+'Marketable Yield'!AA43))*100</f>
        <v>51.576182136602441</v>
      </c>
      <c r="AD43" s="35"/>
      <c r="AE43" s="35"/>
      <c r="AF43" s="35" t="s">
        <v>230</v>
      </c>
      <c r="AG43" s="35">
        <f t="shared" si="6"/>
        <v>4.5714285714285712</v>
      </c>
      <c r="AH43" s="35">
        <f t="shared" si="7"/>
        <v>5.4666666666666659</v>
      </c>
      <c r="AI43" s="35">
        <f t="shared" si="9"/>
        <v>3.1466666666666665</v>
      </c>
      <c r="AJ43" s="35">
        <f t="shared" si="10"/>
        <v>4.2666666666666666</v>
      </c>
      <c r="AK43" s="35">
        <f t="shared" si="11"/>
        <v>4</v>
      </c>
      <c r="AL43" s="35">
        <f t="shared" si="15"/>
        <v>3.2</v>
      </c>
      <c r="AM43" s="35">
        <f t="shared" si="12"/>
        <v>4</v>
      </c>
      <c r="AN43" s="35" t="s">
        <v>230</v>
      </c>
      <c r="AO43" s="35">
        <f t="shared" si="14"/>
        <v>4</v>
      </c>
      <c r="AP43" s="45">
        <f t="shared" si="8"/>
        <v>4.081428571428571</v>
      </c>
    </row>
    <row r="44" spans="1:42" x14ac:dyDescent="0.25">
      <c r="A44" t="s">
        <v>47</v>
      </c>
      <c r="B44" s="35">
        <v>2</v>
      </c>
      <c r="C44" s="35">
        <v>12</v>
      </c>
      <c r="D44" s="35">
        <v>4</v>
      </c>
      <c r="E44" s="35">
        <v>47</v>
      </c>
      <c r="F44" s="35">
        <v>24</v>
      </c>
      <c r="G44" s="35">
        <v>18</v>
      </c>
      <c r="H44" s="35">
        <v>6</v>
      </c>
      <c r="I44" s="35">
        <v>11</v>
      </c>
      <c r="J44" s="35">
        <v>29</v>
      </c>
      <c r="K44" s="35">
        <v>22</v>
      </c>
      <c r="L44" s="45">
        <f t="shared" si="1"/>
        <v>175</v>
      </c>
      <c r="M44" s="35">
        <f t="shared" si="2"/>
        <v>17.5</v>
      </c>
      <c r="N44" s="35">
        <f>(L44/(L44+'Marketable Yield'!L44))*100</f>
        <v>83.732057416267949</v>
      </c>
      <c r="O44" s="35"/>
      <c r="P44" s="35"/>
      <c r="Q44" s="35">
        <v>0.95</v>
      </c>
      <c r="R44" s="35">
        <v>5.15</v>
      </c>
      <c r="S44" s="35">
        <v>1.8</v>
      </c>
      <c r="T44" s="35">
        <v>7.66</v>
      </c>
      <c r="U44" s="35">
        <v>8.4499999999999993</v>
      </c>
      <c r="V44" s="35">
        <v>6.15</v>
      </c>
      <c r="W44" s="35">
        <v>2.5</v>
      </c>
      <c r="X44" s="35">
        <v>4.8499999999999996</v>
      </c>
      <c r="Y44" s="35">
        <v>9.35</v>
      </c>
      <c r="Z44" s="35">
        <v>4.5</v>
      </c>
      <c r="AA44" s="45">
        <f t="shared" si="3"/>
        <v>51.36</v>
      </c>
      <c r="AB44" s="35">
        <f t="shared" si="4"/>
        <v>5.1360000000000001</v>
      </c>
      <c r="AC44" s="35">
        <f>(AA44/(AA44+'Marketable Yield'!AA44))*100</f>
        <v>81.21442125237192</v>
      </c>
      <c r="AD44" s="35"/>
      <c r="AE44" s="35"/>
      <c r="AF44" s="35">
        <f t="shared" si="5"/>
        <v>7.6</v>
      </c>
      <c r="AG44" s="35">
        <f t="shared" si="6"/>
        <v>6.8666666666666671</v>
      </c>
      <c r="AH44" s="35">
        <f t="shared" si="7"/>
        <v>7.2</v>
      </c>
      <c r="AI44" s="35">
        <f t="shared" si="9"/>
        <v>2.6076595744680851</v>
      </c>
      <c r="AJ44" s="35">
        <f t="shared" si="10"/>
        <v>5.6333333333333329</v>
      </c>
      <c r="AK44" s="35">
        <f t="shared" si="11"/>
        <v>5.4666666666666668</v>
      </c>
      <c r="AL44" s="35">
        <f t="shared" si="15"/>
        <v>6.666666666666667</v>
      </c>
      <c r="AM44" s="35">
        <f t="shared" si="12"/>
        <v>7.0545454545454538</v>
      </c>
      <c r="AN44" s="35">
        <f t="shared" si="13"/>
        <v>5.1586206896551721</v>
      </c>
      <c r="AO44" s="35">
        <f t="shared" si="14"/>
        <v>3.2727272727272729</v>
      </c>
      <c r="AP44" s="45">
        <f t="shared" si="8"/>
        <v>5.7526886324729318</v>
      </c>
    </row>
    <row r="45" spans="1:42" x14ac:dyDescent="0.25">
      <c r="A45" t="s">
        <v>17</v>
      </c>
      <c r="B45" s="35" t="s">
        <v>230</v>
      </c>
      <c r="C45" s="35">
        <v>6</v>
      </c>
      <c r="D45" s="35">
        <v>3</v>
      </c>
      <c r="E45" s="35">
        <v>57</v>
      </c>
      <c r="F45" s="35">
        <v>12</v>
      </c>
      <c r="G45" s="35">
        <v>4</v>
      </c>
      <c r="H45" s="35">
        <v>1</v>
      </c>
      <c r="I45" s="35">
        <v>2</v>
      </c>
      <c r="J45" s="35">
        <v>4</v>
      </c>
      <c r="K45" s="35">
        <v>8</v>
      </c>
      <c r="L45" s="45">
        <f t="shared" si="1"/>
        <v>97</v>
      </c>
      <c r="M45" s="35">
        <f t="shared" si="2"/>
        <v>10.777777777777779</v>
      </c>
      <c r="N45" s="35">
        <f>(L45/(L45+'Marketable Yield'!L45))*100</f>
        <v>93.269230769230774</v>
      </c>
      <c r="O45" s="35"/>
      <c r="P45" s="35"/>
      <c r="Q45" s="35" t="s">
        <v>230</v>
      </c>
      <c r="R45" s="35">
        <v>1.4</v>
      </c>
      <c r="S45" s="35">
        <v>0.65</v>
      </c>
      <c r="T45" s="35">
        <v>4.18</v>
      </c>
      <c r="U45" s="35">
        <v>1.95</v>
      </c>
      <c r="V45" s="35">
        <v>0.65</v>
      </c>
      <c r="W45" s="35">
        <v>0.15</v>
      </c>
      <c r="X45" s="35">
        <v>0.3</v>
      </c>
      <c r="Y45" s="35">
        <v>0.45</v>
      </c>
      <c r="Z45" s="35">
        <v>0.9</v>
      </c>
      <c r="AA45" s="45">
        <f t="shared" si="3"/>
        <v>10.63</v>
      </c>
      <c r="AB45" s="35">
        <f t="shared" si="4"/>
        <v>1.1811111111111112</v>
      </c>
      <c r="AC45" s="35">
        <f>(AA45/(AA45+'Marketable Yield'!AA45))*100</f>
        <v>89.93231810490694</v>
      </c>
      <c r="AD45" s="35"/>
      <c r="AE45" s="35"/>
      <c r="AF45" s="35" t="s">
        <v>230</v>
      </c>
      <c r="AG45" s="35">
        <f t="shared" si="6"/>
        <v>3.7333333333333329</v>
      </c>
      <c r="AH45" s="35">
        <f t="shared" si="7"/>
        <v>3.4666666666666668</v>
      </c>
      <c r="AI45" s="35">
        <f t="shared" si="9"/>
        <v>1.1733333333333333</v>
      </c>
      <c r="AJ45" s="35">
        <f t="shared" si="10"/>
        <v>2.6</v>
      </c>
      <c r="AK45" s="35">
        <f t="shared" si="11"/>
        <v>2.6</v>
      </c>
      <c r="AL45" s="35">
        <f t="shared" si="15"/>
        <v>2.4</v>
      </c>
      <c r="AM45" s="35">
        <f t="shared" si="12"/>
        <v>2.4</v>
      </c>
      <c r="AN45" s="35">
        <f t="shared" si="13"/>
        <v>1.8</v>
      </c>
      <c r="AO45" s="35">
        <f t="shared" si="14"/>
        <v>1.8</v>
      </c>
      <c r="AP45" s="45">
        <f t="shared" si="8"/>
        <v>2.4414814814814814</v>
      </c>
    </row>
    <row r="46" spans="1:42" x14ac:dyDescent="0.25">
      <c r="A46" t="s">
        <v>112</v>
      </c>
      <c r="B46" s="35" t="s">
        <v>230</v>
      </c>
      <c r="C46" s="35">
        <v>10</v>
      </c>
      <c r="D46" s="35">
        <v>6</v>
      </c>
      <c r="E46" s="35">
        <v>25</v>
      </c>
      <c r="F46" s="35">
        <v>1</v>
      </c>
      <c r="G46" s="35">
        <v>0</v>
      </c>
      <c r="H46" s="35">
        <v>0</v>
      </c>
      <c r="I46" s="35">
        <v>1</v>
      </c>
      <c r="J46" s="35">
        <v>7</v>
      </c>
      <c r="K46" s="35">
        <v>6</v>
      </c>
      <c r="L46" s="45">
        <f t="shared" si="1"/>
        <v>56</v>
      </c>
      <c r="M46" s="35">
        <f t="shared" si="2"/>
        <v>6.2222222222222223</v>
      </c>
      <c r="N46" s="35">
        <f>(L46/(L46+'Marketable Yield'!L46))*100</f>
        <v>47.457627118644069</v>
      </c>
      <c r="O46" s="35"/>
      <c r="P46" s="35"/>
      <c r="Q46" s="35" t="s">
        <v>230</v>
      </c>
      <c r="R46" s="35">
        <v>6.5</v>
      </c>
      <c r="S46" s="35">
        <v>2.65</v>
      </c>
      <c r="T46" s="35">
        <v>8.5</v>
      </c>
      <c r="U46" s="35">
        <v>0.95</v>
      </c>
      <c r="V46" s="35">
        <v>0</v>
      </c>
      <c r="W46" s="35">
        <v>0</v>
      </c>
      <c r="X46" s="35">
        <v>0.65</v>
      </c>
      <c r="Y46" s="35">
        <v>3.85</v>
      </c>
      <c r="Z46" s="35">
        <v>4.0999999999999996</v>
      </c>
      <c r="AA46" s="45">
        <f t="shared" si="3"/>
        <v>27.199999999999996</v>
      </c>
      <c r="AB46" s="35">
        <f t="shared" si="4"/>
        <v>3.0222222222222217</v>
      </c>
      <c r="AC46" s="35">
        <f>(AA46/(AA46+'Marketable Yield'!AA46))*100</f>
        <v>48.167168408004244</v>
      </c>
      <c r="AD46" s="35"/>
      <c r="AE46" s="35"/>
      <c r="AF46" s="35" t="s">
        <v>230</v>
      </c>
      <c r="AG46" s="35">
        <f t="shared" si="6"/>
        <v>10.4</v>
      </c>
      <c r="AH46" s="35">
        <f t="shared" si="7"/>
        <v>7.0666666666666664</v>
      </c>
      <c r="AI46" s="35">
        <f t="shared" si="9"/>
        <v>5.44</v>
      </c>
      <c r="AJ46" s="35">
        <f t="shared" si="10"/>
        <v>15.2</v>
      </c>
      <c r="AK46" s="35" t="s">
        <v>230</v>
      </c>
      <c r="AL46" s="35" t="s">
        <v>230</v>
      </c>
      <c r="AM46" s="35">
        <f t="shared" si="12"/>
        <v>10.4</v>
      </c>
      <c r="AN46" s="35">
        <f t="shared" si="13"/>
        <v>8.8000000000000007</v>
      </c>
      <c r="AO46" s="35">
        <f t="shared" si="14"/>
        <v>10.933333333333332</v>
      </c>
      <c r="AP46" s="45">
        <f t="shared" si="8"/>
        <v>9.7485714285714291</v>
      </c>
    </row>
    <row r="47" spans="1:42" x14ac:dyDescent="0.25">
      <c r="A47" t="s">
        <v>22</v>
      </c>
      <c r="B47" s="35">
        <v>0</v>
      </c>
      <c r="C47" s="35">
        <v>12</v>
      </c>
      <c r="D47" s="35">
        <v>5</v>
      </c>
      <c r="E47" s="35">
        <v>7</v>
      </c>
      <c r="F47" s="35">
        <v>1</v>
      </c>
      <c r="G47" s="35">
        <v>1</v>
      </c>
      <c r="H47" s="35">
        <v>0</v>
      </c>
      <c r="I47" s="35">
        <v>0</v>
      </c>
      <c r="J47" s="35">
        <v>4</v>
      </c>
      <c r="K47" s="35">
        <v>1</v>
      </c>
      <c r="L47" s="45">
        <f t="shared" si="1"/>
        <v>31</v>
      </c>
      <c r="M47" s="35">
        <f t="shared" si="2"/>
        <v>3.1</v>
      </c>
      <c r="N47" s="35">
        <f>(L47/(L47+'Marketable Yield'!L47))*100</f>
        <v>46.969696969696969</v>
      </c>
      <c r="O47" s="35"/>
      <c r="P47" s="35"/>
      <c r="Q47" s="35">
        <v>0</v>
      </c>
      <c r="R47" s="35">
        <v>5.9</v>
      </c>
      <c r="S47" s="35">
        <v>2.0499999999999998</v>
      </c>
      <c r="T47" s="35">
        <v>1.42</v>
      </c>
      <c r="U47" s="35">
        <v>0.55000000000000004</v>
      </c>
      <c r="V47" s="35">
        <v>0.65</v>
      </c>
      <c r="W47" s="35">
        <v>0</v>
      </c>
      <c r="X47" s="35">
        <v>0</v>
      </c>
      <c r="Y47" s="35">
        <v>1.55</v>
      </c>
      <c r="Z47" s="35">
        <v>0.5</v>
      </c>
      <c r="AA47" s="45">
        <f t="shared" si="3"/>
        <v>12.620000000000003</v>
      </c>
      <c r="AB47" s="35">
        <f t="shared" si="4"/>
        <v>1.2620000000000002</v>
      </c>
      <c r="AC47" s="35">
        <f>(AA47/(AA47+'Marketable Yield'!AA47))*100</f>
        <v>48.575827559661285</v>
      </c>
      <c r="AD47" s="35"/>
      <c r="AE47" s="35"/>
      <c r="AF47" s="35" t="s">
        <v>230</v>
      </c>
      <c r="AG47" s="35">
        <f t="shared" si="6"/>
        <v>7.8666666666666671</v>
      </c>
      <c r="AH47" s="35">
        <f t="shared" si="7"/>
        <v>6.56</v>
      </c>
      <c r="AI47" s="35">
        <f t="shared" si="9"/>
        <v>3.2457142857142856</v>
      </c>
      <c r="AJ47" s="35">
        <f t="shared" si="10"/>
        <v>8.8000000000000007</v>
      </c>
      <c r="AK47" s="35">
        <f t="shared" si="11"/>
        <v>10.4</v>
      </c>
      <c r="AL47" s="35" t="s">
        <v>230</v>
      </c>
      <c r="AM47" s="35" t="s">
        <v>230</v>
      </c>
      <c r="AN47" s="35">
        <f t="shared" si="13"/>
        <v>6.2</v>
      </c>
      <c r="AO47" s="35">
        <f t="shared" si="14"/>
        <v>8</v>
      </c>
      <c r="AP47" s="45">
        <f t="shared" si="8"/>
        <v>7.2960544217687078</v>
      </c>
    </row>
    <row r="48" spans="1:42" x14ac:dyDescent="0.25">
      <c r="A48" t="s">
        <v>23</v>
      </c>
      <c r="B48" s="37">
        <v>1</v>
      </c>
      <c r="C48" s="37">
        <v>14</v>
      </c>
      <c r="D48" s="37">
        <v>5</v>
      </c>
      <c r="E48" s="37" t="s">
        <v>230</v>
      </c>
      <c r="F48" s="37" t="s">
        <v>230</v>
      </c>
      <c r="G48" s="37" t="s">
        <v>230</v>
      </c>
      <c r="H48" s="37" t="s">
        <v>230</v>
      </c>
      <c r="I48" s="37" t="s">
        <v>230</v>
      </c>
      <c r="J48" s="37" t="s">
        <v>230</v>
      </c>
      <c r="K48" s="37" t="s">
        <v>230</v>
      </c>
      <c r="L48" s="44">
        <f t="shared" si="1"/>
        <v>20</v>
      </c>
      <c r="M48" s="37">
        <f t="shared" si="2"/>
        <v>6.666666666666667</v>
      </c>
      <c r="N48" s="37">
        <f>(L48/(L48+'Marketable Yield'!L48))*100</f>
        <v>12.269938650306749</v>
      </c>
      <c r="O48" s="35"/>
      <c r="P48" s="35"/>
      <c r="Q48" s="37">
        <v>0.08</v>
      </c>
      <c r="R48" s="37">
        <v>0.81</v>
      </c>
      <c r="S48" s="37">
        <v>0.22</v>
      </c>
      <c r="T48" s="37">
        <v>0.48</v>
      </c>
      <c r="U48" s="37">
        <v>0.89</v>
      </c>
      <c r="V48" s="37">
        <v>2.78</v>
      </c>
      <c r="W48" s="37">
        <v>1.1200000000000001</v>
      </c>
      <c r="X48" s="37">
        <v>0.41</v>
      </c>
      <c r="Y48" s="37">
        <v>0.42</v>
      </c>
      <c r="Z48" s="37">
        <v>1</v>
      </c>
      <c r="AA48" s="44">
        <f t="shared" si="3"/>
        <v>8.2100000000000009</v>
      </c>
      <c r="AB48" s="37">
        <f t="shared" si="4"/>
        <v>0.82100000000000006</v>
      </c>
      <c r="AC48" s="37">
        <f>(AA48/(AA48+'Marketable Yield'!AA48))*100</f>
        <v>22.5673446948873</v>
      </c>
      <c r="AD48" s="35"/>
      <c r="AE48" s="35"/>
      <c r="AF48" s="37">
        <f t="shared" si="5"/>
        <v>1.28</v>
      </c>
      <c r="AG48" s="37">
        <f t="shared" si="6"/>
        <v>0.92571428571428582</v>
      </c>
      <c r="AH48" s="37">
        <f t="shared" si="7"/>
        <v>0.70399999999999996</v>
      </c>
      <c r="AI48" s="37" t="s">
        <v>230</v>
      </c>
      <c r="AJ48" s="37" t="s">
        <v>230</v>
      </c>
      <c r="AK48" s="37" t="s">
        <v>230</v>
      </c>
      <c r="AL48" s="37" t="s">
        <v>230</v>
      </c>
      <c r="AM48" s="37" t="s">
        <v>230</v>
      </c>
      <c r="AN48" s="37" t="s">
        <v>230</v>
      </c>
      <c r="AO48" s="37" t="s">
        <v>230</v>
      </c>
      <c r="AP48" s="44">
        <f t="shared" si="8"/>
        <v>0.96990476190476205</v>
      </c>
    </row>
    <row r="49" spans="1:42" x14ac:dyDescent="0.25">
      <c r="A49" t="s">
        <v>24</v>
      </c>
      <c r="B49" s="35" t="s">
        <v>230</v>
      </c>
      <c r="C49" s="35">
        <v>6</v>
      </c>
      <c r="D49" s="35">
        <v>12</v>
      </c>
      <c r="E49" s="35">
        <v>13</v>
      </c>
      <c r="F49" s="35">
        <v>5</v>
      </c>
      <c r="G49" s="35">
        <v>2</v>
      </c>
      <c r="H49" s="35">
        <v>2</v>
      </c>
      <c r="I49" s="35">
        <v>2</v>
      </c>
      <c r="J49" s="35">
        <v>5</v>
      </c>
      <c r="K49" s="35">
        <v>19</v>
      </c>
      <c r="L49" s="45">
        <f t="shared" si="1"/>
        <v>66</v>
      </c>
      <c r="M49" s="35">
        <f t="shared" si="2"/>
        <v>7.333333333333333</v>
      </c>
      <c r="N49" s="35">
        <f>(L49/(L49+'Marketable Yield'!L49))*100</f>
        <v>75.862068965517238</v>
      </c>
      <c r="O49" s="35"/>
      <c r="P49" s="35"/>
      <c r="Q49" s="35" t="s">
        <v>230</v>
      </c>
      <c r="R49" s="35">
        <v>5.15</v>
      </c>
      <c r="S49" s="35">
        <v>8.9499999999999993</v>
      </c>
      <c r="T49" s="35">
        <v>4.62</v>
      </c>
      <c r="U49" s="35">
        <v>4.3499999999999996</v>
      </c>
      <c r="V49" s="35">
        <v>1.7</v>
      </c>
      <c r="W49" s="35">
        <v>0.8</v>
      </c>
      <c r="X49" s="35">
        <v>1.25</v>
      </c>
      <c r="Y49" s="35">
        <v>2.25</v>
      </c>
      <c r="Z49" s="35">
        <v>10.6</v>
      </c>
      <c r="AA49" s="45">
        <f t="shared" si="3"/>
        <v>39.67</v>
      </c>
      <c r="AB49" s="35">
        <f t="shared" si="4"/>
        <v>4.4077777777777776</v>
      </c>
      <c r="AC49" s="35">
        <f>(AA49/(AA49+'Marketable Yield'!AA49))*100</f>
        <v>81.091578086672129</v>
      </c>
      <c r="AD49" s="35"/>
      <c r="AE49" s="35"/>
      <c r="AF49" s="35" t="s">
        <v>230</v>
      </c>
      <c r="AG49" s="35">
        <f t="shared" si="6"/>
        <v>13.733333333333334</v>
      </c>
      <c r="AH49" s="35">
        <f t="shared" si="7"/>
        <v>11.933333333333332</v>
      </c>
      <c r="AI49" s="35">
        <f t="shared" si="9"/>
        <v>5.6861538461538466</v>
      </c>
      <c r="AJ49" s="35">
        <f t="shared" si="10"/>
        <v>13.919999999999998</v>
      </c>
      <c r="AK49" s="35">
        <f t="shared" si="11"/>
        <v>13.6</v>
      </c>
      <c r="AL49" s="35">
        <f t="shared" si="15"/>
        <v>6.4</v>
      </c>
      <c r="AM49" s="35">
        <f t="shared" si="12"/>
        <v>10</v>
      </c>
      <c r="AN49" s="35">
        <f t="shared" si="13"/>
        <v>7.2</v>
      </c>
      <c r="AO49" s="35">
        <f t="shared" si="14"/>
        <v>8.9263157894736835</v>
      </c>
      <c r="AP49" s="45">
        <f t="shared" si="8"/>
        <v>10.155459589143801</v>
      </c>
    </row>
    <row r="50" spans="1:42" x14ac:dyDescent="0.25">
      <c r="A50" t="s">
        <v>25</v>
      </c>
      <c r="B50" s="35" t="s">
        <v>230</v>
      </c>
      <c r="C50" s="35" t="s">
        <v>230</v>
      </c>
      <c r="D50" s="35">
        <v>13</v>
      </c>
      <c r="E50" s="35">
        <v>12</v>
      </c>
      <c r="F50" s="35">
        <v>2</v>
      </c>
      <c r="G50" s="35">
        <v>2</v>
      </c>
      <c r="H50" s="35">
        <v>0</v>
      </c>
      <c r="I50" s="35">
        <v>0</v>
      </c>
      <c r="J50" s="35">
        <v>9</v>
      </c>
      <c r="K50" s="35">
        <v>17</v>
      </c>
      <c r="L50" s="45">
        <f t="shared" si="1"/>
        <v>55</v>
      </c>
      <c r="M50" s="35">
        <f t="shared" si="2"/>
        <v>6.875</v>
      </c>
      <c r="N50" s="35">
        <f>(L50/(L50+'Marketable Yield'!L50))*100</f>
        <v>98.214285714285708</v>
      </c>
      <c r="O50" s="35"/>
      <c r="P50" s="35"/>
      <c r="Q50" s="35" t="s">
        <v>230</v>
      </c>
      <c r="R50" s="35" t="s">
        <v>230</v>
      </c>
      <c r="S50" s="35">
        <v>9.3000000000000007</v>
      </c>
      <c r="T50" s="35">
        <v>3.72</v>
      </c>
      <c r="U50" s="35">
        <v>1.5</v>
      </c>
      <c r="V50" s="35">
        <v>1.95</v>
      </c>
      <c r="W50" s="35">
        <v>0</v>
      </c>
      <c r="X50" s="35">
        <v>0</v>
      </c>
      <c r="Y50" s="35">
        <v>3.65</v>
      </c>
      <c r="Z50" s="35">
        <v>12.2</v>
      </c>
      <c r="AA50" s="45">
        <f t="shared" si="3"/>
        <v>32.32</v>
      </c>
      <c r="AB50" s="35">
        <f t="shared" si="4"/>
        <v>4.04</v>
      </c>
      <c r="AC50" s="35">
        <f>(AA50/(AA50+'Marketable Yield'!AA50))*100</f>
        <v>98.177399756986631</v>
      </c>
      <c r="AD50" s="35"/>
      <c r="AE50" s="35"/>
      <c r="AF50" s="35" t="s">
        <v>230</v>
      </c>
      <c r="AG50" s="35" t="s">
        <v>230</v>
      </c>
      <c r="AH50" s="35">
        <f t="shared" si="7"/>
        <v>11.446153846153846</v>
      </c>
      <c r="AI50" s="35">
        <f t="shared" si="9"/>
        <v>4.96</v>
      </c>
      <c r="AJ50" s="35">
        <f t="shared" si="10"/>
        <v>12</v>
      </c>
      <c r="AK50" s="35">
        <f t="shared" si="11"/>
        <v>15.6</v>
      </c>
      <c r="AL50" s="35" t="s">
        <v>230</v>
      </c>
      <c r="AM50" s="35" t="s">
        <v>230</v>
      </c>
      <c r="AN50" s="35">
        <f t="shared" si="13"/>
        <v>6.4888888888888889</v>
      </c>
      <c r="AO50" s="35">
        <f t="shared" si="14"/>
        <v>11.482352941176471</v>
      </c>
      <c r="AP50" s="45">
        <f t="shared" si="8"/>
        <v>10.329565946036533</v>
      </c>
    </row>
    <row r="51" spans="1:42" x14ac:dyDescent="0.25">
      <c r="A51" t="s">
        <v>26</v>
      </c>
      <c r="B51" s="35" t="s">
        <v>230</v>
      </c>
      <c r="C51" s="35">
        <v>6</v>
      </c>
      <c r="D51" s="35">
        <v>0</v>
      </c>
      <c r="E51" s="35">
        <v>16</v>
      </c>
      <c r="F51" s="35">
        <v>9</v>
      </c>
      <c r="G51" s="35">
        <v>5</v>
      </c>
      <c r="H51" s="35">
        <v>2</v>
      </c>
      <c r="I51" s="35">
        <v>5</v>
      </c>
      <c r="J51" s="35">
        <v>3</v>
      </c>
      <c r="K51" s="35">
        <v>17</v>
      </c>
      <c r="L51" s="45">
        <f t="shared" si="1"/>
        <v>63</v>
      </c>
      <c r="M51" s="35">
        <f t="shared" si="2"/>
        <v>7</v>
      </c>
      <c r="N51" s="35">
        <f>(L51/(L51+'Marketable Yield'!L51))*100</f>
        <v>80.769230769230774</v>
      </c>
      <c r="O51" s="35"/>
      <c r="P51" s="35"/>
      <c r="Q51" s="35" t="s">
        <v>230</v>
      </c>
      <c r="R51" s="35">
        <v>6.45</v>
      </c>
      <c r="S51" s="35">
        <v>0</v>
      </c>
      <c r="T51" s="35">
        <v>3.64</v>
      </c>
      <c r="U51" s="35">
        <v>2.8</v>
      </c>
      <c r="V51" s="35">
        <v>2</v>
      </c>
      <c r="W51" s="35">
        <v>0.9</v>
      </c>
      <c r="X51" s="35">
        <v>1.9</v>
      </c>
      <c r="Y51" s="35">
        <v>0.9</v>
      </c>
      <c r="Z51" s="35">
        <v>5.4</v>
      </c>
      <c r="AA51" s="45">
        <f t="shared" si="3"/>
        <v>23.990000000000002</v>
      </c>
      <c r="AB51" s="35">
        <f t="shared" si="4"/>
        <v>2.6655555555555557</v>
      </c>
      <c r="AC51" s="35">
        <f>(AA51/(AA51+'Marketable Yield'!AA51))*100</f>
        <v>79.940019993335554</v>
      </c>
      <c r="AD51" s="35"/>
      <c r="AE51" s="35"/>
      <c r="AF51" s="35" t="s">
        <v>230</v>
      </c>
      <c r="AG51" s="35">
        <f t="shared" si="6"/>
        <v>17.2</v>
      </c>
      <c r="AH51" s="35" t="s">
        <v>230</v>
      </c>
      <c r="AI51" s="35">
        <f t="shared" si="9"/>
        <v>3.64</v>
      </c>
      <c r="AJ51" s="35">
        <f t="shared" si="10"/>
        <v>4.9777777777777779</v>
      </c>
      <c r="AK51" s="35">
        <f t="shared" si="11"/>
        <v>6.4</v>
      </c>
      <c r="AL51" s="35">
        <f t="shared" si="15"/>
        <v>7.2</v>
      </c>
      <c r="AM51" s="35">
        <f t="shared" si="12"/>
        <v>6.08</v>
      </c>
      <c r="AN51" s="35">
        <f t="shared" si="13"/>
        <v>4.8</v>
      </c>
      <c r="AO51" s="35">
        <f t="shared" si="14"/>
        <v>5.0823529411764712</v>
      </c>
      <c r="AP51" s="45">
        <f t="shared" si="8"/>
        <v>6.9225163398692811</v>
      </c>
    </row>
    <row r="52" spans="1:42" x14ac:dyDescent="0.25">
      <c r="A52" t="s">
        <v>27</v>
      </c>
      <c r="B52" s="35" t="s">
        <v>230</v>
      </c>
      <c r="C52" s="35">
        <v>1</v>
      </c>
      <c r="D52" s="35">
        <v>4</v>
      </c>
      <c r="E52" s="35">
        <v>38</v>
      </c>
      <c r="F52" s="35">
        <v>11</v>
      </c>
      <c r="G52" s="35">
        <v>8</v>
      </c>
      <c r="H52" s="35">
        <v>0</v>
      </c>
      <c r="I52" s="35">
        <v>0</v>
      </c>
      <c r="J52" s="35">
        <v>1</v>
      </c>
      <c r="K52" s="35">
        <v>11</v>
      </c>
      <c r="L52" s="45">
        <f t="shared" si="1"/>
        <v>74</v>
      </c>
      <c r="M52" s="35">
        <f t="shared" si="2"/>
        <v>8.2222222222222214</v>
      </c>
      <c r="N52" s="35">
        <f>(L52/(L52+'Marketable Yield'!L52))*100</f>
        <v>91.358024691358025</v>
      </c>
      <c r="O52" s="35"/>
      <c r="P52" s="35"/>
      <c r="Q52" s="35" t="s">
        <v>230</v>
      </c>
      <c r="R52" s="35">
        <v>1.2</v>
      </c>
      <c r="S52" s="35">
        <v>3.5</v>
      </c>
      <c r="T52" s="35">
        <v>9.52</v>
      </c>
      <c r="U52" s="35">
        <v>5.75</v>
      </c>
      <c r="V52" s="35">
        <v>4.45</v>
      </c>
      <c r="W52" s="35">
        <v>0</v>
      </c>
      <c r="X52" s="35">
        <v>0</v>
      </c>
      <c r="Y52" s="35">
        <v>0.75</v>
      </c>
      <c r="Z52" s="35">
        <v>5.95</v>
      </c>
      <c r="AA52" s="45">
        <f t="shared" si="3"/>
        <v>31.119999999999997</v>
      </c>
      <c r="AB52" s="35">
        <f t="shared" si="4"/>
        <v>3.4577777777777774</v>
      </c>
      <c r="AC52" s="35">
        <f>(AA52/(AA52+'Marketable Yield'!AA52))*100</f>
        <v>89.117983963344798</v>
      </c>
      <c r="AD52" s="35"/>
      <c r="AE52" s="35"/>
      <c r="AF52" s="35" t="s">
        <v>230</v>
      </c>
      <c r="AG52" s="35">
        <f t="shared" si="6"/>
        <v>19.2</v>
      </c>
      <c r="AH52" s="35">
        <f t="shared" si="7"/>
        <v>14</v>
      </c>
      <c r="AI52" s="35">
        <f t="shared" si="9"/>
        <v>4.0084210526315784</v>
      </c>
      <c r="AJ52" s="35">
        <f t="shared" si="10"/>
        <v>8.3636363636363633</v>
      </c>
      <c r="AK52" s="35">
        <f t="shared" si="11"/>
        <v>8.9</v>
      </c>
      <c r="AL52" s="35" t="s">
        <v>230</v>
      </c>
      <c r="AM52" s="35" t="s">
        <v>230</v>
      </c>
      <c r="AN52" s="35">
        <f t="shared" si="13"/>
        <v>12</v>
      </c>
      <c r="AO52" s="35">
        <f t="shared" si="14"/>
        <v>8.6545454545454543</v>
      </c>
      <c r="AP52" s="45">
        <f t="shared" si="8"/>
        <v>10.732371838687628</v>
      </c>
    </row>
    <row r="53" spans="1:42" x14ac:dyDescent="0.25">
      <c r="A53" t="s">
        <v>40</v>
      </c>
      <c r="B53" s="35">
        <v>3</v>
      </c>
      <c r="C53" s="35">
        <v>12</v>
      </c>
      <c r="D53" s="35">
        <v>4</v>
      </c>
      <c r="E53" s="35">
        <v>33</v>
      </c>
      <c r="F53" s="35">
        <v>11</v>
      </c>
      <c r="G53" s="35">
        <v>10</v>
      </c>
      <c r="H53" s="35">
        <v>7</v>
      </c>
      <c r="I53" s="35">
        <v>24</v>
      </c>
      <c r="J53" s="35">
        <v>20</v>
      </c>
      <c r="K53" s="35">
        <v>19</v>
      </c>
      <c r="L53" s="45">
        <f t="shared" si="1"/>
        <v>143</v>
      </c>
      <c r="M53" s="35">
        <f t="shared" si="2"/>
        <v>14.3</v>
      </c>
      <c r="N53" s="35">
        <f>(L53/(L53+'Marketable Yield'!L53))*100</f>
        <v>78.142076502732237</v>
      </c>
      <c r="O53" s="35"/>
      <c r="P53" s="35"/>
      <c r="Q53" s="35">
        <v>0.95</v>
      </c>
      <c r="R53" s="35">
        <v>5.25</v>
      </c>
      <c r="S53" s="35">
        <v>1.8</v>
      </c>
      <c r="T53" s="35">
        <v>6.54</v>
      </c>
      <c r="U53" s="35">
        <v>3.45</v>
      </c>
      <c r="V53" s="35">
        <v>3.55</v>
      </c>
      <c r="W53" s="35">
        <v>1.3</v>
      </c>
      <c r="X53" s="35">
        <v>5.8</v>
      </c>
      <c r="Y53" s="35">
        <v>4.5999999999999996</v>
      </c>
      <c r="Z53" s="35">
        <v>5.7</v>
      </c>
      <c r="AA53" s="45">
        <f t="shared" si="3"/>
        <v>38.940000000000005</v>
      </c>
      <c r="AB53" s="35">
        <f t="shared" si="4"/>
        <v>3.8940000000000006</v>
      </c>
      <c r="AC53" s="35">
        <f>(AA53/(AA53+'Marketable Yield'!AA53))*100</f>
        <v>74.827056110684083</v>
      </c>
      <c r="AD53" s="35"/>
      <c r="AE53" s="35"/>
      <c r="AF53" s="35">
        <f t="shared" si="5"/>
        <v>5.0666666666666664</v>
      </c>
      <c r="AG53" s="35">
        <f t="shared" si="6"/>
        <v>7</v>
      </c>
      <c r="AH53" s="35">
        <f t="shared" si="7"/>
        <v>7.2</v>
      </c>
      <c r="AI53" s="35">
        <f t="shared" si="9"/>
        <v>3.1709090909090909</v>
      </c>
      <c r="AJ53" s="35">
        <f t="shared" si="10"/>
        <v>5.0181818181818185</v>
      </c>
      <c r="AK53" s="35">
        <f t="shared" si="11"/>
        <v>5.68</v>
      </c>
      <c r="AL53" s="35">
        <f t="shared" si="15"/>
        <v>2.9714285714285715</v>
      </c>
      <c r="AM53" s="35">
        <f t="shared" si="12"/>
        <v>3.8666666666666667</v>
      </c>
      <c r="AN53" s="35">
        <f t="shared" si="13"/>
        <v>3.6799999999999997</v>
      </c>
      <c r="AO53" s="35">
        <f t="shared" si="14"/>
        <v>4.8</v>
      </c>
      <c r="AP53" s="45">
        <f t="shared" si="8"/>
        <v>4.8453852813852816</v>
      </c>
    </row>
    <row r="54" spans="1:42" x14ac:dyDescent="0.25">
      <c r="A54" t="s">
        <v>44</v>
      </c>
      <c r="B54" s="35">
        <v>1</v>
      </c>
      <c r="C54" s="35">
        <v>8</v>
      </c>
      <c r="D54" s="35">
        <v>1</v>
      </c>
      <c r="E54" s="35">
        <v>30</v>
      </c>
      <c r="F54" s="35">
        <v>8</v>
      </c>
      <c r="G54" s="35">
        <v>0</v>
      </c>
      <c r="H54" s="35">
        <v>4</v>
      </c>
      <c r="I54" s="35">
        <v>16</v>
      </c>
      <c r="J54" s="35">
        <v>10</v>
      </c>
      <c r="K54" s="35">
        <v>13</v>
      </c>
      <c r="L54" s="45">
        <f t="shared" si="1"/>
        <v>91</v>
      </c>
      <c r="M54" s="35">
        <f t="shared" si="2"/>
        <v>9.1</v>
      </c>
      <c r="N54" s="35">
        <f>(L54/(L54+'Marketable Yield'!L54))*100</f>
        <v>42.924528301886795</v>
      </c>
      <c r="O54" s="35"/>
      <c r="P54" s="35"/>
      <c r="Q54" s="35">
        <v>0.65</v>
      </c>
      <c r="R54" s="35">
        <v>3.05</v>
      </c>
      <c r="S54" s="35">
        <v>0.2</v>
      </c>
      <c r="T54" s="35">
        <v>3.5</v>
      </c>
      <c r="U54" s="35">
        <v>2.5499999999999998</v>
      </c>
      <c r="V54" s="35">
        <v>0</v>
      </c>
      <c r="W54" s="35">
        <v>0.7</v>
      </c>
      <c r="X54" s="35">
        <v>3.75</v>
      </c>
      <c r="Y54" s="35">
        <v>2.15</v>
      </c>
      <c r="Z54" s="35">
        <v>2.85</v>
      </c>
      <c r="AA54" s="45">
        <f t="shared" si="3"/>
        <v>19.399999999999999</v>
      </c>
      <c r="AB54" s="35">
        <f t="shared" si="4"/>
        <v>1.94</v>
      </c>
      <c r="AC54" s="35">
        <f>(AA54/(AA54+'Marketable Yield'!AA54))*100</f>
        <v>37.12918660287081</v>
      </c>
      <c r="AD54" s="35"/>
      <c r="AE54" s="35"/>
      <c r="AF54" s="35">
        <f t="shared" si="5"/>
        <v>10.4</v>
      </c>
      <c r="AG54" s="35">
        <f t="shared" si="6"/>
        <v>6.1</v>
      </c>
      <c r="AH54" s="35">
        <f t="shared" si="7"/>
        <v>3.2</v>
      </c>
      <c r="AI54" s="35">
        <f t="shared" si="9"/>
        <v>1.8666666666666667</v>
      </c>
      <c r="AJ54" s="35">
        <f t="shared" si="10"/>
        <v>5.0999999999999996</v>
      </c>
      <c r="AK54" s="35" t="s">
        <v>230</v>
      </c>
      <c r="AL54" s="35">
        <f t="shared" si="15"/>
        <v>2.8</v>
      </c>
      <c r="AM54" s="35">
        <f t="shared" si="12"/>
        <v>3.75</v>
      </c>
      <c r="AN54" s="35">
        <f t="shared" si="13"/>
        <v>3.44</v>
      </c>
      <c r="AO54" s="35">
        <f t="shared" si="14"/>
        <v>3.5076923076923077</v>
      </c>
      <c r="AP54" s="45">
        <f t="shared" si="8"/>
        <v>4.4627065527065533</v>
      </c>
    </row>
    <row r="55" spans="1:42" x14ac:dyDescent="0.25"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4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4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45"/>
    </row>
    <row r="56" spans="1:42" x14ac:dyDescent="0.25">
      <c r="A56" t="s">
        <v>69</v>
      </c>
      <c r="B56" s="35">
        <v>3</v>
      </c>
      <c r="C56" s="35">
        <v>15</v>
      </c>
      <c r="D56" s="35">
        <v>6</v>
      </c>
      <c r="E56" s="35">
        <v>10</v>
      </c>
      <c r="F56" s="35">
        <v>1</v>
      </c>
      <c r="G56" s="35">
        <v>6</v>
      </c>
      <c r="H56" s="35">
        <v>3</v>
      </c>
      <c r="I56" s="35">
        <v>16</v>
      </c>
      <c r="J56" s="35">
        <v>19</v>
      </c>
      <c r="K56" s="35">
        <v>15</v>
      </c>
      <c r="L56" s="45">
        <f t="shared" si="1"/>
        <v>94</v>
      </c>
      <c r="M56" s="35">
        <f t="shared" si="2"/>
        <v>9.4</v>
      </c>
      <c r="N56" s="35">
        <f>(L56/(L56+'Marketable Yield'!L56))*100</f>
        <v>79.66101694915254</v>
      </c>
      <c r="O56" s="35"/>
      <c r="P56" s="35"/>
      <c r="Q56" s="35">
        <v>3.45</v>
      </c>
      <c r="R56" s="35">
        <v>11.25</v>
      </c>
      <c r="S56" s="35">
        <v>4.9000000000000004</v>
      </c>
      <c r="T56" s="35">
        <v>4.16</v>
      </c>
      <c r="U56" s="35">
        <v>0.85</v>
      </c>
      <c r="V56" s="35">
        <v>5.15</v>
      </c>
      <c r="W56" s="35">
        <v>1.35</v>
      </c>
      <c r="X56" s="35">
        <v>6.6</v>
      </c>
      <c r="Y56" s="35">
        <v>8.6999999999999993</v>
      </c>
      <c r="Z56" s="35">
        <v>6.1</v>
      </c>
      <c r="AA56" s="45">
        <f t="shared" si="3"/>
        <v>52.510000000000012</v>
      </c>
      <c r="AB56" s="35">
        <f t="shared" si="4"/>
        <v>5.2510000000000012</v>
      </c>
      <c r="AC56" s="35">
        <f>(AA56/(AA56+'Marketable Yield'!AA56))*100</f>
        <v>80.33965728274174</v>
      </c>
      <c r="AD56" s="35"/>
      <c r="AE56" s="35"/>
      <c r="AF56" s="35">
        <f t="shared" si="5"/>
        <v>18.400000000000002</v>
      </c>
      <c r="AG56" s="35">
        <f t="shared" si="6"/>
        <v>12</v>
      </c>
      <c r="AH56" s="35">
        <f t="shared" si="7"/>
        <v>13.066666666666668</v>
      </c>
      <c r="AI56" s="35">
        <f t="shared" si="9"/>
        <v>6.6560000000000006</v>
      </c>
      <c r="AJ56" s="35">
        <f t="shared" si="10"/>
        <v>13.6</v>
      </c>
      <c r="AK56" s="35">
        <f t="shared" si="11"/>
        <v>13.733333333333334</v>
      </c>
      <c r="AL56" s="35">
        <f t="shared" si="15"/>
        <v>7.2</v>
      </c>
      <c r="AM56" s="35">
        <f t="shared" si="12"/>
        <v>6.6</v>
      </c>
      <c r="AN56" s="35">
        <f t="shared" si="13"/>
        <v>7.3263157894736839</v>
      </c>
      <c r="AO56" s="35">
        <f t="shared" si="14"/>
        <v>6.5066666666666659</v>
      </c>
      <c r="AP56" s="45">
        <f t="shared" si="8"/>
        <v>10.508898245614034</v>
      </c>
    </row>
    <row r="57" spans="1:42" x14ac:dyDescent="0.25">
      <c r="A57" t="s">
        <v>70</v>
      </c>
      <c r="B57" s="35" t="s">
        <v>230</v>
      </c>
      <c r="C57" s="35">
        <v>3</v>
      </c>
      <c r="D57" s="35">
        <v>5</v>
      </c>
      <c r="E57" s="35">
        <v>8</v>
      </c>
      <c r="F57" s="35">
        <v>4</v>
      </c>
      <c r="G57" s="35">
        <v>2</v>
      </c>
      <c r="H57" s="35">
        <v>0</v>
      </c>
      <c r="I57" s="35">
        <v>4</v>
      </c>
      <c r="J57" s="35">
        <v>6</v>
      </c>
      <c r="K57" s="35">
        <v>16</v>
      </c>
      <c r="L57" s="45">
        <f t="shared" si="1"/>
        <v>48</v>
      </c>
      <c r="M57" s="35">
        <f t="shared" si="2"/>
        <v>5.333333333333333</v>
      </c>
      <c r="N57" s="35">
        <f>(L57/(L57+'Marketable Yield'!L57))*100</f>
        <v>70.588235294117652</v>
      </c>
      <c r="O57" s="35"/>
      <c r="P57" s="35"/>
      <c r="Q57" s="35" t="s">
        <v>230</v>
      </c>
      <c r="R57" s="35">
        <v>3.8</v>
      </c>
      <c r="S57" s="35">
        <v>6.2</v>
      </c>
      <c r="T57" s="35">
        <v>3.84</v>
      </c>
      <c r="U57" s="35">
        <v>5.2</v>
      </c>
      <c r="V57" s="35">
        <v>3.15</v>
      </c>
      <c r="W57" s="35">
        <v>0</v>
      </c>
      <c r="X57" s="35">
        <v>1.8</v>
      </c>
      <c r="Y57" s="35">
        <v>3.75</v>
      </c>
      <c r="Z57" s="35">
        <v>10</v>
      </c>
      <c r="AA57" s="45">
        <f t="shared" si="3"/>
        <v>37.739999999999995</v>
      </c>
      <c r="AB57" s="35">
        <f t="shared" si="4"/>
        <v>4.1933333333333325</v>
      </c>
      <c r="AC57" s="35">
        <f>(AA57/(AA57+'Marketable Yield'!AA57))*100</f>
        <v>77.926904811067516</v>
      </c>
      <c r="AD57" s="35"/>
      <c r="AE57" s="35"/>
      <c r="AF57" s="35" t="s">
        <v>230</v>
      </c>
      <c r="AG57" s="35">
        <f t="shared" si="6"/>
        <v>20.266666666666666</v>
      </c>
      <c r="AH57" s="35">
        <f t="shared" si="7"/>
        <v>19.84</v>
      </c>
      <c r="AI57" s="35">
        <f t="shared" si="9"/>
        <v>7.68</v>
      </c>
      <c r="AJ57" s="35">
        <f t="shared" si="10"/>
        <v>20.8</v>
      </c>
      <c r="AK57" s="35">
        <f t="shared" si="11"/>
        <v>25.2</v>
      </c>
      <c r="AL57" s="35" t="s">
        <v>230</v>
      </c>
      <c r="AM57" s="35">
        <f t="shared" si="12"/>
        <v>7.2</v>
      </c>
      <c r="AN57" s="35">
        <f t="shared" si="13"/>
        <v>10</v>
      </c>
      <c r="AO57" s="35">
        <f t="shared" si="14"/>
        <v>10</v>
      </c>
      <c r="AP57" s="45">
        <f t="shared" si="8"/>
        <v>15.123333333333335</v>
      </c>
    </row>
    <row r="58" spans="1:42" x14ac:dyDescent="0.25">
      <c r="A58" t="s">
        <v>66</v>
      </c>
      <c r="B58" s="35">
        <v>0</v>
      </c>
      <c r="C58" s="35">
        <v>11</v>
      </c>
      <c r="D58" s="35">
        <v>2</v>
      </c>
      <c r="E58" s="35">
        <v>17</v>
      </c>
      <c r="F58" s="35">
        <v>3</v>
      </c>
      <c r="G58" s="35">
        <v>1</v>
      </c>
      <c r="H58" s="35">
        <v>2</v>
      </c>
      <c r="I58" s="35">
        <v>4</v>
      </c>
      <c r="J58" s="35">
        <v>23</v>
      </c>
      <c r="K58" s="35">
        <v>3</v>
      </c>
      <c r="L58" s="45">
        <f t="shared" si="1"/>
        <v>66</v>
      </c>
      <c r="M58" s="35">
        <f t="shared" si="2"/>
        <v>6.6</v>
      </c>
      <c r="N58" s="35">
        <f>(L58/(L58+'Marketable Yield'!L58))*100</f>
        <v>50.769230769230766</v>
      </c>
      <c r="O58" s="35"/>
      <c r="P58" s="35"/>
      <c r="Q58" s="35">
        <v>0</v>
      </c>
      <c r="R58" s="35">
        <v>5.6</v>
      </c>
      <c r="S58" s="35">
        <v>1.1000000000000001</v>
      </c>
      <c r="T58" s="35">
        <v>3.44</v>
      </c>
      <c r="U58" s="35">
        <v>0.65</v>
      </c>
      <c r="V58" s="35">
        <v>0.4</v>
      </c>
      <c r="W58" s="35">
        <v>0.4</v>
      </c>
      <c r="X58" s="35">
        <v>1.2</v>
      </c>
      <c r="Y58" s="35">
        <v>7.25</v>
      </c>
      <c r="Z58" s="35">
        <v>0.75</v>
      </c>
      <c r="AA58" s="45">
        <f t="shared" si="3"/>
        <v>20.79</v>
      </c>
      <c r="AB58" s="35">
        <f t="shared" si="4"/>
        <v>2.0789999999999997</v>
      </c>
      <c r="AC58" s="35">
        <f>(AA58/(AA58+'Marketable Yield'!AA58))*100</f>
        <v>46.845425867507892</v>
      </c>
      <c r="AD58" s="35"/>
      <c r="AE58" s="35"/>
      <c r="AF58" s="35" t="s">
        <v>230</v>
      </c>
      <c r="AG58" s="35">
        <f t="shared" si="6"/>
        <v>8.1454545454545446</v>
      </c>
      <c r="AH58" s="35">
        <f t="shared" si="7"/>
        <v>8.8000000000000007</v>
      </c>
      <c r="AI58" s="35">
        <f t="shared" si="9"/>
        <v>3.2376470588235295</v>
      </c>
      <c r="AJ58" s="35">
        <f t="shared" si="10"/>
        <v>3.4666666666666668</v>
      </c>
      <c r="AK58" s="35">
        <f t="shared" si="11"/>
        <v>6.4</v>
      </c>
      <c r="AL58" s="35">
        <f t="shared" si="15"/>
        <v>3.2</v>
      </c>
      <c r="AM58" s="35">
        <f t="shared" si="12"/>
        <v>4.8</v>
      </c>
      <c r="AN58" s="35">
        <f t="shared" si="13"/>
        <v>5.0434782608695654</v>
      </c>
      <c r="AO58" s="35">
        <f t="shared" si="14"/>
        <v>4</v>
      </c>
      <c r="AP58" s="45">
        <f t="shared" si="8"/>
        <v>5.2325829479793668</v>
      </c>
    </row>
    <row r="59" spans="1:42" x14ac:dyDescent="0.25">
      <c r="A59" t="s">
        <v>53</v>
      </c>
      <c r="B59" s="35">
        <v>0</v>
      </c>
      <c r="C59" s="35">
        <v>13</v>
      </c>
      <c r="D59" s="35">
        <v>1</v>
      </c>
      <c r="E59" s="35">
        <v>11</v>
      </c>
      <c r="F59" s="35">
        <v>2</v>
      </c>
      <c r="G59" s="35">
        <v>0</v>
      </c>
      <c r="H59" s="35">
        <v>7</v>
      </c>
      <c r="I59" s="35">
        <v>16</v>
      </c>
      <c r="J59" s="35">
        <v>17</v>
      </c>
      <c r="K59" s="35">
        <v>13</v>
      </c>
      <c r="L59" s="45">
        <f t="shared" si="1"/>
        <v>80</v>
      </c>
      <c r="M59" s="35">
        <f t="shared" si="2"/>
        <v>8</v>
      </c>
      <c r="N59" s="35">
        <f>(L59/(L59+'Marketable Yield'!L59))*100</f>
        <v>52.631578947368418</v>
      </c>
      <c r="O59" s="35"/>
      <c r="P59" s="35"/>
      <c r="Q59" s="35">
        <v>0</v>
      </c>
      <c r="R59" s="35">
        <v>6</v>
      </c>
      <c r="S59" s="35">
        <v>0.7</v>
      </c>
      <c r="T59" s="35">
        <v>1.8</v>
      </c>
      <c r="U59" s="35">
        <v>0.65</v>
      </c>
      <c r="V59" s="35">
        <v>0</v>
      </c>
      <c r="W59" s="35">
        <v>1.5</v>
      </c>
      <c r="X59" s="35">
        <v>4.75</v>
      </c>
      <c r="Y59" s="35">
        <v>3.55</v>
      </c>
      <c r="Z59" s="35">
        <v>1.8</v>
      </c>
      <c r="AA59" s="45">
        <f t="shared" si="3"/>
        <v>20.75</v>
      </c>
      <c r="AB59" s="35">
        <f t="shared" si="4"/>
        <v>2.0750000000000002</v>
      </c>
      <c r="AC59" s="35">
        <f>(AA59/(AA59+'Marketable Yield'!AA59))*100</f>
        <v>43.887478849407785</v>
      </c>
      <c r="AD59" s="35"/>
      <c r="AE59" s="35"/>
      <c r="AF59" s="35" t="s">
        <v>230</v>
      </c>
      <c r="AG59" s="35">
        <f t="shared" si="6"/>
        <v>7.384615384615385</v>
      </c>
      <c r="AH59" s="35">
        <f t="shared" si="7"/>
        <v>11.2</v>
      </c>
      <c r="AI59" s="35">
        <f t="shared" si="9"/>
        <v>2.6181818181818182</v>
      </c>
      <c r="AJ59" s="35">
        <f t="shared" si="10"/>
        <v>5.2</v>
      </c>
      <c r="AK59" s="35" t="s">
        <v>230</v>
      </c>
      <c r="AL59" s="35">
        <f t="shared" si="15"/>
        <v>3.4285714285714284</v>
      </c>
      <c r="AM59" s="35">
        <f t="shared" si="12"/>
        <v>4.75</v>
      </c>
      <c r="AN59" s="35">
        <f t="shared" si="13"/>
        <v>3.341176470588235</v>
      </c>
      <c r="AO59" s="35">
        <f t="shared" si="14"/>
        <v>2.2153846153846155</v>
      </c>
      <c r="AP59" s="45">
        <f t="shared" si="8"/>
        <v>5.0172412146676848</v>
      </c>
    </row>
    <row r="60" spans="1:42" x14ac:dyDescent="0.25">
      <c r="A60" t="s">
        <v>54</v>
      </c>
      <c r="B60" s="35">
        <v>3</v>
      </c>
      <c r="C60" s="35">
        <v>9</v>
      </c>
      <c r="D60" s="35">
        <v>11</v>
      </c>
      <c r="E60" s="35">
        <v>1</v>
      </c>
      <c r="F60" s="35">
        <v>3</v>
      </c>
      <c r="G60" s="35">
        <v>0</v>
      </c>
      <c r="H60" s="35">
        <v>0</v>
      </c>
      <c r="I60" s="35">
        <v>5</v>
      </c>
      <c r="J60" s="35">
        <v>19</v>
      </c>
      <c r="K60" s="35">
        <v>10</v>
      </c>
      <c r="L60" s="45">
        <f t="shared" si="1"/>
        <v>61</v>
      </c>
      <c r="M60" s="35">
        <f t="shared" si="2"/>
        <v>6.1</v>
      </c>
      <c r="N60" s="35">
        <f>(L60/(L60+'Marketable Yield'!L60))*100</f>
        <v>52.136752136752143</v>
      </c>
      <c r="O60" s="35"/>
      <c r="P60" s="35"/>
      <c r="Q60" s="35">
        <v>2.1</v>
      </c>
      <c r="R60" s="35">
        <v>6.15</v>
      </c>
      <c r="S60" s="35">
        <v>9.6</v>
      </c>
      <c r="T60" s="35">
        <v>0.22</v>
      </c>
      <c r="U60" s="35">
        <v>2.15</v>
      </c>
      <c r="V60" s="35">
        <v>0</v>
      </c>
      <c r="W60" s="35">
        <v>0</v>
      </c>
      <c r="X60" s="35">
        <v>1.85</v>
      </c>
      <c r="Y60" s="35">
        <v>7.05</v>
      </c>
      <c r="Z60" s="35">
        <v>3.45</v>
      </c>
      <c r="AA60" s="45">
        <f t="shared" si="3"/>
        <v>32.57</v>
      </c>
      <c r="AB60" s="35">
        <f t="shared" si="4"/>
        <v>3.2570000000000001</v>
      </c>
      <c r="AC60" s="35">
        <f>(AA60/(AA60+'Marketable Yield'!AA60))*100</f>
        <v>56.164856009656837</v>
      </c>
      <c r="AD60" s="35"/>
      <c r="AE60" s="35"/>
      <c r="AF60" s="35">
        <f t="shared" si="5"/>
        <v>11.200000000000001</v>
      </c>
      <c r="AG60" s="35">
        <f t="shared" si="6"/>
        <v>10.933333333333334</v>
      </c>
      <c r="AH60" s="35">
        <f t="shared" si="7"/>
        <v>13.963636363636363</v>
      </c>
      <c r="AI60" s="35">
        <f t="shared" si="9"/>
        <v>3.52</v>
      </c>
      <c r="AJ60" s="35">
        <f t="shared" si="10"/>
        <v>11.466666666666667</v>
      </c>
      <c r="AK60" s="35" t="s">
        <v>230</v>
      </c>
      <c r="AL60" s="35" t="s">
        <v>230</v>
      </c>
      <c r="AM60" s="35">
        <f t="shared" si="12"/>
        <v>5.92</v>
      </c>
      <c r="AN60" s="35">
        <f t="shared" si="13"/>
        <v>5.9368421052631577</v>
      </c>
      <c r="AO60" s="35">
        <f t="shared" si="14"/>
        <v>5.5200000000000005</v>
      </c>
      <c r="AP60" s="45">
        <f t="shared" si="8"/>
        <v>8.5575598086124405</v>
      </c>
    </row>
    <row r="61" spans="1:42" x14ac:dyDescent="0.25">
      <c r="A61" t="s">
        <v>55</v>
      </c>
      <c r="B61" s="35">
        <v>4</v>
      </c>
      <c r="C61" s="35">
        <v>12</v>
      </c>
      <c r="D61" s="35">
        <v>2</v>
      </c>
      <c r="E61" s="35">
        <v>11</v>
      </c>
      <c r="F61" s="35">
        <v>8</v>
      </c>
      <c r="G61" s="35">
        <v>1</v>
      </c>
      <c r="H61" s="35">
        <v>3</v>
      </c>
      <c r="I61" s="35">
        <v>4</v>
      </c>
      <c r="J61" s="35">
        <v>3</v>
      </c>
      <c r="K61" s="35">
        <v>30</v>
      </c>
      <c r="L61" s="45">
        <f t="shared" si="1"/>
        <v>78</v>
      </c>
      <c r="M61" s="35">
        <f t="shared" si="2"/>
        <v>7.8</v>
      </c>
      <c r="N61" s="35">
        <f>(L61/(L61+'Marketable Yield'!L61))*100</f>
        <v>68.421052631578945</v>
      </c>
      <c r="O61" s="35"/>
      <c r="P61" s="35"/>
      <c r="Q61" s="35">
        <v>3.15</v>
      </c>
      <c r="R61" s="35">
        <v>6.5</v>
      </c>
      <c r="S61" s="35">
        <v>1.1499999999999999</v>
      </c>
      <c r="T61" s="35">
        <v>2.84</v>
      </c>
      <c r="U61" s="35">
        <v>4.6500000000000004</v>
      </c>
      <c r="V61" s="35">
        <v>0.55000000000000004</v>
      </c>
      <c r="W61" s="35">
        <v>0.6</v>
      </c>
      <c r="X61" s="35">
        <v>0.6</v>
      </c>
      <c r="Y61" s="35">
        <v>1.1000000000000001</v>
      </c>
      <c r="Z61" s="35">
        <v>11.55</v>
      </c>
      <c r="AA61" s="45">
        <f t="shared" si="3"/>
        <v>32.690000000000005</v>
      </c>
      <c r="AB61" s="35">
        <f t="shared" si="4"/>
        <v>3.2690000000000006</v>
      </c>
      <c r="AC61" s="35">
        <f>(AA61/(AA61+'Marketable Yield'!AA61))*100</f>
        <v>61.24016485575121</v>
      </c>
      <c r="AD61" s="35"/>
      <c r="AE61" s="35"/>
      <c r="AF61" s="35">
        <f t="shared" si="5"/>
        <v>12.6</v>
      </c>
      <c r="AG61" s="35">
        <f t="shared" si="6"/>
        <v>8.6666666666666661</v>
      </c>
      <c r="AH61" s="35">
        <f t="shared" si="7"/>
        <v>9.1999999999999993</v>
      </c>
      <c r="AI61" s="35">
        <f t="shared" si="9"/>
        <v>4.1309090909090909</v>
      </c>
      <c r="AJ61" s="35">
        <f t="shared" si="10"/>
        <v>9.3000000000000007</v>
      </c>
      <c r="AK61" s="35">
        <f t="shared" si="11"/>
        <v>8.8000000000000007</v>
      </c>
      <c r="AL61" s="35">
        <f t="shared" si="15"/>
        <v>3.1999999999999997</v>
      </c>
      <c r="AM61" s="35">
        <f t="shared" si="12"/>
        <v>2.4</v>
      </c>
      <c r="AN61" s="35">
        <f t="shared" si="13"/>
        <v>5.8666666666666671</v>
      </c>
      <c r="AO61" s="35">
        <f t="shared" si="14"/>
        <v>6.16</v>
      </c>
      <c r="AP61" s="45">
        <f t="shared" si="8"/>
        <v>7.0324242424242414</v>
      </c>
    </row>
    <row r="62" spans="1:42" x14ac:dyDescent="0.25">
      <c r="A62" t="s">
        <v>56</v>
      </c>
      <c r="B62" s="35">
        <v>1</v>
      </c>
      <c r="C62" s="35">
        <v>12</v>
      </c>
      <c r="D62" s="35">
        <v>4</v>
      </c>
      <c r="E62" s="35">
        <v>13</v>
      </c>
      <c r="F62" s="35">
        <v>1</v>
      </c>
      <c r="G62" s="35">
        <v>0</v>
      </c>
      <c r="H62" s="35">
        <v>0</v>
      </c>
      <c r="I62" s="35">
        <v>6</v>
      </c>
      <c r="J62" s="35">
        <v>20</v>
      </c>
      <c r="K62" s="35">
        <v>6</v>
      </c>
      <c r="L62" s="45">
        <f t="shared" si="1"/>
        <v>63</v>
      </c>
      <c r="M62" s="35">
        <f t="shared" si="2"/>
        <v>6.3</v>
      </c>
      <c r="N62" s="35">
        <f>(L62/(L62+'Marketable Yield'!L62))*100</f>
        <v>56.25</v>
      </c>
      <c r="O62" s="35"/>
      <c r="P62" s="35"/>
      <c r="Q62" s="35">
        <v>1.1000000000000001</v>
      </c>
      <c r="R62" s="35">
        <v>8.65</v>
      </c>
      <c r="S62" s="35">
        <v>1.96</v>
      </c>
      <c r="T62" s="35">
        <v>2.9</v>
      </c>
      <c r="U62" s="35">
        <v>0.2</v>
      </c>
      <c r="V62" s="35">
        <v>0</v>
      </c>
      <c r="W62" s="35">
        <v>0</v>
      </c>
      <c r="X62" s="35">
        <v>1.75</v>
      </c>
      <c r="Y62" s="35">
        <v>5.75</v>
      </c>
      <c r="Z62" s="35">
        <v>1.55</v>
      </c>
      <c r="AA62" s="45">
        <f t="shared" si="3"/>
        <v>23.860000000000003</v>
      </c>
      <c r="AB62" s="35">
        <f t="shared" si="4"/>
        <v>2.3860000000000001</v>
      </c>
      <c r="AC62" s="35">
        <f>(AA62/(AA62+'Marketable Yield'!AA62))*100</f>
        <v>53.247043070743139</v>
      </c>
      <c r="AD62" s="35"/>
      <c r="AE62" s="35"/>
      <c r="AF62" s="35">
        <f t="shared" si="5"/>
        <v>17.600000000000001</v>
      </c>
      <c r="AG62" s="35">
        <f t="shared" si="6"/>
        <v>11.533333333333333</v>
      </c>
      <c r="AH62" s="35">
        <f t="shared" si="7"/>
        <v>7.84</v>
      </c>
      <c r="AI62" s="35">
        <f t="shared" si="9"/>
        <v>3.569230769230769</v>
      </c>
      <c r="AJ62" s="35">
        <f t="shared" si="10"/>
        <v>3.2</v>
      </c>
      <c r="AK62" s="35" t="s">
        <v>230</v>
      </c>
      <c r="AL62" s="35" t="s">
        <v>230</v>
      </c>
      <c r="AM62" s="35">
        <f t="shared" si="12"/>
        <v>4.666666666666667</v>
      </c>
      <c r="AN62" s="35">
        <f t="shared" si="13"/>
        <v>4.5999999999999996</v>
      </c>
      <c r="AO62" s="35">
        <f t="shared" si="14"/>
        <v>4.1333333333333337</v>
      </c>
      <c r="AP62" s="45">
        <f t="shared" si="8"/>
        <v>7.1428205128205127</v>
      </c>
    </row>
    <row r="63" spans="1:42" x14ac:dyDescent="0.25">
      <c r="A63" t="s">
        <v>57</v>
      </c>
      <c r="B63" s="35">
        <v>1</v>
      </c>
      <c r="C63" s="35">
        <v>12</v>
      </c>
      <c r="D63" s="35">
        <v>5</v>
      </c>
      <c r="E63" s="35">
        <v>20</v>
      </c>
      <c r="F63" s="35">
        <v>5</v>
      </c>
      <c r="G63" s="35">
        <v>0</v>
      </c>
      <c r="H63" s="35">
        <v>0</v>
      </c>
      <c r="I63" s="35">
        <v>10</v>
      </c>
      <c r="J63" s="35">
        <v>13</v>
      </c>
      <c r="K63" s="35">
        <v>11</v>
      </c>
      <c r="L63" s="45">
        <f t="shared" si="1"/>
        <v>77</v>
      </c>
      <c r="M63" s="35">
        <f t="shared" si="2"/>
        <v>7.7</v>
      </c>
      <c r="N63" s="35">
        <f>(L63/(L63+'Marketable Yield'!L63))*100</f>
        <v>58.778625954198475</v>
      </c>
      <c r="O63" s="35"/>
      <c r="P63" s="35"/>
      <c r="Q63" s="35">
        <v>1.3</v>
      </c>
      <c r="R63" s="35">
        <v>7.6</v>
      </c>
      <c r="S63" s="35">
        <v>2.5499999999999998</v>
      </c>
      <c r="T63" s="35">
        <v>4.92</v>
      </c>
      <c r="U63" s="35">
        <v>2.2999999999999998</v>
      </c>
      <c r="V63" s="35">
        <v>0</v>
      </c>
      <c r="W63" s="35">
        <v>0</v>
      </c>
      <c r="X63" s="35">
        <v>3.45</v>
      </c>
      <c r="Y63" s="35">
        <v>1.6</v>
      </c>
      <c r="Z63" s="35">
        <v>3.55</v>
      </c>
      <c r="AA63" s="45">
        <f t="shared" si="3"/>
        <v>27.27</v>
      </c>
      <c r="AB63" s="35">
        <f t="shared" si="4"/>
        <v>2.7269999999999999</v>
      </c>
      <c r="AC63" s="35">
        <f>(AA63/(AA63+'Marketable Yield'!AA63))*100</f>
        <v>58.219470538001708</v>
      </c>
      <c r="AD63" s="35"/>
      <c r="AE63" s="35"/>
      <c r="AF63" s="35">
        <f t="shared" si="5"/>
        <v>20.8</v>
      </c>
      <c r="AG63" s="35">
        <f t="shared" si="6"/>
        <v>10.133333333333333</v>
      </c>
      <c r="AH63" s="35">
        <f t="shared" si="7"/>
        <v>8.16</v>
      </c>
      <c r="AI63" s="35">
        <f t="shared" si="9"/>
        <v>3.9359999999999999</v>
      </c>
      <c r="AJ63" s="35">
        <f t="shared" si="10"/>
        <v>7.3599999999999994</v>
      </c>
      <c r="AK63" s="35" t="s">
        <v>230</v>
      </c>
      <c r="AL63" s="35" t="s">
        <v>230</v>
      </c>
      <c r="AM63" s="35">
        <f t="shared" si="12"/>
        <v>5.5200000000000005</v>
      </c>
      <c r="AN63" s="35">
        <f t="shared" si="13"/>
        <v>1.9692307692307693</v>
      </c>
      <c r="AO63" s="35">
        <f t="shared" si="14"/>
        <v>5.1636363636363631</v>
      </c>
      <c r="AP63" s="45">
        <f t="shared" si="8"/>
        <v>7.8802750582750587</v>
      </c>
    </row>
    <row r="64" spans="1:42" x14ac:dyDescent="0.25">
      <c r="A64" t="s">
        <v>58</v>
      </c>
      <c r="B64" s="35">
        <v>3</v>
      </c>
      <c r="C64" s="35">
        <v>5</v>
      </c>
      <c r="D64" s="35">
        <v>2</v>
      </c>
      <c r="E64" s="35">
        <v>9</v>
      </c>
      <c r="F64" s="35">
        <v>2</v>
      </c>
      <c r="G64" s="35">
        <v>0</v>
      </c>
      <c r="H64" s="35">
        <v>0</v>
      </c>
      <c r="I64" s="35">
        <v>1</v>
      </c>
      <c r="J64" s="35">
        <v>18</v>
      </c>
      <c r="K64" s="35">
        <v>15</v>
      </c>
      <c r="L64" s="45">
        <f t="shared" si="1"/>
        <v>55</v>
      </c>
      <c r="M64" s="35">
        <f t="shared" si="2"/>
        <v>5.5</v>
      </c>
      <c r="N64" s="35">
        <f>(L64/(L64+'Marketable Yield'!L64))*100</f>
        <v>37.671232876712331</v>
      </c>
      <c r="O64" s="35"/>
      <c r="P64" s="35"/>
      <c r="Q64" s="35">
        <v>2.15</v>
      </c>
      <c r="R64" s="35">
        <v>3.15</v>
      </c>
      <c r="S64" s="35">
        <v>1.5</v>
      </c>
      <c r="T64" s="35">
        <v>2.8</v>
      </c>
      <c r="U64" s="35">
        <v>1.7</v>
      </c>
      <c r="V64" s="35">
        <v>0</v>
      </c>
      <c r="W64" s="35">
        <v>0</v>
      </c>
      <c r="X64" s="35">
        <v>0.2</v>
      </c>
      <c r="Y64" s="35">
        <v>6.9</v>
      </c>
      <c r="Z64" s="35">
        <v>5</v>
      </c>
      <c r="AA64" s="45">
        <f t="shared" si="3"/>
        <v>23.4</v>
      </c>
      <c r="AB64" s="35">
        <f t="shared" si="4"/>
        <v>2.34</v>
      </c>
      <c r="AC64" s="35">
        <f>(AA64/(AA64+'Marketable Yield'!AA64))*100</f>
        <v>35.198555956678703</v>
      </c>
      <c r="AD64" s="35"/>
      <c r="AE64" s="35"/>
      <c r="AF64" s="35">
        <f t="shared" si="5"/>
        <v>11.466666666666667</v>
      </c>
      <c r="AG64" s="35">
        <f t="shared" si="6"/>
        <v>10.08</v>
      </c>
      <c r="AH64" s="35">
        <f t="shared" si="7"/>
        <v>12</v>
      </c>
      <c r="AI64" s="35">
        <f t="shared" si="9"/>
        <v>4.9777777777777779</v>
      </c>
      <c r="AJ64" s="35">
        <f t="shared" si="10"/>
        <v>13.6</v>
      </c>
      <c r="AK64" s="35" t="s">
        <v>230</v>
      </c>
      <c r="AL64" s="35" t="s">
        <v>230</v>
      </c>
      <c r="AM64" s="35">
        <f t="shared" si="12"/>
        <v>3.2</v>
      </c>
      <c r="AN64" s="35">
        <f t="shared" si="13"/>
        <v>6.1333333333333337</v>
      </c>
      <c r="AO64" s="35">
        <f t="shared" si="14"/>
        <v>5.333333333333333</v>
      </c>
      <c r="AP64" s="45">
        <f t="shared" si="8"/>
        <v>8.3488888888888884</v>
      </c>
    </row>
    <row r="65" spans="1:42" x14ac:dyDescent="0.25">
      <c r="A65" t="s">
        <v>59</v>
      </c>
      <c r="B65" s="35">
        <v>1</v>
      </c>
      <c r="C65" s="35">
        <v>10</v>
      </c>
      <c r="D65" s="35">
        <v>1</v>
      </c>
      <c r="E65" s="35">
        <v>11</v>
      </c>
      <c r="F65" s="35">
        <v>2</v>
      </c>
      <c r="G65" s="35">
        <v>0</v>
      </c>
      <c r="H65" s="35">
        <v>0</v>
      </c>
      <c r="I65" s="35">
        <v>2</v>
      </c>
      <c r="J65" s="35">
        <v>7</v>
      </c>
      <c r="K65" s="35">
        <v>9</v>
      </c>
      <c r="L65" s="45">
        <f t="shared" si="1"/>
        <v>43</v>
      </c>
      <c r="M65" s="35">
        <f t="shared" si="2"/>
        <v>4.3</v>
      </c>
      <c r="N65" s="35">
        <f>(L65/(L65+'Marketable Yield'!L65))*100</f>
        <v>58.108108108108105</v>
      </c>
      <c r="O65" s="35"/>
      <c r="P65" s="35"/>
      <c r="Q65" s="35">
        <v>1.1000000000000001</v>
      </c>
      <c r="R65" s="35">
        <v>6.7</v>
      </c>
      <c r="S65" s="35">
        <v>0.9</v>
      </c>
      <c r="T65" s="35">
        <v>3.06</v>
      </c>
      <c r="U65" s="35">
        <v>1.65</v>
      </c>
      <c r="V65" s="35">
        <v>0</v>
      </c>
      <c r="W65" s="35">
        <v>0</v>
      </c>
      <c r="X65" s="35">
        <v>1.3</v>
      </c>
      <c r="Y65" s="35">
        <v>3.75</v>
      </c>
      <c r="Z65" s="35">
        <v>3.3</v>
      </c>
      <c r="AA65" s="45">
        <f t="shared" si="3"/>
        <v>21.76</v>
      </c>
      <c r="AB65" s="35">
        <f t="shared" si="4"/>
        <v>2.1760000000000002</v>
      </c>
      <c r="AC65" s="35">
        <f>(AA65/(AA65+'Marketable Yield'!AA65))*100</f>
        <v>53.16393843146836</v>
      </c>
      <c r="AD65" s="35"/>
      <c r="AE65" s="35"/>
      <c r="AF65" s="35">
        <f t="shared" si="5"/>
        <v>17.600000000000001</v>
      </c>
      <c r="AG65" s="35">
        <f t="shared" si="6"/>
        <v>10.72</v>
      </c>
      <c r="AH65" s="35">
        <f t="shared" si="7"/>
        <v>14.4</v>
      </c>
      <c r="AI65" s="35">
        <f t="shared" si="9"/>
        <v>4.4509090909090911</v>
      </c>
      <c r="AJ65" s="35">
        <f t="shared" si="10"/>
        <v>13.2</v>
      </c>
      <c r="AK65" s="35" t="s">
        <v>230</v>
      </c>
      <c r="AL65" s="35" t="s">
        <v>230</v>
      </c>
      <c r="AM65" s="35">
        <f t="shared" si="12"/>
        <v>10.4</v>
      </c>
      <c r="AN65" s="35">
        <f t="shared" si="13"/>
        <v>8.5714285714285712</v>
      </c>
      <c r="AO65" s="35">
        <f t="shared" si="14"/>
        <v>5.8666666666666663</v>
      </c>
      <c r="AP65" s="45">
        <f t="shared" si="8"/>
        <v>10.651125541125541</v>
      </c>
    </row>
    <row r="66" spans="1:42" x14ac:dyDescent="0.25">
      <c r="A66" t="s">
        <v>60</v>
      </c>
      <c r="B66" s="35">
        <v>1</v>
      </c>
      <c r="C66" s="35">
        <v>8</v>
      </c>
      <c r="D66" s="35">
        <v>3</v>
      </c>
      <c r="E66" s="35">
        <v>24</v>
      </c>
      <c r="F66" s="35">
        <v>1</v>
      </c>
      <c r="G66" s="35">
        <v>0</v>
      </c>
      <c r="H66" s="35">
        <v>0</v>
      </c>
      <c r="I66" s="35">
        <v>1</v>
      </c>
      <c r="J66" s="35">
        <v>10</v>
      </c>
      <c r="K66" s="35">
        <v>13</v>
      </c>
      <c r="L66" s="45">
        <f t="shared" si="1"/>
        <v>61</v>
      </c>
      <c r="M66" s="35">
        <f t="shared" si="2"/>
        <v>6.1</v>
      </c>
      <c r="N66" s="35">
        <f>(L66/(L66+'Marketable Yield'!L66))*100</f>
        <v>52.136752136752143</v>
      </c>
      <c r="O66" s="35"/>
      <c r="P66" s="35"/>
      <c r="Q66" s="35">
        <v>0.75</v>
      </c>
      <c r="R66" s="35">
        <v>6.45</v>
      </c>
      <c r="S66" s="35">
        <v>2.5</v>
      </c>
      <c r="T66" s="35">
        <v>9.34</v>
      </c>
      <c r="U66" s="35">
        <v>0.4</v>
      </c>
      <c r="V66" s="35">
        <v>0</v>
      </c>
      <c r="W66" s="35">
        <v>0</v>
      </c>
      <c r="X66" s="35">
        <v>0.35</v>
      </c>
      <c r="Y66" s="35">
        <v>4.75</v>
      </c>
      <c r="Z66" s="35">
        <v>4.9000000000000004</v>
      </c>
      <c r="AA66" s="45">
        <f t="shared" si="3"/>
        <v>29.439999999999998</v>
      </c>
      <c r="AB66" s="35">
        <f t="shared" si="4"/>
        <v>2.944</v>
      </c>
      <c r="AC66" s="35">
        <f>(AA66/(AA66+'Marketable Yield'!AA66))*100</f>
        <v>49.915225500169548</v>
      </c>
      <c r="AD66" s="35"/>
      <c r="AE66" s="35"/>
      <c r="AF66" s="35">
        <f t="shared" si="5"/>
        <v>12</v>
      </c>
      <c r="AG66" s="35">
        <f t="shared" si="6"/>
        <v>12.9</v>
      </c>
      <c r="AH66" s="35">
        <f t="shared" si="7"/>
        <v>13.333333333333334</v>
      </c>
      <c r="AI66" s="35">
        <f t="shared" si="9"/>
        <v>6.2266666666666666</v>
      </c>
      <c r="AJ66" s="35">
        <f t="shared" si="10"/>
        <v>6.4</v>
      </c>
      <c r="AK66" s="35" t="s">
        <v>230</v>
      </c>
      <c r="AL66" s="35" t="s">
        <v>230</v>
      </c>
      <c r="AM66" s="35">
        <f t="shared" si="12"/>
        <v>5.6</v>
      </c>
      <c r="AN66" s="35">
        <f t="shared" si="13"/>
        <v>7.6</v>
      </c>
      <c r="AO66" s="35">
        <f t="shared" si="14"/>
        <v>6.0307692307692315</v>
      </c>
      <c r="AP66" s="45">
        <f t="shared" si="8"/>
        <v>8.761346153846155</v>
      </c>
    </row>
    <row r="67" spans="1:42" x14ac:dyDescent="0.25">
      <c r="A67" t="s">
        <v>61</v>
      </c>
      <c r="B67" s="35">
        <v>2</v>
      </c>
      <c r="C67" s="35">
        <v>6</v>
      </c>
      <c r="D67" s="35">
        <v>1</v>
      </c>
      <c r="E67" s="35">
        <v>7</v>
      </c>
      <c r="F67" s="35">
        <v>3</v>
      </c>
      <c r="G67" s="35">
        <v>4</v>
      </c>
      <c r="H67" s="35">
        <v>9</v>
      </c>
      <c r="I67" s="35">
        <v>9</v>
      </c>
      <c r="J67" s="35">
        <v>23</v>
      </c>
      <c r="K67" s="35">
        <v>16</v>
      </c>
      <c r="L67" s="45">
        <f t="shared" si="1"/>
        <v>80</v>
      </c>
      <c r="M67" s="35">
        <f t="shared" si="2"/>
        <v>8</v>
      </c>
      <c r="N67" s="35">
        <f>(L67/(L67+'Marketable Yield'!L67))*100</f>
        <v>58.394160583941598</v>
      </c>
      <c r="O67" s="35"/>
      <c r="P67" s="35"/>
      <c r="Q67" s="35">
        <v>1.5</v>
      </c>
      <c r="R67" s="35">
        <v>4.05</v>
      </c>
      <c r="S67" s="35">
        <v>0.7</v>
      </c>
      <c r="T67" s="35">
        <v>1.64</v>
      </c>
      <c r="U67" s="35">
        <v>0.75</v>
      </c>
      <c r="V67" s="35">
        <v>1.05</v>
      </c>
      <c r="W67" s="35">
        <v>2.85</v>
      </c>
      <c r="X67" s="35">
        <v>3.1</v>
      </c>
      <c r="Y67" s="35">
        <v>9.4499999999999993</v>
      </c>
      <c r="Z67" s="35">
        <v>2.85</v>
      </c>
      <c r="AA67" s="45">
        <f t="shared" si="3"/>
        <v>27.94</v>
      </c>
      <c r="AB67" s="35">
        <f t="shared" si="4"/>
        <v>2.794</v>
      </c>
      <c r="AC67" s="35">
        <f>(AA67/(AA67+'Marketable Yield'!AA67))*100</f>
        <v>50.744642208499826</v>
      </c>
      <c r="AD67" s="35"/>
      <c r="AE67" s="35"/>
      <c r="AF67" s="35">
        <f t="shared" si="5"/>
        <v>12</v>
      </c>
      <c r="AG67" s="35">
        <f t="shared" si="6"/>
        <v>10.799999999999999</v>
      </c>
      <c r="AH67" s="35">
        <f t="shared" si="7"/>
        <v>11.2</v>
      </c>
      <c r="AI67" s="35">
        <f t="shared" si="9"/>
        <v>3.7485714285714282</v>
      </c>
      <c r="AJ67" s="35">
        <f t="shared" si="10"/>
        <v>4</v>
      </c>
      <c r="AK67" s="35">
        <f t="shared" si="11"/>
        <v>4.2</v>
      </c>
      <c r="AL67" s="35">
        <f t="shared" si="15"/>
        <v>5.0666666666666664</v>
      </c>
      <c r="AM67" s="35">
        <f t="shared" si="12"/>
        <v>5.5111111111111111</v>
      </c>
      <c r="AN67" s="35">
        <f t="shared" si="13"/>
        <v>6.5739130434782602</v>
      </c>
      <c r="AO67" s="35">
        <f t="shared" si="14"/>
        <v>2.85</v>
      </c>
      <c r="AP67" s="45">
        <f t="shared" si="8"/>
        <v>6.5950262249827478</v>
      </c>
    </row>
    <row r="68" spans="1:42" x14ac:dyDescent="0.25">
      <c r="A68" t="s">
        <v>62</v>
      </c>
      <c r="B68" s="35">
        <v>4</v>
      </c>
      <c r="C68" s="35">
        <v>8</v>
      </c>
      <c r="D68" s="35">
        <v>5</v>
      </c>
      <c r="E68" s="35">
        <v>8</v>
      </c>
      <c r="F68" s="35">
        <v>3</v>
      </c>
      <c r="G68" s="35">
        <v>2</v>
      </c>
      <c r="H68" s="35">
        <v>1</v>
      </c>
      <c r="I68" s="35">
        <v>7</v>
      </c>
      <c r="J68" s="35">
        <v>25</v>
      </c>
      <c r="K68" s="35">
        <v>16</v>
      </c>
      <c r="L68" s="45">
        <f t="shared" ref="L68:L89" si="16">SUM(B68:K68)</f>
        <v>79</v>
      </c>
      <c r="M68" s="35">
        <f t="shared" ref="M68:M89" si="17">AVERAGE(B68:K68)</f>
        <v>7.9</v>
      </c>
      <c r="N68" s="35">
        <f>(L68/(L68+'Marketable Yield'!L68))*100</f>
        <v>58.955223880597018</v>
      </c>
      <c r="O68" s="35"/>
      <c r="P68" s="35"/>
      <c r="Q68" s="35">
        <v>2.4500000000000002</v>
      </c>
      <c r="R68" s="35">
        <v>4.8499999999999996</v>
      </c>
      <c r="S68" s="35">
        <v>4.05</v>
      </c>
      <c r="T68" s="35">
        <v>2.08</v>
      </c>
      <c r="U68" s="35">
        <v>2.85</v>
      </c>
      <c r="V68" s="35">
        <v>0.7</v>
      </c>
      <c r="W68" s="35">
        <v>0.4</v>
      </c>
      <c r="X68" s="35">
        <v>3.7</v>
      </c>
      <c r="Y68" s="35">
        <v>10.199999999999999</v>
      </c>
      <c r="Z68" s="35">
        <v>5.7</v>
      </c>
      <c r="AA68" s="45">
        <f t="shared" ref="AA68:AA89" si="18">SUM(Q68:Z68)</f>
        <v>36.979999999999997</v>
      </c>
      <c r="AB68" s="35">
        <f t="shared" ref="AB68:AB89" si="19">AVERAGE(Q68:Z68)</f>
        <v>3.6979999999999995</v>
      </c>
      <c r="AC68" s="35">
        <f>(AA68/(AA68+'Marketable Yield'!AA68))*100</f>
        <v>55.759951749095293</v>
      </c>
      <c r="AD68" s="35"/>
      <c r="AE68" s="35"/>
      <c r="AF68" s="35">
        <f t="shared" ref="AF68:AF89" si="20">(Q68/B68)*16</f>
        <v>9.8000000000000007</v>
      </c>
      <c r="AG68" s="35">
        <f t="shared" ref="AG68:AG88" si="21">(R68/C68)*16</f>
        <v>9.6999999999999993</v>
      </c>
      <c r="AH68" s="35">
        <f t="shared" ref="AH68:AH89" si="22">(S68/D68)*16</f>
        <v>12.959999999999999</v>
      </c>
      <c r="AI68" s="35">
        <f t="shared" ref="AI68:AI89" si="23">(T68/E68)*16</f>
        <v>4.16</v>
      </c>
      <c r="AJ68" s="35">
        <f t="shared" ref="AJ68:AJ89" si="24">(U68/F68)*16</f>
        <v>15.200000000000001</v>
      </c>
      <c r="AK68" s="35">
        <f t="shared" ref="AK68:AK89" si="25">(V68/G68)*16</f>
        <v>5.6</v>
      </c>
      <c r="AL68" s="35">
        <f t="shared" ref="AL68:AL89" si="26">(W68/H68)*16</f>
        <v>6.4</v>
      </c>
      <c r="AM68" s="35">
        <f t="shared" ref="AM68:AM89" si="27">(X68/I68)*16</f>
        <v>8.4571428571428573</v>
      </c>
      <c r="AN68" s="35">
        <f t="shared" ref="AN68:AN89" si="28">(Y68/J68)*16</f>
        <v>6.5279999999999996</v>
      </c>
      <c r="AO68" s="35">
        <f t="shared" ref="AO68:AO89" si="29">(Z68/K68)*16</f>
        <v>5.7</v>
      </c>
      <c r="AP68" s="45">
        <f t="shared" ref="AP68:AP89" si="30">AVERAGE(AF68:AO68)</f>
        <v>8.4505142857142879</v>
      </c>
    </row>
    <row r="69" spans="1:42" x14ac:dyDescent="0.25">
      <c r="A69" t="s">
        <v>63</v>
      </c>
      <c r="B69" s="35">
        <v>1</v>
      </c>
      <c r="C69" s="35">
        <v>5</v>
      </c>
      <c r="D69" s="35">
        <v>4</v>
      </c>
      <c r="E69" s="35">
        <v>13</v>
      </c>
      <c r="F69" s="35">
        <v>5</v>
      </c>
      <c r="G69" s="35">
        <v>0</v>
      </c>
      <c r="H69" s="35">
        <v>5</v>
      </c>
      <c r="I69" s="35">
        <v>9</v>
      </c>
      <c r="J69" s="35">
        <v>28</v>
      </c>
      <c r="K69" s="35">
        <v>10</v>
      </c>
      <c r="L69" s="45">
        <f t="shared" si="16"/>
        <v>80</v>
      </c>
      <c r="M69" s="35">
        <f t="shared" si="17"/>
        <v>8</v>
      </c>
      <c r="N69" s="35">
        <f>(L69/(L69+'Marketable Yield'!L69))*100</f>
        <v>65.573770491803273</v>
      </c>
      <c r="O69" s="35"/>
      <c r="P69" s="35"/>
      <c r="Q69" s="35">
        <v>0.65</v>
      </c>
      <c r="R69" s="35">
        <v>4.05</v>
      </c>
      <c r="S69" s="35">
        <v>2.5</v>
      </c>
      <c r="T69" s="35">
        <v>3.98</v>
      </c>
      <c r="U69" s="35">
        <v>2.4</v>
      </c>
      <c r="V69" s="35">
        <v>0</v>
      </c>
      <c r="W69" s="35">
        <v>2.5</v>
      </c>
      <c r="X69" s="35">
        <v>4.25</v>
      </c>
      <c r="Y69" s="35">
        <v>10.199999999999999</v>
      </c>
      <c r="Z69" s="35">
        <v>2.7</v>
      </c>
      <c r="AA69" s="45">
        <f t="shared" si="18"/>
        <v>33.229999999999997</v>
      </c>
      <c r="AB69" s="35">
        <f t="shared" si="19"/>
        <v>3.3229999999999995</v>
      </c>
      <c r="AC69" s="35">
        <f>(AA69/(AA69+'Marketable Yield'!AA69))*100</f>
        <v>64.101080246913583</v>
      </c>
      <c r="AD69" s="35"/>
      <c r="AE69" s="35"/>
      <c r="AF69" s="35">
        <f t="shared" si="20"/>
        <v>10.4</v>
      </c>
      <c r="AG69" s="35">
        <f t="shared" si="21"/>
        <v>12.959999999999999</v>
      </c>
      <c r="AH69" s="35">
        <f t="shared" si="22"/>
        <v>10</v>
      </c>
      <c r="AI69" s="35">
        <f t="shared" si="23"/>
        <v>4.8984615384615386</v>
      </c>
      <c r="AJ69" s="35">
        <f t="shared" si="24"/>
        <v>7.68</v>
      </c>
      <c r="AK69" s="35" t="s">
        <v>230</v>
      </c>
      <c r="AL69" s="35">
        <f t="shared" si="26"/>
        <v>8</v>
      </c>
      <c r="AM69" s="35">
        <f t="shared" si="27"/>
        <v>7.5555555555555554</v>
      </c>
      <c r="AN69" s="35">
        <f t="shared" si="28"/>
        <v>5.8285714285714283</v>
      </c>
      <c r="AO69" s="35">
        <f t="shared" si="29"/>
        <v>4.32</v>
      </c>
      <c r="AP69" s="45">
        <f t="shared" si="30"/>
        <v>7.9602876136209453</v>
      </c>
    </row>
    <row r="70" spans="1:42" x14ac:dyDescent="0.25">
      <c r="A70" t="s">
        <v>64</v>
      </c>
      <c r="B70" s="35">
        <v>2</v>
      </c>
      <c r="C70" s="35">
        <v>5</v>
      </c>
      <c r="D70" s="35">
        <v>3</v>
      </c>
      <c r="E70" s="35">
        <v>13</v>
      </c>
      <c r="F70" s="35">
        <v>7</v>
      </c>
      <c r="G70" s="35">
        <v>2</v>
      </c>
      <c r="H70" s="35">
        <v>3</v>
      </c>
      <c r="I70" s="35">
        <v>8</v>
      </c>
      <c r="J70" s="35">
        <v>16</v>
      </c>
      <c r="K70" s="35">
        <v>11</v>
      </c>
      <c r="L70" s="45">
        <f t="shared" si="16"/>
        <v>70</v>
      </c>
      <c r="M70" s="35">
        <f t="shared" si="17"/>
        <v>7</v>
      </c>
      <c r="N70" s="35">
        <f>(L70/(L70+'Marketable Yield'!L70))*100</f>
        <v>50</v>
      </c>
      <c r="O70" s="35"/>
      <c r="P70" s="35"/>
      <c r="Q70" s="35">
        <v>1.45</v>
      </c>
      <c r="R70" s="35">
        <v>3.2</v>
      </c>
      <c r="S70" s="35">
        <v>2.6</v>
      </c>
      <c r="T70" s="35">
        <v>4.5199999999999996</v>
      </c>
      <c r="U70" s="35">
        <v>4.8499999999999996</v>
      </c>
      <c r="V70" s="35">
        <v>0.45</v>
      </c>
      <c r="W70" s="35">
        <v>0.85</v>
      </c>
      <c r="X70" s="35">
        <v>3.4</v>
      </c>
      <c r="Y70" s="35">
        <v>5.55</v>
      </c>
      <c r="Z70" s="35">
        <v>3.6</v>
      </c>
      <c r="AA70" s="45">
        <f t="shared" si="18"/>
        <v>30.47</v>
      </c>
      <c r="AB70" s="35">
        <f t="shared" si="19"/>
        <v>3.0469999999999997</v>
      </c>
      <c r="AC70" s="35">
        <f>(AA70/(AA70+'Marketable Yield'!AA70))*100</f>
        <v>51.670340851280315</v>
      </c>
      <c r="AD70" s="35"/>
      <c r="AE70" s="35"/>
      <c r="AF70" s="35">
        <f t="shared" si="20"/>
        <v>11.6</v>
      </c>
      <c r="AG70" s="35">
        <f t="shared" si="21"/>
        <v>10.24</v>
      </c>
      <c r="AH70" s="35">
        <f t="shared" si="22"/>
        <v>13.866666666666667</v>
      </c>
      <c r="AI70" s="35">
        <f t="shared" si="23"/>
        <v>5.5630769230769221</v>
      </c>
      <c r="AJ70" s="35">
        <f t="shared" si="24"/>
        <v>11.085714285714285</v>
      </c>
      <c r="AK70" s="35">
        <f t="shared" si="25"/>
        <v>3.6</v>
      </c>
      <c r="AL70" s="35">
        <f t="shared" si="26"/>
        <v>4.5333333333333332</v>
      </c>
      <c r="AM70" s="35">
        <f t="shared" si="27"/>
        <v>6.8</v>
      </c>
      <c r="AN70" s="35">
        <f t="shared" si="28"/>
        <v>5.55</v>
      </c>
      <c r="AO70" s="35">
        <f t="shared" si="29"/>
        <v>5.2363636363636363</v>
      </c>
      <c r="AP70" s="45">
        <f t="shared" si="30"/>
        <v>7.8075154845154842</v>
      </c>
    </row>
    <row r="71" spans="1:42" x14ac:dyDescent="0.25">
      <c r="A71" t="s">
        <v>65</v>
      </c>
      <c r="B71" s="35">
        <v>1</v>
      </c>
      <c r="C71" s="35">
        <v>6</v>
      </c>
      <c r="D71" s="35">
        <v>2</v>
      </c>
      <c r="E71" s="35">
        <v>17</v>
      </c>
      <c r="F71" s="35">
        <v>5</v>
      </c>
      <c r="G71" s="35">
        <v>3</v>
      </c>
      <c r="H71" s="35">
        <v>3</v>
      </c>
      <c r="I71" s="35">
        <v>7</v>
      </c>
      <c r="J71" s="35">
        <v>40</v>
      </c>
      <c r="K71" s="35">
        <v>14</v>
      </c>
      <c r="L71" s="45">
        <f t="shared" si="16"/>
        <v>98</v>
      </c>
      <c r="M71" s="35">
        <f t="shared" si="17"/>
        <v>9.8000000000000007</v>
      </c>
      <c r="N71" s="35">
        <f>(L71/(L71+'Marketable Yield'!L71))*100</f>
        <v>67.58620689655173</v>
      </c>
      <c r="O71" s="35"/>
      <c r="P71" s="35"/>
      <c r="Q71" s="35">
        <v>0.5</v>
      </c>
      <c r="R71" s="35">
        <v>3.65</v>
      </c>
      <c r="S71" s="35">
        <v>1.1499999999999999</v>
      </c>
      <c r="T71" s="35">
        <v>9.8000000000000007</v>
      </c>
      <c r="U71" s="35">
        <v>1.35</v>
      </c>
      <c r="V71" s="35">
        <v>0.85</v>
      </c>
      <c r="W71" s="35">
        <v>1</v>
      </c>
      <c r="X71" s="35">
        <v>3.05</v>
      </c>
      <c r="Y71" s="35">
        <v>13.8</v>
      </c>
      <c r="Z71" s="35">
        <v>3.45</v>
      </c>
      <c r="AA71" s="45">
        <f t="shared" si="18"/>
        <v>38.600000000000009</v>
      </c>
      <c r="AB71" s="35">
        <f t="shared" si="19"/>
        <v>3.8600000000000008</v>
      </c>
      <c r="AC71" s="35">
        <f>(AA71/(AA71+'Marketable Yield'!AA71))*100</f>
        <v>61.318506751390004</v>
      </c>
      <c r="AD71" s="35"/>
      <c r="AE71" s="35"/>
      <c r="AF71" s="35">
        <f t="shared" si="20"/>
        <v>8</v>
      </c>
      <c r="AG71" s="35">
        <f t="shared" si="21"/>
        <v>9.7333333333333325</v>
      </c>
      <c r="AH71" s="35">
        <f t="shared" si="22"/>
        <v>9.1999999999999993</v>
      </c>
      <c r="AI71" s="35">
        <f t="shared" si="23"/>
        <v>9.2235294117647069</v>
      </c>
      <c r="AJ71" s="35">
        <f t="shared" si="24"/>
        <v>4.32</v>
      </c>
      <c r="AK71" s="35">
        <f t="shared" si="25"/>
        <v>4.5333333333333332</v>
      </c>
      <c r="AL71" s="35">
        <f t="shared" si="26"/>
        <v>5.333333333333333</v>
      </c>
      <c r="AM71" s="35">
        <f t="shared" si="27"/>
        <v>6.9714285714285706</v>
      </c>
      <c r="AN71" s="35">
        <f t="shared" si="28"/>
        <v>5.5200000000000005</v>
      </c>
      <c r="AO71" s="35">
        <f t="shared" si="29"/>
        <v>3.9428571428571431</v>
      </c>
      <c r="AP71" s="45">
        <f t="shared" si="30"/>
        <v>6.6777815126050424</v>
      </c>
    </row>
    <row r="72" spans="1:42" x14ac:dyDescent="0.25"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4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4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35"/>
      <c r="AO72" s="35"/>
      <c r="AP72" s="45"/>
    </row>
    <row r="73" spans="1:42" x14ac:dyDescent="0.25">
      <c r="A73" t="s">
        <v>67</v>
      </c>
      <c r="B73" s="35">
        <v>2</v>
      </c>
      <c r="C73" s="35">
        <v>6</v>
      </c>
      <c r="D73" s="35">
        <v>2</v>
      </c>
      <c r="E73" s="35">
        <v>4</v>
      </c>
      <c r="F73" s="35">
        <v>1</v>
      </c>
      <c r="G73" s="35">
        <v>0</v>
      </c>
      <c r="H73" s="35">
        <v>2</v>
      </c>
      <c r="I73" s="35">
        <v>11</v>
      </c>
      <c r="J73" s="35">
        <v>13</v>
      </c>
      <c r="K73" s="35">
        <v>11</v>
      </c>
      <c r="L73" s="45">
        <f t="shared" si="16"/>
        <v>52</v>
      </c>
      <c r="M73" s="35">
        <f t="shared" si="17"/>
        <v>5.2</v>
      </c>
      <c r="N73" s="35">
        <f>(L73/(L73+'Marketable Yield'!L73))*100</f>
        <v>31.137724550898206</v>
      </c>
      <c r="O73" s="35"/>
      <c r="P73" s="35"/>
      <c r="Q73" s="35">
        <v>0.7</v>
      </c>
      <c r="R73" s="35">
        <v>3.05</v>
      </c>
      <c r="S73" s="35">
        <v>1.1000000000000001</v>
      </c>
      <c r="T73" s="35">
        <v>0.6</v>
      </c>
      <c r="U73" s="35">
        <v>0.2</v>
      </c>
      <c r="V73" s="35">
        <v>0</v>
      </c>
      <c r="W73" s="35">
        <v>1.55</v>
      </c>
      <c r="X73" s="35">
        <v>4.1500000000000004</v>
      </c>
      <c r="Y73" s="35">
        <v>3.4</v>
      </c>
      <c r="Z73" s="35">
        <v>4</v>
      </c>
      <c r="AA73" s="45">
        <f t="shared" si="18"/>
        <v>18.75</v>
      </c>
      <c r="AB73" s="35">
        <f t="shared" si="19"/>
        <v>1.875</v>
      </c>
      <c r="AC73" s="35">
        <f>(AA73/(AA73+'Marketable Yield'!AA73))*100</f>
        <v>28.930720567813605</v>
      </c>
      <c r="AD73" s="35"/>
      <c r="AE73" s="35"/>
      <c r="AF73" s="35">
        <f t="shared" si="20"/>
        <v>5.6</v>
      </c>
      <c r="AG73" s="35">
        <f t="shared" si="21"/>
        <v>8.1333333333333329</v>
      </c>
      <c r="AH73" s="35">
        <f t="shared" si="22"/>
        <v>8.8000000000000007</v>
      </c>
      <c r="AI73" s="35">
        <f t="shared" si="23"/>
        <v>2.4</v>
      </c>
      <c r="AJ73" s="35">
        <f t="shared" si="24"/>
        <v>3.2</v>
      </c>
      <c r="AK73" s="35" t="s">
        <v>230</v>
      </c>
      <c r="AL73" s="35">
        <f t="shared" si="26"/>
        <v>12.4</v>
      </c>
      <c r="AM73" s="35">
        <f t="shared" si="27"/>
        <v>6.036363636363637</v>
      </c>
      <c r="AN73" s="35">
        <f t="shared" si="28"/>
        <v>4.1846153846153848</v>
      </c>
      <c r="AO73" s="35">
        <f t="shared" si="29"/>
        <v>5.8181818181818183</v>
      </c>
      <c r="AP73" s="45">
        <f t="shared" si="30"/>
        <v>6.2858326858326858</v>
      </c>
    </row>
    <row r="74" spans="1:42" x14ac:dyDescent="0.25">
      <c r="A74" t="s">
        <v>68</v>
      </c>
      <c r="B74" s="35">
        <v>6</v>
      </c>
      <c r="C74" s="35">
        <v>7</v>
      </c>
      <c r="D74" s="35">
        <v>3</v>
      </c>
      <c r="E74" s="35">
        <v>8</v>
      </c>
      <c r="F74" s="35">
        <v>3</v>
      </c>
      <c r="G74" s="35">
        <v>0</v>
      </c>
      <c r="H74" s="35">
        <v>7</v>
      </c>
      <c r="I74" s="35">
        <v>18</v>
      </c>
      <c r="J74" s="35">
        <v>17</v>
      </c>
      <c r="K74" s="35">
        <v>13</v>
      </c>
      <c r="L74" s="45">
        <f t="shared" si="16"/>
        <v>82</v>
      </c>
      <c r="M74" s="35">
        <f t="shared" si="17"/>
        <v>8.1999999999999993</v>
      </c>
      <c r="N74" s="35">
        <f>(L74/(L74+'Marketable Yield'!L74))*100</f>
        <v>52.903225806451616</v>
      </c>
      <c r="O74" s="35"/>
      <c r="P74" s="35"/>
      <c r="Q74" s="35">
        <v>2.4</v>
      </c>
      <c r="R74" s="35">
        <v>4.0999999999999996</v>
      </c>
      <c r="S74" s="35">
        <v>1.7</v>
      </c>
      <c r="T74" s="35">
        <v>1.74</v>
      </c>
      <c r="U74" s="35">
        <v>0.85</v>
      </c>
      <c r="V74" s="35">
        <v>0</v>
      </c>
      <c r="W74" s="35">
        <v>1.85</v>
      </c>
      <c r="X74" s="35">
        <v>5.4</v>
      </c>
      <c r="Y74" s="35">
        <v>5.0999999999999996</v>
      </c>
      <c r="Z74" s="35">
        <v>2.4</v>
      </c>
      <c r="AA74" s="45">
        <f t="shared" si="18"/>
        <v>25.54</v>
      </c>
      <c r="AB74" s="35">
        <f t="shared" si="19"/>
        <v>2.5539999999999998</v>
      </c>
      <c r="AC74" s="35">
        <f>(AA74/(AA74+'Marketable Yield'!AA74))*100</f>
        <v>44.518040787868216</v>
      </c>
      <c r="AD74" s="35"/>
      <c r="AE74" s="35"/>
      <c r="AF74" s="35">
        <f t="shared" si="20"/>
        <v>6.3999999999999995</v>
      </c>
      <c r="AG74" s="35">
        <f t="shared" si="21"/>
        <v>9.3714285714285701</v>
      </c>
      <c r="AH74" s="35">
        <f t="shared" si="22"/>
        <v>9.0666666666666664</v>
      </c>
      <c r="AI74" s="35">
        <f t="shared" si="23"/>
        <v>3.48</v>
      </c>
      <c r="AJ74" s="35">
        <f t="shared" si="24"/>
        <v>4.5333333333333332</v>
      </c>
      <c r="AK74" s="35" t="s">
        <v>230</v>
      </c>
      <c r="AL74" s="35">
        <f t="shared" si="26"/>
        <v>4.2285714285714286</v>
      </c>
      <c r="AM74" s="35">
        <f t="shared" si="27"/>
        <v>4.8000000000000007</v>
      </c>
      <c r="AN74" s="35">
        <f t="shared" si="28"/>
        <v>4.8</v>
      </c>
      <c r="AO74" s="35">
        <f t="shared" si="29"/>
        <v>2.9538461538461536</v>
      </c>
      <c r="AP74" s="45">
        <f t="shared" si="30"/>
        <v>5.5148717948717936</v>
      </c>
    </row>
    <row r="75" spans="1:42" x14ac:dyDescent="0.25">
      <c r="A75" t="s">
        <v>71</v>
      </c>
      <c r="B75" s="35" t="s">
        <v>230</v>
      </c>
      <c r="C75" s="35">
        <v>7</v>
      </c>
      <c r="D75" s="35">
        <v>0</v>
      </c>
      <c r="E75" s="35">
        <v>13</v>
      </c>
      <c r="F75" s="35">
        <v>2</v>
      </c>
      <c r="G75" s="35">
        <v>1</v>
      </c>
      <c r="H75" s="35">
        <v>1</v>
      </c>
      <c r="I75" s="35">
        <v>3</v>
      </c>
      <c r="J75" s="35">
        <v>10</v>
      </c>
      <c r="K75" s="35">
        <v>22</v>
      </c>
      <c r="L75" s="45">
        <f t="shared" si="16"/>
        <v>59</v>
      </c>
      <c r="M75" s="35">
        <f t="shared" si="17"/>
        <v>6.5555555555555554</v>
      </c>
      <c r="N75" s="35">
        <f>(L75/(L75+'Marketable Yield'!L75))*100</f>
        <v>46.825396825396822</v>
      </c>
      <c r="O75" s="35"/>
      <c r="P75" s="35"/>
      <c r="Q75" s="35" t="s">
        <v>230</v>
      </c>
      <c r="R75" s="35">
        <v>5.85</v>
      </c>
      <c r="S75" s="35">
        <v>0</v>
      </c>
      <c r="T75" s="35">
        <v>3.6</v>
      </c>
      <c r="U75" s="35">
        <v>1.35</v>
      </c>
      <c r="V75" s="35">
        <v>0.4</v>
      </c>
      <c r="W75" s="35">
        <v>0.65</v>
      </c>
      <c r="X75" s="35">
        <v>1.6</v>
      </c>
      <c r="Y75" s="35">
        <v>3.25</v>
      </c>
      <c r="Z75" s="35">
        <v>5.45</v>
      </c>
      <c r="AA75" s="45">
        <f t="shared" si="18"/>
        <v>22.15</v>
      </c>
      <c r="AB75" s="35">
        <f t="shared" si="19"/>
        <v>2.4611111111111108</v>
      </c>
      <c r="AC75" s="35">
        <f>(AA75/(AA75+'Marketable Yield'!AA75))*100</f>
        <v>41.911069063386947</v>
      </c>
      <c r="AD75" s="35"/>
      <c r="AE75" s="35"/>
      <c r="AF75" s="35" t="s">
        <v>230</v>
      </c>
      <c r="AG75" s="35">
        <f t="shared" si="21"/>
        <v>13.37142857142857</v>
      </c>
      <c r="AH75" s="35" t="s">
        <v>230</v>
      </c>
      <c r="AI75" s="35">
        <f t="shared" si="23"/>
        <v>4.430769230769231</v>
      </c>
      <c r="AJ75" s="35">
        <f t="shared" si="24"/>
        <v>10.8</v>
      </c>
      <c r="AK75" s="35">
        <f t="shared" si="25"/>
        <v>6.4</v>
      </c>
      <c r="AL75" s="35">
        <f t="shared" si="26"/>
        <v>10.4</v>
      </c>
      <c r="AM75" s="35">
        <f t="shared" si="27"/>
        <v>8.5333333333333332</v>
      </c>
      <c r="AN75" s="35">
        <f t="shared" si="28"/>
        <v>5.2</v>
      </c>
      <c r="AO75" s="35">
        <f t="shared" si="29"/>
        <v>3.9636363636363638</v>
      </c>
      <c r="AP75" s="45">
        <f t="shared" si="30"/>
        <v>7.8873959373959375</v>
      </c>
    </row>
    <row r="76" spans="1:42" x14ac:dyDescent="0.25">
      <c r="A76" t="s">
        <v>72</v>
      </c>
      <c r="B76" s="35">
        <v>0</v>
      </c>
      <c r="C76" s="35">
        <v>5</v>
      </c>
      <c r="D76" s="35">
        <v>4</v>
      </c>
      <c r="E76" s="35">
        <v>3</v>
      </c>
      <c r="F76" s="35">
        <v>0</v>
      </c>
      <c r="G76" s="35">
        <v>0</v>
      </c>
      <c r="H76" s="35">
        <v>5</v>
      </c>
      <c r="I76" s="35">
        <v>5</v>
      </c>
      <c r="J76" s="35">
        <v>9</v>
      </c>
      <c r="K76" s="35">
        <v>26</v>
      </c>
      <c r="L76" s="45">
        <f t="shared" si="16"/>
        <v>57</v>
      </c>
      <c r="M76" s="35">
        <f t="shared" si="17"/>
        <v>5.7</v>
      </c>
      <c r="N76" s="35">
        <f>(L76/(L76+'Marketable Yield'!L76))*100</f>
        <v>45.6</v>
      </c>
      <c r="O76" s="35"/>
      <c r="P76" s="35"/>
      <c r="Q76" s="35">
        <v>0</v>
      </c>
      <c r="R76" s="35">
        <v>4.1500000000000004</v>
      </c>
      <c r="S76" s="35">
        <v>2.35</v>
      </c>
      <c r="T76" s="35">
        <v>0.88</v>
      </c>
      <c r="U76" s="35">
        <v>0</v>
      </c>
      <c r="V76" s="35">
        <v>0</v>
      </c>
      <c r="W76" s="35">
        <v>1.8</v>
      </c>
      <c r="X76" s="35">
        <v>2</v>
      </c>
      <c r="Y76" s="35">
        <v>2.75</v>
      </c>
      <c r="Z76" s="35">
        <v>8.0500000000000007</v>
      </c>
      <c r="AA76" s="45">
        <f t="shared" si="18"/>
        <v>21.98</v>
      </c>
      <c r="AB76" s="35">
        <f t="shared" si="19"/>
        <v>2.198</v>
      </c>
      <c r="AC76" s="35">
        <f>(AA76/(AA76+'Marketable Yield'!AA76))*100</f>
        <v>38.246041412911083</v>
      </c>
      <c r="AD76" s="35"/>
      <c r="AE76" s="35"/>
      <c r="AF76" s="35" t="s">
        <v>230</v>
      </c>
      <c r="AG76" s="35">
        <f t="shared" si="21"/>
        <v>13.280000000000001</v>
      </c>
      <c r="AH76" s="35">
        <f t="shared" si="22"/>
        <v>9.4</v>
      </c>
      <c r="AI76" s="35">
        <f t="shared" si="23"/>
        <v>4.6933333333333334</v>
      </c>
      <c r="AJ76" s="35" t="s">
        <v>230</v>
      </c>
      <c r="AK76" s="35" t="s">
        <v>230</v>
      </c>
      <c r="AL76" s="35">
        <f t="shared" si="26"/>
        <v>5.76</v>
      </c>
      <c r="AM76" s="35">
        <f t="shared" si="27"/>
        <v>6.4</v>
      </c>
      <c r="AN76" s="35">
        <f t="shared" si="28"/>
        <v>4.8888888888888893</v>
      </c>
      <c r="AO76" s="35">
        <f t="shared" si="29"/>
        <v>4.953846153846154</v>
      </c>
      <c r="AP76" s="45">
        <f t="shared" si="30"/>
        <v>7.0537240537240535</v>
      </c>
    </row>
    <row r="77" spans="1:42" x14ac:dyDescent="0.25">
      <c r="A77" t="s">
        <v>73</v>
      </c>
      <c r="B77" s="35">
        <v>2</v>
      </c>
      <c r="C77" s="35">
        <v>14</v>
      </c>
      <c r="D77" s="35">
        <v>6</v>
      </c>
      <c r="E77" s="35">
        <v>8</v>
      </c>
      <c r="F77" s="35">
        <v>2</v>
      </c>
      <c r="G77" s="35">
        <v>1</v>
      </c>
      <c r="H77" s="35">
        <v>2</v>
      </c>
      <c r="I77" s="35">
        <v>6</v>
      </c>
      <c r="J77" s="35">
        <v>9</v>
      </c>
      <c r="K77" s="35">
        <v>12</v>
      </c>
      <c r="L77" s="45">
        <f t="shared" si="16"/>
        <v>62</v>
      </c>
      <c r="M77" s="35">
        <f t="shared" si="17"/>
        <v>6.2</v>
      </c>
      <c r="N77" s="35">
        <f>(L77/(L77+'Marketable Yield'!L77))*100</f>
        <v>68.888888888888886</v>
      </c>
      <c r="O77" s="35"/>
      <c r="P77" s="35"/>
      <c r="Q77" s="35">
        <v>1.4</v>
      </c>
      <c r="R77" s="35">
        <v>12.1</v>
      </c>
      <c r="S77" s="35">
        <v>3.95</v>
      </c>
      <c r="T77" s="35">
        <v>2.2000000000000002</v>
      </c>
      <c r="U77" s="35">
        <v>1</v>
      </c>
      <c r="V77" s="35">
        <v>0.3</v>
      </c>
      <c r="W77" s="35">
        <v>0.55000000000000004</v>
      </c>
      <c r="X77" s="35">
        <v>3</v>
      </c>
      <c r="Y77" s="35">
        <v>3.15</v>
      </c>
      <c r="Z77" s="35">
        <v>4.45</v>
      </c>
      <c r="AA77" s="45">
        <f t="shared" si="18"/>
        <v>32.1</v>
      </c>
      <c r="AB77" s="35">
        <f t="shared" si="19"/>
        <v>3.21</v>
      </c>
      <c r="AC77" s="35">
        <f>(AA77/(AA77+'Marketable Yield'!AA77))*100</f>
        <v>64.522613065326638</v>
      </c>
      <c r="AD77" s="35"/>
      <c r="AE77" s="35"/>
      <c r="AF77" s="35">
        <f t="shared" si="20"/>
        <v>11.2</v>
      </c>
      <c r="AG77" s="35">
        <f t="shared" si="21"/>
        <v>13.828571428571427</v>
      </c>
      <c r="AH77" s="35">
        <f t="shared" si="22"/>
        <v>10.533333333333333</v>
      </c>
      <c r="AI77" s="35">
        <f t="shared" si="23"/>
        <v>4.4000000000000004</v>
      </c>
      <c r="AJ77" s="35">
        <f t="shared" si="24"/>
        <v>8</v>
      </c>
      <c r="AK77" s="35">
        <f t="shared" si="25"/>
        <v>4.8</v>
      </c>
      <c r="AL77" s="35">
        <f t="shared" si="26"/>
        <v>4.4000000000000004</v>
      </c>
      <c r="AM77" s="35">
        <f t="shared" si="27"/>
        <v>8</v>
      </c>
      <c r="AN77" s="35">
        <f t="shared" si="28"/>
        <v>5.6</v>
      </c>
      <c r="AO77" s="35">
        <f t="shared" si="29"/>
        <v>5.9333333333333336</v>
      </c>
      <c r="AP77" s="45">
        <f t="shared" si="30"/>
        <v>7.6695238095238079</v>
      </c>
    </row>
    <row r="78" spans="1:42" x14ac:dyDescent="0.25">
      <c r="A78" t="s">
        <v>74</v>
      </c>
      <c r="B78" s="35" t="s">
        <v>230</v>
      </c>
      <c r="C78" s="35">
        <v>5</v>
      </c>
      <c r="D78" s="35">
        <v>3</v>
      </c>
      <c r="E78" s="35">
        <v>4</v>
      </c>
      <c r="F78" s="35">
        <v>1</v>
      </c>
      <c r="G78" s="35">
        <v>2</v>
      </c>
      <c r="H78" s="35">
        <v>1</v>
      </c>
      <c r="I78" s="35">
        <v>3</v>
      </c>
      <c r="J78" s="35">
        <v>11</v>
      </c>
      <c r="K78" s="35">
        <v>5</v>
      </c>
      <c r="L78" s="45">
        <f t="shared" si="16"/>
        <v>35</v>
      </c>
      <c r="M78" s="35">
        <f t="shared" si="17"/>
        <v>3.8888888888888888</v>
      </c>
      <c r="N78" s="35">
        <f>(L78/(L78+'Marketable Yield'!L78))*100</f>
        <v>40.229885057471265</v>
      </c>
      <c r="O78" s="35"/>
      <c r="P78" s="35"/>
      <c r="Q78" s="35" t="s">
        <v>230</v>
      </c>
      <c r="R78" s="35">
        <v>7.5</v>
      </c>
      <c r="S78" s="35">
        <v>1.65</v>
      </c>
      <c r="T78" s="35">
        <v>1.1200000000000001</v>
      </c>
      <c r="U78" s="35">
        <v>0.55000000000000004</v>
      </c>
      <c r="V78" s="35">
        <v>0.8</v>
      </c>
      <c r="W78" s="35">
        <v>0.55000000000000004</v>
      </c>
      <c r="X78" s="35">
        <v>0.85</v>
      </c>
      <c r="Y78" s="35">
        <v>3.35</v>
      </c>
      <c r="Z78" s="35">
        <v>1.4</v>
      </c>
      <c r="AA78" s="45">
        <f t="shared" si="18"/>
        <v>17.77</v>
      </c>
      <c r="AB78" s="35">
        <f t="shared" si="19"/>
        <v>1.9744444444444444</v>
      </c>
      <c r="AC78" s="35">
        <f>(AA78/(AA78+'Marketable Yield'!AA78))*100</f>
        <v>42.562874251497007</v>
      </c>
      <c r="AD78" s="35"/>
      <c r="AE78" s="35"/>
      <c r="AF78" s="35" t="s">
        <v>230</v>
      </c>
      <c r="AG78" s="35">
        <f t="shared" si="21"/>
        <v>24</v>
      </c>
      <c r="AH78" s="35">
        <f t="shared" si="22"/>
        <v>8.7999999999999989</v>
      </c>
      <c r="AI78" s="35">
        <f t="shared" si="23"/>
        <v>4.4800000000000004</v>
      </c>
      <c r="AJ78" s="35">
        <f t="shared" si="24"/>
        <v>8.8000000000000007</v>
      </c>
      <c r="AK78" s="35">
        <f t="shared" si="25"/>
        <v>6.4</v>
      </c>
      <c r="AL78" s="35">
        <f t="shared" si="26"/>
        <v>8.8000000000000007</v>
      </c>
      <c r="AM78" s="35">
        <f t="shared" si="27"/>
        <v>4.5333333333333332</v>
      </c>
      <c r="AN78" s="35">
        <f t="shared" si="28"/>
        <v>4.872727272727273</v>
      </c>
      <c r="AO78" s="35">
        <f t="shared" si="29"/>
        <v>4.4799999999999995</v>
      </c>
      <c r="AP78" s="45">
        <f t="shared" si="30"/>
        <v>8.351784511784512</v>
      </c>
    </row>
    <row r="79" spans="1:42" x14ac:dyDescent="0.25">
      <c r="A79" t="s">
        <v>86</v>
      </c>
      <c r="B79" s="35" t="s">
        <v>230</v>
      </c>
      <c r="C79" s="35">
        <v>1</v>
      </c>
      <c r="D79" s="35">
        <v>4</v>
      </c>
      <c r="E79" s="35">
        <v>22</v>
      </c>
      <c r="F79" s="35">
        <v>0</v>
      </c>
      <c r="G79" s="35">
        <v>0</v>
      </c>
      <c r="H79" s="35">
        <v>1</v>
      </c>
      <c r="I79" s="35">
        <v>0</v>
      </c>
      <c r="J79" s="35">
        <v>5</v>
      </c>
      <c r="K79" s="35">
        <v>11</v>
      </c>
      <c r="L79" s="45">
        <f t="shared" si="16"/>
        <v>44</v>
      </c>
      <c r="M79" s="35">
        <f t="shared" si="17"/>
        <v>4.8888888888888893</v>
      </c>
      <c r="N79" s="35">
        <f>(L79/(L79+'Marketable Yield'!L79))*100</f>
        <v>39.285714285714285</v>
      </c>
      <c r="O79" s="35"/>
      <c r="P79" s="35"/>
      <c r="Q79" s="35" t="s">
        <v>230</v>
      </c>
      <c r="R79" s="35">
        <v>0.7</v>
      </c>
      <c r="S79" s="35">
        <v>2.5499999999999998</v>
      </c>
      <c r="T79" s="35">
        <v>5.72</v>
      </c>
      <c r="U79" s="35">
        <v>0</v>
      </c>
      <c r="V79" s="35">
        <v>0</v>
      </c>
      <c r="W79" s="35">
        <v>0.55000000000000004</v>
      </c>
      <c r="X79" s="35">
        <v>0</v>
      </c>
      <c r="Y79" s="35">
        <v>2</v>
      </c>
      <c r="Z79" s="35">
        <v>5</v>
      </c>
      <c r="AA79" s="45">
        <f t="shared" si="18"/>
        <v>16.52</v>
      </c>
      <c r="AB79" s="35">
        <f t="shared" si="19"/>
        <v>1.8355555555555556</v>
      </c>
      <c r="AC79" s="35">
        <f>(AA79/(AA79+'Marketable Yield'!AA79))*100</f>
        <v>33.762517882689551</v>
      </c>
      <c r="AD79" s="35"/>
      <c r="AE79" s="35"/>
      <c r="AF79" s="35" t="s">
        <v>230</v>
      </c>
      <c r="AG79" s="35">
        <f t="shared" si="21"/>
        <v>11.2</v>
      </c>
      <c r="AH79" s="35">
        <f t="shared" si="22"/>
        <v>10.199999999999999</v>
      </c>
      <c r="AI79" s="35">
        <f t="shared" si="23"/>
        <v>4.16</v>
      </c>
      <c r="AJ79" s="35" t="s">
        <v>230</v>
      </c>
      <c r="AK79" s="35" t="s">
        <v>230</v>
      </c>
      <c r="AL79" s="35">
        <f t="shared" si="26"/>
        <v>8.8000000000000007</v>
      </c>
      <c r="AM79" s="35" t="s">
        <v>230</v>
      </c>
      <c r="AN79" s="35">
        <f t="shared" si="28"/>
        <v>6.4</v>
      </c>
      <c r="AO79" s="35">
        <f t="shared" si="29"/>
        <v>7.2727272727272725</v>
      </c>
      <c r="AP79" s="45">
        <f t="shared" si="30"/>
        <v>8.0054545454545458</v>
      </c>
    </row>
    <row r="80" spans="1:42" x14ac:dyDescent="0.25">
      <c r="A80" t="s">
        <v>85</v>
      </c>
      <c r="B80" s="35">
        <v>5</v>
      </c>
      <c r="C80" s="35">
        <v>5</v>
      </c>
      <c r="D80" s="35">
        <v>4</v>
      </c>
      <c r="E80" s="35">
        <v>5</v>
      </c>
      <c r="F80" s="35">
        <v>2</v>
      </c>
      <c r="G80" s="35">
        <v>0</v>
      </c>
      <c r="H80" s="35">
        <v>0</v>
      </c>
      <c r="I80" s="35">
        <v>4</v>
      </c>
      <c r="J80" s="35">
        <v>9</v>
      </c>
      <c r="K80" s="35">
        <v>4</v>
      </c>
      <c r="L80" s="45">
        <f t="shared" si="16"/>
        <v>38</v>
      </c>
      <c r="M80" s="35">
        <f t="shared" si="17"/>
        <v>3.8</v>
      </c>
      <c r="N80" s="35">
        <f>(L80/(L80+'Marketable Yield'!L80))*100</f>
        <v>33.928571428571431</v>
      </c>
      <c r="O80" s="35"/>
      <c r="P80" s="35"/>
      <c r="Q80" s="35">
        <v>2.9</v>
      </c>
      <c r="R80" s="35">
        <v>3.5</v>
      </c>
      <c r="S80" s="35">
        <v>2.85</v>
      </c>
      <c r="T80" s="35">
        <v>1.46</v>
      </c>
      <c r="U80" s="35">
        <v>1.35</v>
      </c>
      <c r="V80" s="35">
        <v>0</v>
      </c>
      <c r="W80" s="35">
        <v>0</v>
      </c>
      <c r="X80" s="35">
        <v>1.7</v>
      </c>
      <c r="Y80" s="35">
        <v>3.75</v>
      </c>
      <c r="Z80" s="35">
        <v>1.3</v>
      </c>
      <c r="AA80" s="45">
        <f t="shared" si="18"/>
        <v>18.809999999999999</v>
      </c>
      <c r="AB80" s="35">
        <f t="shared" si="19"/>
        <v>1.8809999999999998</v>
      </c>
      <c r="AC80" s="35">
        <f>(AA80/(AA80+'Marketable Yield'!AA80))*100</f>
        <v>34.685598377281941</v>
      </c>
      <c r="AD80" s="35"/>
      <c r="AE80" s="35"/>
      <c r="AF80" s="35">
        <f t="shared" si="20"/>
        <v>9.2799999999999994</v>
      </c>
      <c r="AG80" s="35">
        <f t="shared" si="21"/>
        <v>11.2</v>
      </c>
      <c r="AH80" s="35">
        <f t="shared" si="22"/>
        <v>11.4</v>
      </c>
      <c r="AI80" s="35">
        <f t="shared" si="23"/>
        <v>4.6719999999999997</v>
      </c>
      <c r="AJ80" s="35">
        <f t="shared" si="24"/>
        <v>10.8</v>
      </c>
      <c r="AK80" s="35" t="s">
        <v>230</v>
      </c>
      <c r="AL80" s="35" t="s">
        <v>230</v>
      </c>
      <c r="AM80" s="35">
        <f t="shared" si="27"/>
        <v>6.8</v>
      </c>
      <c r="AN80" s="35">
        <f t="shared" si="28"/>
        <v>6.666666666666667</v>
      </c>
      <c r="AO80" s="35">
        <f t="shared" si="29"/>
        <v>5.2</v>
      </c>
      <c r="AP80" s="45">
        <f t="shared" si="30"/>
        <v>8.2523333333333309</v>
      </c>
    </row>
    <row r="81" spans="1:42" x14ac:dyDescent="0.25">
      <c r="A81" t="s">
        <v>84</v>
      </c>
      <c r="B81" s="35">
        <v>0</v>
      </c>
      <c r="C81" s="35">
        <v>5</v>
      </c>
      <c r="D81" s="35">
        <v>3</v>
      </c>
      <c r="E81" s="35">
        <v>8</v>
      </c>
      <c r="F81" s="35">
        <v>7</v>
      </c>
      <c r="G81" s="35">
        <v>0</v>
      </c>
      <c r="H81" s="35">
        <v>2</v>
      </c>
      <c r="I81" s="35">
        <v>3</v>
      </c>
      <c r="J81" s="35">
        <v>10</v>
      </c>
      <c r="K81" s="35">
        <v>13</v>
      </c>
      <c r="L81" s="45">
        <f t="shared" si="16"/>
        <v>51</v>
      </c>
      <c r="M81" s="35">
        <f t="shared" si="17"/>
        <v>5.0999999999999996</v>
      </c>
      <c r="N81" s="35">
        <f>(L81/(L81+'Marketable Yield'!L81))*100</f>
        <v>50</v>
      </c>
      <c r="O81" s="35"/>
      <c r="P81" s="35"/>
      <c r="Q81" s="35">
        <v>0</v>
      </c>
      <c r="R81" s="35">
        <v>4.3499999999999996</v>
      </c>
      <c r="S81" s="35">
        <v>2.2000000000000002</v>
      </c>
      <c r="T81" s="35">
        <v>2.5</v>
      </c>
      <c r="U81" s="35">
        <v>2.25</v>
      </c>
      <c r="V81" s="35">
        <v>0</v>
      </c>
      <c r="W81" s="35">
        <v>0.45</v>
      </c>
      <c r="X81" s="35">
        <v>0.7</v>
      </c>
      <c r="Y81" s="35">
        <v>2.5</v>
      </c>
      <c r="Z81" s="35">
        <v>2.85</v>
      </c>
      <c r="AA81" s="45">
        <f t="shared" si="18"/>
        <v>17.8</v>
      </c>
      <c r="AB81" s="35">
        <f t="shared" si="19"/>
        <v>1.78</v>
      </c>
      <c r="AC81" s="35">
        <f>(AA81/(AA81+'Marketable Yield'!AA81))*100</f>
        <v>41.961338991041963</v>
      </c>
      <c r="AD81" s="35"/>
      <c r="AE81" s="35"/>
      <c r="AF81" s="35" t="s">
        <v>230</v>
      </c>
      <c r="AG81" s="35">
        <f t="shared" si="21"/>
        <v>13.919999999999998</v>
      </c>
      <c r="AH81" s="35">
        <f t="shared" si="22"/>
        <v>11.733333333333334</v>
      </c>
      <c r="AI81" s="35">
        <f t="shared" si="23"/>
        <v>5</v>
      </c>
      <c r="AJ81" s="35">
        <f t="shared" si="24"/>
        <v>5.1428571428571432</v>
      </c>
      <c r="AK81" s="35" t="s">
        <v>230</v>
      </c>
      <c r="AL81" s="35">
        <f t="shared" si="26"/>
        <v>3.6</v>
      </c>
      <c r="AM81" s="35">
        <f t="shared" si="27"/>
        <v>3.7333333333333329</v>
      </c>
      <c r="AN81" s="35">
        <f t="shared" si="28"/>
        <v>4</v>
      </c>
      <c r="AO81" s="35">
        <f t="shared" si="29"/>
        <v>3.5076923076923077</v>
      </c>
      <c r="AP81" s="45">
        <f t="shared" si="30"/>
        <v>6.329652014652015</v>
      </c>
    </row>
    <row r="82" spans="1:42" x14ac:dyDescent="0.25">
      <c r="A82" t="s">
        <v>83</v>
      </c>
      <c r="B82" s="35">
        <v>1</v>
      </c>
      <c r="C82" s="35">
        <v>42</v>
      </c>
      <c r="D82" s="35">
        <v>4</v>
      </c>
      <c r="E82" s="35" t="s">
        <v>230</v>
      </c>
      <c r="F82" s="35" t="s">
        <v>230</v>
      </c>
      <c r="G82" s="35" t="s">
        <v>230</v>
      </c>
      <c r="H82" s="35" t="s">
        <v>230</v>
      </c>
      <c r="I82" s="35" t="s">
        <v>230</v>
      </c>
      <c r="J82" s="35" t="s">
        <v>230</v>
      </c>
      <c r="K82" s="35" t="s">
        <v>230</v>
      </c>
      <c r="L82" s="45">
        <f t="shared" si="16"/>
        <v>47</v>
      </c>
      <c r="M82" s="35">
        <f t="shared" si="17"/>
        <v>15.666666666666666</v>
      </c>
      <c r="N82" s="35">
        <f>(L82/(L82+'Marketable Yield'!L82))*100</f>
        <v>36.153846153846153</v>
      </c>
      <c r="O82" s="35"/>
      <c r="P82" s="35"/>
      <c r="Q82" s="35">
        <v>0.2</v>
      </c>
      <c r="R82" s="35">
        <v>10.85</v>
      </c>
      <c r="S82" s="35">
        <v>0.2</v>
      </c>
      <c r="T82" s="35">
        <v>1.92</v>
      </c>
      <c r="U82" s="35">
        <v>0.65</v>
      </c>
      <c r="V82" s="35">
        <v>3.9</v>
      </c>
      <c r="W82" s="35">
        <v>55</v>
      </c>
      <c r="X82" s="35">
        <v>0.8</v>
      </c>
      <c r="Y82" s="35">
        <v>0.55000000000000004</v>
      </c>
      <c r="Z82" s="35">
        <v>0.7</v>
      </c>
      <c r="AA82" s="45">
        <f t="shared" si="18"/>
        <v>74.77</v>
      </c>
      <c r="AB82" s="35">
        <f t="shared" si="19"/>
        <v>7.4769999999999994</v>
      </c>
      <c r="AC82" s="35">
        <f>(AA82/(AA82+'Marketable Yield'!AA82))*100</f>
        <v>63.753410641200546</v>
      </c>
      <c r="AD82" s="35"/>
      <c r="AE82" s="35"/>
      <c r="AF82" s="35">
        <f t="shared" si="20"/>
        <v>3.2</v>
      </c>
      <c r="AG82" s="35">
        <f t="shared" si="21"/>
        <v>4.1333333333333329</v>
      </c>
      <c r="AH82" s="35">
        <f t="shared" si="22"/>
        <v>0.8</v>
      </c>
      <c r="AI82" s="35" t="s">
        <v>230</v>
      </c>
      <c r="AJ82" s="35" t="s">
        <v>230</v>
      </c>
      <c r="AK82" s="35" t="s">
        <v>230</v>
      </c>
      <c r="AL82" s="35" t="s">
        <v>230</v>
      </c>
      <c r="AM82" s="35" t="s">
        <v>230</v>
      </c>
      <c r="AN82" s="35" t="s">
        <v>230</v>
      </c>
      <c r="AO82" s="35" t="s">
        <v>230</v>
      </c>
      <c r="AP82" s="45">
        <f t="shared" si="30"/>
        <v>2.7111111111111108</v>
      </c>
    </row>
    <row r="83" spans="1:42" x14ac:dyDescent="0.25">
      <c r="A83" t="s">
        <v>75</v>
      </c>
      <c r="B83" s="35">
        <v>3</v>
      </c>
      <c r="C83" s="35">
        <v>4</v>
      </c>
      <c r="D83" s="35">
        <v>6</v>
      </c>
      <c r="E83" s="35">
        <v>2</v>
      </c>
      <c r="F83" s="35">
        <v>3</v>
      </c>
      <c r="G83" s="35">
        <v>3</v>
      </c>
      <c r="H83" s="35">
        <v>7</v>
      </c>
      <c r="I83" s="35">
        <v>4</v>
      </c>
      <c r="J83" s="35">
        <v>9</v>
      </c>
      <c r="K83" s="35">
        <v>8</v>
      </c>
      <c r="L83" s="45">
        <f t="shared" si="16"/>
        <v>49</v>
      </c>
      <c r="M83" s="35">
        <f t="shared" si="17"/>
        <v>4.9000000000000004</v>
      </c>
      <c r="N83" s="35">
        <f>(L83/(L83+'Marketable Yield'!L83))*100</f>
        <v>39.200000000000003</v>
      </c>
      <c r="O83" s="35"/>
      <c r="P83" s="35"/>
      <c r="Q83" s="35">
        <v>2.0499999999999998</v>
      </c>
      <c r="R83" s="35">
        <v>1.65</v>
      </c>
      <c r="S83" s="35">
        <v>2.7</v>
      </c>
      <c r="T83" s="35">
        <v>0.28000000000000003</v>
      </c>
      <c r="U83" s="35">
        <v>1.05</v>
      </c>
      <c r="V83" s="35">
        <v>0.95</v>
      </c>
      <c r="W83" s="35">
        <v>2.1</v>
      </c>
      <c r="X83" s="35">
        <v>1.1499999999999999</v>
      </c>
      <c r="Y83" s="35">
        <v>2.4500000000000002</v>
      </c>
      <c r="Z83" s="35">
        <v>2.2000000000000002</v>
      </c>
      <c r="AA83" s="45">
        <f t="shared" si="18"/>
        <v>16.579999999999998</v>
      </c>
      <c r="AB83" s="35">
        <f t="shared" si="19"/>
        <v>1.6579999999999999</v>
      </c>
      <c r="AC83" s="35">
        <f>(AA83/(AA83+'Marketable Yield'!AA83))*100</f>
        <v>35.85640138408305</v>
      </c>
      <c r="AD83" s="35"/>
      <c r="AE83" s="35"/>
      <c r="AF83" s="35">
        <f t="shared" si="20"/>
        <v>10.933333333333332</v>
      </c>
      <c r="AG83" s="35">
        <f t="shared" si="21"/>
        <v>6.6</v>
      </c>
      <c r="AH83" s="35">
        <f t="shared" si="22"/>
        <v>7.2</v>
      </c>
      <c r="AI83" s="35">
        <f t="shared" si="23"/>
        <v>2.2400000000000002</v>
      </c>
      <c r="AJ83" s="35">
        <f t="shared" si="24"/>
        <v>5.6000000000000005</v>
      </c>
      <c r="AK83" s="35">
        <f t="shared" si="25"/>
        <v>5.0666666666666664</v>
      </c>
      <c r="AL83" s="35">
        <f t="shared" si="26"/>
        <v>4.8</v>
      </c>
      <c r="AM83" s="35">
        <f t="shared" si="27"/>
        <v>4.5999999999999996</v>
      </c>
      <c r="AN83" s="35">
        <f t="shared" si="28"/>
        <v>4.3555555555555561</v>
      </c>
      <c r="AO83" s="35">
        <f t="shared" si="29"/>
        <v>4.4000000000000004</v>
      </c>
      <c r="AP83" s="45">
        <f t="shared" si="30"/>
        <v>5.5795555555555554</v>
      </c>
    </row>
    <row r="84" spans="1:42" x14ac:dyDescent="0.25">
      <c r="A84" t="s">
        <v>76</v>
      </c>
      <c r="B84" s="35">
        <v>1</v>
      </c>
      <c r="C84" s="35">
        <v>10</v>
      </c>
      <c r="D84" s="35">
        <v>5</v>
      </c>
      <c r="E84" s="35">
        <v>23</v>
      </c>
      <c r="F84" s="35">
        <v>1</v>
      </c>
      <c r="G84" s="35">
        <v>2</v>
      </c>
      <c r="H84" s="35">
        <v>0</v>
      </c>
      <c r="I84" s="35">
        <v>0</v>
      </c>
      <c r="J84" s="35">
        <v>4</v>
      </c>
      <c r="K84" s="35">
        <v>28</v>
      </c>
      <c r="L84" s="45">
        <f t="shared" si="16"/>
        <v>74</v>
      </c>
      <c r="M84" s="35">
        <f t="shared" si="17"/>
        <v>7.4</v>
      </c>
      <c r="N84" s="35">
        <f>(L84/(L84+'Marketable Yield'!L84))*100</f>
        <v>49.006622516556291</v>
      </c>
      <c r="O84" s="35"/>
      <c r="P84" s="35"/>
      <c r="Q84" s="35">
        <v>0.7</v>
      </c>
      <c r="R84" s="35">
        <v>5.8</v>
      </c>
      <c r="S84" s="35">
        <v>2.95</v>
      </c>
      <c r="T84" s="35">
        <v>4.34</v>
      </c>
      <c r="U84" s="35">
        <v>0.65</v>
      </c>
      <c r="V84" s="35">
        <v>0.45</v>
      </c>
      <c r="W84" s="35">
        <v>0</v>
      </c>
      <c r="X84" s="35">
        <v>0</v>
      </c>
      <c r="Y84" s="35">
        <v>1.55</v>
      </c>
      <c r="Z84" s="35">
        <v>10.6</v>
      </c>
      <c r="AA84" s="45">
        <f t="shared" si="18"/>
        <v>27.04</v>
      </c>
      <c r="AB84" s="35">
        <f t="shared" si="19"/>
        <v>2.7039999999999997</v>
      </c>
      <c r="AC84" s="35">
        <f>(AA84/(AA84+'Marketable Yield'!AA84))*100</f>
        <v>47.471910112359552</v>
      </c>
      <c r="AD84" s="35"/>
      <c r="AE84" s="35"/>
      <c r="AF84" s="35">
        <f t="shared" si="20"/>
        <v>11.2</v>
      </c>
      <c r="AG84" s="35">
        <f t="shared" si="21"/>
        <v>9.2799999999999994</v>
      </c>
      <c r="AH84" s="35">
        <f t="shared" si="22"/>
        <v>9.4400000000000013</v>
      </c>
      <c r="AI84" s="35">
        <f t="shared" si="23"/>
        <v>3.0191304347826087</v>
      </c>
      <c r="AJ84" s="35">
        <f t="shared" si="24"/>
        <v>10.4</v>
      </c>
      <c r="AK84" s="35">
        <f t="shared" si="25"/>
        <v>3.6</v>
      </c>
      <c r="AL84" s="35" t="s">
        <v>230</v>
      </c>
      <c r="AM84" s="35" t="s">
        <v>230</v>
      </c>
      <c r="AN84" s="35">
        <f t="shared" si="28"/>
        <v>6.2</v>
      </c>
      <c r="AO84" s="35">
        <f t="shared" si="29"/>
        <v>6.0571428571428569</v>
      </c>
      <c r="AP84" s="45">
        <f t="shared" si="30"/>
        <v>7.3995341614906831</v>
      </c>
    </row>
    <row r="85" spans="1:42" x14ac:dyDescent="0.25">
      <c r="A85" t="s">
        <v>77</v>
      </c>
      <c r="B85" s="35">
        <v>0</v>
      </c>
      <c r="C85" s="35">
        <v>8</v>
      </c>
      <c r="D85" s="35">
        <v>4</v>
      </c>
      <c r="E85" s="35">
        <v>25</v>
      </c>
      <c r="F85" s="35">
        <v>3</v>
      </c>
      <c r="G85" s="35">
        <v>0</v>
      </c>
      <c r="H85" s="35">
        <v>1</v>
      </c>
      <c r="I85" s="35">
        <v>7</v>
      </c>
      <c r="J85" s="35">
        <v>11</v>
      </c>
      <c r="K85" s="35">
        <v>17</v>
      </c>
      <c r="L85" s="45">
        <f t="shared" si="16"/>
        <v>76</v>
      </c>
      <c r="M85" s="35">
        <f t="shared" si="17"/>
        <v>7.6</v>
      </c>
      <c r="N85" s="35">
        <f>(L85/(L85+'Marketable Yield'!L85))*100</f>
        <v>54.676258992805757</v>
      </c>
      <c r="O85" s="35"/>
      <c r="P85" s="35"/>
      <c r="Q85" s="35">
        <v>0</v>
      </c>
      <c r="R85" s="35">
        <v>5.15</v>
      </c>
      <c r="S85" s="35">
        <v>2.65</v>
      </c>
      <c r="T85" s="35">
        <v>5.34</v>
      </c>
      <c r="U85" s="35">
        <v>1.05</v>
      </c>
      <c r="V85" s="35">
        <v>0</v>
      </c>
      <c r="W85" s="35">
        <v>0.65</v>
      </c>
      <c r="X85" s="35">
        <v>2.9</v>
      </c>
      <c r="Y85" s="35">
        <v>4.75</v>
      </c>
      <c r="Z85" s="35">
        <v>7.2</v>
      </c>
      <c r="AA85" s="45">
        <f t="shared" si="18"/>
        <v>29.69</v>
      </c>
      <c r="AB85" s="35">
        <f t="shared" si="19"/>
        <v>2.9690000000000003</v>
      </c>
      <c r="AC85" s="35">
        <f>(AA85/(AA85+'Marketable Yield'!AA85))*100</f>
        <v>49.765336909151863</v>
      </c>
      <c r="AD85" s="35"/>
      <c r="AE85" s="35"/>
      <c r="AF85" s="35" t="s">
        <v>230</v>
      </c>
      <c r="AG85" s="35">
        <f t="shared" si="21"/>
        <v>10.3</v>
      </c>
      <c r="AH85" s="35">
        <f t="shared" si="22"/>
        <v>10.6</v>
      </c>
      <c r="AI85" s="35">
        <f t="shared" si="23"/>
        <v>3.4175999999999997</v>
      </c>
      <c r="AJ85" s="35">
        <f t="shared" si="24"/>
        <v>5.6000000000000005</v>
      </c>
      <c r="AK85" s="35" t="s">
        <v>230</v>
      </c>
      <c r="AL85" s="35">
        <f t="shared" si="26"/>
        <v>10.4</v>
      </c>
      <c r="AM85" s="35">
        <f t="shared" si="27"/>
        <v>6.6285714285714281</v>
      </c>
      <c r="AN85" s="35">
        <f t="shared" si="28"/>
        <v>6.9090909090909092</v>
      </c>
      <c r="AO85" s="35">
        <f t="shared" si="29"/>
        <v>6.776470588235294</v>
      </c>
      <c r="AP85" s="45">
        <f t="shared" si="30"/>
        <v>7.5789666157372029</v>
      </c>
    </row>
    <row r="86" spans="1:42" x14ac:dyDescent="0.25">
      <c r="A86" t="s">
        <v>78</v>
      </c>
      <c r="B86" s="35">
        <v>0</v>
      </c>
      <c r="C86" s="35">
        <v>3</v>
      </c>
      <c r="D86" s="35">
        <v>4</v>
      </c>
      <c r="E86" s="35">
        <v>17</v>
      </c>
      <c r="F86" s="35">
        <v>5</v>
      </c>
      <c r="G86" s="35">
        <v>0</v>
      </c>
      <c r="H86" s="35">
        <v>0</v>
      </c>
      <c r="I86" s="35">
        <v>1</v>
      </c>
      <c r="J86" s="35">
        <v>2</v>
      </c>
      <c r="K86" s="35">
        <v>29</v>
      </c>
      <c r="L86" s="45">
        <f t="shared" si="16"/>
        <v>61</v>
      </c>
      <c r="M86" s="35">
        <f t="shared" si="17"/>
        <v>6.1</v>
      </c>
      <c r="N86" s="35">
        <f>(L86/(L86+'Marketable Yield'!L86))*100</f>
        <v>57.009345794392516</v>
      </c>
      <c r="O86" s="35"/>
      <c r="P86" s="35"/>
      <c r="Q86" s="35">
        <v>0</v>
      </c>
      <c r="R86" s="35">
        <v>2.15</v>
      </c>
      <c r="S86" s="35">
        <v>2.5</v>
      </c>
      <c r="T86" s="35">
        <v>3.84</v>
      </c>
      <c r="U86" s="35">
        <v>3.15</v>
      </c>
      <c r="V86" s="35">
        <v>0</v>
      </c>
      <c r="W86" s="35">
        <v>0</v>
      </c>
      <c r="X86" s="35">
        <v>0.1</v>
      </c>
      <c r="Y86" s="35">
        <v>0.65</v>
      </c>
      <c r="Z86" s="35">
        <v>9.9</v>
      </c>
      <c r="AA86" s="45">
        <f t="shared" si="18"/>
        <v>22.29</v>
      </c>
      <c r="AB86" s="35">
        <f t="shared" si="19"/>
        <v>2.2290000000000001</v>
      </c>
      <c r="AC86" s="35">
        <f>(AA86/(AA86+'Marketable Yield'!AA86))*100</f>
        <v>49.205298013245034</v>
      </c>
      <c r="AD86" s="35"/>
      <c r="AE86" s="35"/>
      <c r="AF86" s="35" t="s">
        <v>230</v>
      </c>
      <c r="AG86" s="35">
        <f t="shared" si="21"/>
        <v>11.466666666666667</v>
      </c>
      <c r="AH86" s="35">
        <f t="shared" si="22"/>
        <v>10</v>
      </c>
      <c r="AI86" s="35">
        <f t="shared" si="23"/>
        <v>3.6141176470588232</v>
      </c>
      <c r="AJ86" s="35">
        <f t="shared" si="24"/>
        <v>10.08</v>
      </c>
      <c r="AK86" s="35" t="s">
        <v>230</v>
      </c>
      <c r="AL86" s="35" t="s">
        <v>230</v>
      </c>
      <c r="AM86" s="35">
        <f t="shared" si="27"/>
        <v>1.6</v>
      </c>
      <c r="AN86" s="35">
        <f t="shared" si="28"/>
        <v>5.2</v>
      </c>
      <c r="AO86" s="35">
        <f t="shared" si="29"/>
        <v>5.4620689655172416</v>
      </c>
      <c r="AP86" s="45">
        <f t="shared" si="30"/>
        <v>6.7746933256061057</v>
      </c>
    </row>
    <row r="87" spans="1:42" x14ac:dyDescent="0.25">
      <c r="A87" t="s">
        <v>79</v>
      </c>
      <c r="B87" s="35" t="s">
        <v>230</v>
      </c>
      <c r="C87" s="35">
        <v>13</v>
      </c>
      <c r="D87" s="35">
        <v>4</v>
      </c>
      <c r="E87" s="35">
        <v>18</v>
      </c>
      <c r="F87" s="35">
        <v>6</v>
      </c>
      <c r="G87" s="35">
        <v>0</v>
      </c>
      <c r="H87" s="35">
        <v>1</v>
      </c>
      <c r="I87" s="35">
        <v>0</v>
      </c>
      <c r="J87" s="35">
        <v>3</v>
      </c>
      <c r="K87" s="35">
        <v>18</v>
      </c>
      <c r="L87" s="45">
        <f t="shared" si="16"/>
        <v>63</v>
      </c>
      <c r="M87" s="35">
        <f t="shared" si="17"/>
        <v>7</v>
      </c>
      <c r="N87" s="35">
        <f>(L87/(L87+'Marketable Yield'!L87))*100</f>
        <v>77.777777777777786</v>
      </c>
      <c r="O87" s="35"/>
      <c r="P87" s="35"/>
      <c r="Q87" s="35" t="s">
        <v>230</v>
      </c>
      <c r="R87" s="35">
        <v>6.7</v>
      </c>
      <c r="S87" s="35">
        <v>3.65</v>
      </c>
      <c r="T87" s="35">
        <v>4.54</v>
      </c>
      <c r="U87" s="35">
        <v>2.6</v>
      </c>
      <c r="V87" s="35">
        <v>0</v>
      </c>
      <c r="W87" s="35">
        <v>0.85</v>
      </c>
      <c r="X87" s="35">
        <v>0</v>
      </c>
      <c r="Y87" s="35">
        <v>1.3</v>
      </c>
      <c r="Z87" s="35">
        <v>8.25</v>
      </c>
      <c r="AA87" s="45">
        <f t="shared" si="18"/>
        <v>27.890000000000004</v>
      </c>
      <c r="AB87" s="35">
        <f t="shared" si="19"/>
        <v>3.0988888888888892</v>
      </c>
      <c r="AC87" s="35">
        <f>(AA87/(AA87+'Marketable Yield'!AA87))*100</f>
        <v>77.515286270150085</v>
      </c>
      <c r="AD87" s="35"/>
      <c r="AE87" s="35"/>
      <c r="AF87" s="35" t="s">
        <v>230</v>
      </c>
      <c r="AG87" s="35">
        <f t="shared" si="21"/>
        <v>8.2461538461538471</v>
      </c>
      <c r="AH87" s="35">
        <f t="shared" si="22"/>
        <v>14.6</v>
      </c>
      <c r="AI87" s="35">
        <f t="shared" si="23"/>
        <v>4.0355555555555558</v>
      </c>
      <c r="AJ87" s="35">
        <f t="shared" si="24"/>
        <v>6.9333333333333336</v>
      </c>
      <c r="AK87" s="35" t="s">
        <v>230</v>
      </c>
      <c r="AL87" s="35">
        <f t="shared" si="26"/>
        <v>13.6</v>
      </c>
      <c r="AM87" s="35" t="s">
        <v>230</v>
      </c>
      <c r="AN87" s="35">
        <f t="shared" si="28"/>
        <v>6.9333333333333336</v>
      </c>
      <c r="AO87" s="35">
        <f t="shared" si="29"/>
        <v>7.333333333333333</v>
      </c>
      <c r="AP87" s="45">
        <f t="shared" si="30"/>
        <v>8.8116727716727716</v>
      </c>
    </row>
    <row r="88" spans="1:42" x14ac:dyDescent="0.25">
      <c r="A88" t="s">
        <v>80</v>
      </c>
      <c r="B88" s="35" t="s">
        <v>230</v>
      </c>
      <c r="C88" s="35">
        <v>7</v>
      </c>
      <c r="D88" s="35">
        <v>13</v>
      </c>
      <c r="E88" s="35">
        <v>11</v>
      </c>
      <c r="F88" s="35">
        <v>4</v>
      </c>
      <c r="G88" s="35">
        <v>0</v>
      </c>
      <c r="H88" s="35">
        <v>1</v>
      </c>
      <c r="I88" s="35">
        <v>9</v>
      </c>
      <c r="J88" s="35">
        <v>12</v>
      </c>
      <c r="K88" s="35">
        <v>11</v>
      </c>
      <c r="L88" s="45">
        <f t="shared" si="16"/>
        <v>68</v>
      </c>
      <c r="M88" s="35">
        <f t="shared" si="17"/>
        <v>7.5555555555555554</v>
      </c>
      <c r="N88" s="35">
        <f>(L88/(L88+'Marketable Yield'!L88))*100</f>
        <v>80</v>
      </c>
      <c r="O88" s="35"/>
      <c r="P88" s="35"/>
      <c r="Q88" s="35" t="s">
        <v>230</v>
      </c>
      <c r="R88" s="35">
        <v>4</v>
      </c>
      <c r="S88" s="35">
        <v>11.45</v>
      </c>
      <c r="T88" s="35">
        <v>4.0999999999999996</v>
      </c>
      <c r="U88" s="35">
        <v>3.75</v>
      </c>
      <c r="V88" s="35">
        <v>0</v>
      </c>
      <c r="W88" s="35">
        <v>0.75</v>
      </c>
      <c r="X88" s="35">
        <v>5.05</v>
      </c>
      <c r="Y88" s="35">
        <v>7.3</v>
      </c>
      <c r="Z88" s="35">
        <v>6.55</v>
      </c>
      <c r="AA88" s="45">
        <f t="shared" si="18"/>
        <v>42.949999999999996</v>
      </c>
      <c r="AB88" s="35">
        <f t="shared" si="19"/>
        <v>4.7722222222222221</v>
      </c>
      <c r="AC88" s="35">
        <f>(AA88/(AA88+'Marketable Yield'!AA88))*100</f>
        <v>72.907825496520118</v>
      </c>
      <c r="AD88" s="35"/>
      <c r="AE88" s="35"/>
      <c r="AF88" s="35" t="s">
        <v>230</v>
      </c>
      <c r="AG88" s="35">
        <f t="shared" si="21"/>
        <v>9.1428571428571423</v>
      </c>
      <c r="AH88" s="35">
        <f t="shared" si="22"/>
        <v>14.092307692307692</v>
      </c>
      <c r="AI88" s="35">
        <f t="shared" si="23"/>
        <v>5.963636363636363</v>
      </c>
      <c r="AJ88" s="35">
        <f t="shared" si="24"/>
        <v>15</v>
      </c>
      <c r="AK88" s="35" t="s">
        <v>230</v>
      </c>
      <c r="AL88" s="35">
        <f t="shared" si="26"/>
        <v>12</v>
      </c>
      <c r="AM88" s="35">
        <f t="shared" si="27"/>
        <v>8.9777777777777779</v>
      </c>
      <c r="AN88" s="35">
        <f t="shared" si="28"/>
        <v>9.7333333333333325</v>
      </c>
      <c r="AO88" s="35">
        <f t="shared" si="29"/>
        <v>9.5272727272727273</v>
      </c>
      <c r="AP88" s="45">
        <f t="shared" si="30"/>
        <v>10.554648129648131</v>
      </c>
    </row>
    <row r="89" spans="1:42" x14ac:dyDescent="0.25">
      <c r="A89" s="42" t="s">
        <v>81</v>
      </c>
      <c r="B89" s="38">
        <v>3</v>
      </c>
      <c r="C89" s="38">
        <v>0</v>
      </c>
      <c r="D89" s="38">
        <v>7</v>
      </c>
      <c r="E89" s="38">
        <v>25</v>
      </c>
      <c r="F89" s="38">
        <v>3</v>
      </c>
      <c r="G89" s="38">
        <v>1</v>
      </c>
      <c r="H89" s="38">
        <v>5</v>
      </c>
      <c r="I89" s="38">
        <v>11</v>
      </c>
      <c r="J89" s="38">
        <v>15</v>
      </c>
      <c r="K89" s="38">
        <v>7</v>
      </c>
      <c r="L89" s="45">
        <f t="shared" si="16"/>
        <v>77</v>
      </c>
      <c r="M89" s="35">
        <f t="shared" si="17"/>
        <v>7.7</v>
      </c>
      <c r="N89" s="35">
        <f>(L89/(L89+'Marketable Yield'!L89))*100</f>
        <v>56.20437956204379</v>
      </c>
      <c r="O89" s="35"/>
      <c r="P89" s="35"/>
      <c r="Q89" s="38">
        <v>2.1</v>
      </c>
      <c r="R89" s="38">
        <v>0</v>
      </c>
      <c r="S89" s="38">
        <v>3.85</v>
      </c>
      <c r="T89" s="38">
        <v>5.36</v>
      </c>
      <c r="U89" s="38">
        <v>1.45</v>
      </c>
      <c r="V89" s="38">
        <v>0.75</v>
      </c>
      <c r="W89" s="38">
        <v>1.7</v>
      </c>
      <c r="X89" s="38">
        <v>3.55</v>
      </c>
      <c r="Y89" s="38">
        <v>5.65</v>
      </c>
      <c r="Z89" s="38">
        <v>2.4500000000000002</v>
      </c>
      <c r="AA89" s="45">
        <f t="shared" si="18"/>
        <v>26.859999999999996</v>
      </c>
      <c r="AB89" s="35">
        <f t="shared" si="19"/>
        <v>2.6859999999999995</v>
      </c>
      <c r="AC89" s="35">
        <f>(AA89/(AA89+'Marketable Yield'!AA89))*100</f>
        <v>51.436231328992719</v>
      </c>
      <c r="AD89" s="35"/>
      <c r="AE89" s="35"/>
      <c r="AF89" s="38">
        <f t="shared" si="20"/>
        <v>11.200000000000001</v>
      </c>
      <c r="AG89" s="38" t="s">
        <v>230</v>
      </c>
      <c r="AH89" s="38">
        <f t="shared" si="22"/>
        <v>8.8000000000000007</v>
      </c>
      <c r="AI89" s="38">
        <f t="shared" si="23"/>
        <v>3.4304000000000001</v>
      </c>
      <c r="AJ89" s="38">
        <f t="shared" si="24"/>
        <v>7.7333333333333334</v>
      </c>
      <c r="AK89" s="38">
        <f t="shared" si="25"/>
        <v>12</v>
      </c>
      <c r="AL89" s="38">
        <f t="shared" si="26"/>
        <v>5.4399999999999995</v>
      </c>
      <c r="AM89" s="38">
        <f t="shared" si="27"/>
        <v>5.1636363636363631</v>
      </c>
      <c r="AN89" s="38">
        <f t="shared" si="28"/>
        <v>6.0266666666666673</v>
      </c>
      <c r="AO89" s="41">
        <f t="shared" si="29"/>
        <v>5.6000000000000005</v>
      </c>
      <c r="AP89" s="45">
        <f t="shared" si="30"/>
        <v>7.2660040404040398</v>
      </c>
    </row>
    <row r="90" spans="1:42" x14ac:dyDescent="0.25">
      <c r="A90" s="4" t="s">
        <v>389</v>
      </c>
      <c r="B90" s="35">
        <f>AVERAGE(B3:B16,B18:B19,B21,B48)</f>
        <v>6.7777777777777777</v>
      </c>
      <c r="C90" s="35">
        <f t="shared" ref="C90:D90" si="31">AVERAGE(C3:C16,C18:C19,C21,C48)</f>
        <v>26.055555555555557</v>
      </c>
      <c r="D90" s="35">
        <f t="shared" si="31"/>
        <v>10.388888888888889</v>
      </c>
      <c r="E90" s="35" t="s">
        <v>230</v>
      </c>
      <c r="F90" s="35" t="s">
        <v>230</v>
      </c>
      <c r="G90" s="35" t="s">
        <v>230</v>
      </c>
      <c r="H90" s="35" t="s">
        <v>230</v>
      </c>
      <c r="I90" s="35" t="s">
        <v>230</v>
      </c>
      <c r="J90" s="35" t="s">
        <v>230</v>
      </c>
      <c r="K90" s="35" t="s">
        <v>230</v>
      </c>
      <c r="L90" s="35"/>
      <c r="M90" s="35"/>
      <c r="N90" s="35"/>
      <c r="O90" s="35"/>
      <c r="P90" s="4" t="s">
        <v>389</v>
      </c>
      <c r="Q90" s="35">
        <f>AVERAGE(Q3:Q16,Q18:Q19,Q21,Q48)</f>
        <v>0.29555555555555546</v>
      </c>
      <c r="R90" s="35">
        <f t="shared" ref="R90:Z90" si="32">AVERAGE(R3:R16,R18:R19,R21,R48)</f>
        <v>1.2599999999999998</v>
      </c>
      <c r="S90" s="35">
        <f t="shared" si="32"/>
        <v>0.44555555555555565</v>
      </c>
      <c r="T90" s="35">
        <f t="shared" si="32"/>
        <v>0.8355555555555555</v>
      </c>
      <c r="U90" s="35">
        <f t="shared" si="32"/>
        <v>0.59166666666666656</v>
      </c>
      <c r="V90" s="35">
        <f t="shared" si="32"/>
        <v>0.80499999999999994</v>
      </c>
      <c r="W90" s="35">
        <f t="shared" si="32"/>
        <v>0.85277777777777786</v>
      </c>
      <c r="X90" s="35">
        <f t="shared" si="32"/>
        <v>0.25833333333333341</v>
      </c>
      <c r="Y90" s="35">
        <f t="shared" si="32"/>
        <v>1.7111111111111112</v>
      </c>
      <c r="Z90" s="35">
        <f t="shared" si="32"/>
        <v>1.3055555555555558</v>
      </c>
      <c r="AA90" s="35"/>
      <c r="AB90" s="35"/>
      <c r="AC90" s="35"/>
      <c r="AD90" s="35"/>
      <c r="AE90" s="4" t="s">
        <v>389</v>
      </c>
      <c r="AF90" s="35">
        <f>AVERAGE(AF3:AF16,AF18:AF19,AF21,AF48)</f>
        <v>0.79226225277989981</v>
      </c>
      <c r="AG90" s="35">
        <f t="shared" ref="AG90:AH90" si="33">AVERAGE(AG3:AG16,AG18:AG19,AG21,AG48)</f>
        <v>0.75270305736636112</v>
      </c>
      <c r="AH90" s="35">
        <f t="shared" si="33"/>
        <v>0.78105704752763594</v>
      </c>
      <c r="AI90" s="35" t="s">
        <v>230</v>
      </c>
      <c r="AJ90" s="35" t="s">
        <v>230</v>
      </c>
      <c r="AK90" s="35" t="s">
        <v>230</v>
      </c>
      <c r="AL90" s="35" t="s">
        <v>230</v>
      </c>
      <c r="AM90" s="35" t="s">
        <v>230</v>
      </c>
      <c r="AN90" s="35" t="s">
        <v>230</v>
      </c>
      <c r="AO90" s="35" t="s">
        <v>230</v>
      </c>
      <c r="AP90" s="35"/>
    </row>
    <row r="91" spans="1:42" x14ac:dyDescent="0.25">
      <c r="A91" s="4" t="s">
        <v>391</v>
      </c>
      <c r="B91" s="35">
        <f>SUM(B3:B16,B18:B19,B21,B48)</f>
        <v>122</v>
      </c>
      <c r="C91" s="35">
        <f t="shared" ref="C91:D91" si="34">SUM(C3:C16,C18:C19,C21,C48)</f>
        <v>469</v>
      </c>
      <c r="D91" s="35">
        <f t="shared" si="34"/>
        <v>187</v>
      </c>
      <c r="E91" s="35" t="s">
        <v>230</v>
      </c>
      <c r="F91" s="35" t="s">
        <v>230</v>
      </c>
      <c r="G91" s="35" t="s">
        <v>230</v>
      </c>
      <c r="H91" s="35" t="s">
        <v>230</v>
      </c>
      <c r="I91" s="35" t="s">
        <v>230</v>
      </c>
      <c r="J91" s="35" t="s">
        <v>230</v>
      </c>
      <c r="K91" s="35" t="s">
        <v>230</v>
      </c>
      <c r="L91" s="35"/>
      <c r="M91" s="35"/>
      <c r="N91" s="35"/>
      <c r="O91" s="35"/>
      <c r="P91" s="4" t="s">
        <v>391</v>
      </c>
      <c r="Q91" s="35">
        <f>SUM(Q3:Q16,Q18:Q19,Q21,Q48)</f>
        <v>5.3199999999999985</v>
      </c>
      <c r="R91" s="35">
        <f t="shared" ref="R91:Z91" si="35">SUM(R3:R16,R18:R19,R21,R48)</f>
        <v>22.679999999999996</v>
      </c>
      <c r="S91" s="35">
        <f t="shared" si="35"/>
        <v>8.0200000000000014</v>
      </c>
      <c r="T91" s="35">
        <f t="shared" si="35"/>
        <v>15.04</v>
      </c>
      <c r="U91" s="35">
        <f t="shared" si="35"/>
        <v>10.649999999999999</v>
      </c>
      <c r="V91" s="35">
        <f t="shared" si="35"/>
        <v>14.489999999999998</v>
      </c>
      <c r="W91" s="35">
        <f t="shared" si="35"/>
        <v>15.350000000000001</v>
      </c>
      <c r="X91" s="35">
        <f t="shared" si="35"/>
        <v>4.6500000000000012</v>
      </c>
      <c r="Y91" s="35">
        <f t="shared" si="35"/>
        <v>30.800000000000004</v>
      </c>
      <c r="Z91" s="35">
        <f t="shared" si="35"/>
        <v>23.500000000000004</v>
      </c>
      <c r="AA91" s="35"/>
      <c r="AB91" s="35"/>
      <c r="AC91" s="35"/>
      <c r="AD91" s="35"/>
      <c r="AE91" s="4" t="s">
        <v>396</v>
      </c>
      <c r="AF91" s="35">
        <f>AVERAGE(AF17,AF22:AF47,AF49:AF89)</f>
        <v>10.630905190905191</v>
      </c>
      <c r="AG91" s="35">
        <f t="shared" ref="AG91:AO91" si="36">AVERAGE(AG17,AG22:AG47,AG49:AG89)</f>
        <v>10.686892120225455</v>
      </c>
      <c r="AH91" s="35">
        <f t="shared" si="36"/>
        <v>10.087383727383726</v>
      </c>
      <c r="AI91" s="35">
        <f t="shared" si="36"/>
        <v>4.6647951982413494</v>
      </c>
      <c r="AJ91" s="35">
        <f t="shared" si="36"/>
        <v>8.0907349845054775</v>
      </c>
      <c r="AK91" s="35">
        <f t="shared" si="36"/>
        <v>7.5184593837535019</v>
      </c>
      <c r="AL91" s="35">
        <f t="shared" si="36"/>
        <v>5.8731005291005314</v>
      </c>
      <c r="AM91" s="35">
        <f t="shared" si="36"/>
        <v>6.152510132724422</v>
      </c>
      <c r="AN91" s="35">
        <f t="shared" si="36"/>
        <v>5.7154666033407127</v>
      </c>
      <c r="AO91" s="35">
        <f t="shared" si="36"/>
        <v>5.2372683998420486</v>
      </c>
      <c r="AP91" s="35"/>
    </row>
    <row r="92" spans="1:42" x14ac:dyDescent="0.25">
      <c r="A92" s="43" t="s">
        <v>394</v>
      </c>
      <c r="B92" s="42">
        <f>(B91/(B91+'Marketable Yield'!B91))*100</f>
        <v>21.631205673758867</v>
      </c>
      <c r="C92" s="42">
        <f>(C91/(C91+'Marketable Yield'!C91))*100</f>
        <v>25.840220385674932</v>
      </c>
      <c r="D92" s="42">
        <f>(D91/(D91+'Marketable Yield'!D91))*100</f>
        <v>11.987179487179487</v>
      </c>
      <c r="E92" s="38" t="s">
        <v>230</v>
      </c>
      <c r="F92" s="38" t="s">
        <v>230</v>
      </c>
      <c r="G92" s="38" t="s">
        <v>230</v>
      </c>
      <c r="H92" s="38" t="s">
        <v>230</v>
      </c>
      <c r="I92" s="38" t="s">
        <v>230</v>
      </c>
      <c r="J92" s="38" t="s">
        <v>230</v>
      </c>
      <c r="K92" s="38" t="s">
        <v>230</v>
      </c>
      <c r="L92" s="35"/>
      <c r="M92" s="35"/>
      <c r="N92" s="35"/>
      <c r="O92" s="35"/>
      <c r="P92" s="43" t="s">
        <v>394</v>
      </c>
      <c r="Q92" s="38">
        <f>(Q91/(Q91+'Marketable Yield'!Q91))*100</f>
        <v>17.551963048498841</v>
      </c>
      <c r="R92" s="38">
        <f>(R91/(R91+'Marketable Yield'!R91))*100</f>
        <v>24.503025064822818</v>
      </c>
      <c r="S92" s="38">
        <f>(S91/(S91+'Marketable Yield'!S91))*100</f>
        <v>13.411371237458194</v>
      </c>
      <c r="T92" s="38">
        <f>(T91/(T91+'Marketable Yield'!T91))*100</f>
        <v>15.275238675604305</v>
      </c>
      <c r="U92" s="38">
        <f>(U91/(U91+'Marketable Yield'!U91))*100</f>
        <v>23.32457293035479</v>
      </c>
      <c r="V92" s="38">
        <f>(V91/(V91+'Marketable Yield'!V91))*100</f>
        <v>18.936225823314164</v>
      </c>
      <c r="W92" s="38">
        <f>(W91/(W91+'Marketable Yield'!W91))*100</f>
        <v>24.033192422107405</v>
      </c>
      <c r="X92" s="38">
        <f>(X91/(X91+'Marketable Yield'!X91))*100</f>
        <v>18.328734726054396</v>
      </c>
      <c r="Y92" s="38">
        <f>(Y91/(Y91+'Marketable Yield'!Y91))*100</f>
        <v>41.785375118708451</v>
      </c>
      <c r="Z92" s="38">
        <f>(Z91/(Z91+'Marketable Yield'!Z91))*100</f>
        <v>33.638705983395361</v>
      </c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  <c r="AM92" s="35"/>
      <c r="AN92" s="35"/>
      <c r="AO92" s="35"/>
      <c r="AP92" s="35"/>
    </row>
    <row r="93" spans="1:42" x14ac:dyDescent="0.25">
      <c r="A93" s="4" t="s">
        <v>396</v>
      </c>
      <c r="B93" s="35">
        <f t="shared" ref="B93:K93" si="37">AVERAGE(B17,B22:B47,B49:B89)</f>
        <v>2.1086956521739131</v>
      </c>
      <c r="C93" s="35">
        <f t="shared" si="37"/>
        <v>8.515625</v>
      </c>
      <c r="D93" s="35">
        <f t="shared" si="37"/>
        <v>3.9076923076923076</v>
      </c>
      <c r="E93" s="35">
        <f t="shared" si="37"/>
        <v>15.03125</v>
      </c>
      <c r="F93" s="35">
        <f t="shared" si="37"/>
        <v>4.8125</v>
      </c>
      <c r="G93" s="35">
        <f t="shared" si="37"/>
        <v>1.75</v>
      </c>
      <c r="H93" s="35">
        <f t="shared" si="37"/>
        <v>2.59375</v>
      </c>
      <c r="I93" s="35">
        <f t="shared" si="37"/>
        <v>6.84375</v>
      </c>
      <c r="J93" s="35">
        <f t="shared" si="37"/>
        <v>12.109375</v>
      </c>
      <c r="K93" s="35">
        <f t="shared" si="37"/>
        <v>12.546875</v>
      </c>
      <c r="L93" s="35"/>
      <c r="M93" s="35"/>
      <c r="N93" s="35"/>
      <c r="O93" s="35"/>
      <c r="P93" s="4" t="s">
        <v>396</v>
      </c>
      <c r="Q93" s="35">
        <f>AVERAGE(Q17,Q22:Q47,Q49:Q89)</f>
        <v>1.2804347826086957</v>
      </c>
      <c r="R93" s="35">
        <f t="shared" ref="R93:Z93" si="38">AVERAGE(R17,R22:R47,R49:R89)</f>
        <v>5.14453125</v>
      </c>
      <c r="S93" s="35">
        <f t="shared" si="38"/>
        <v>2.5124615384615372</v>
      </c>
      <c r="T93" s="35">
        <f t="shared" si="38"/>
        <v>3.8953846153846161</v>
      </c>
      <c r="U93" s="35">
        <f t="shared" si="38"/>
        <v>1.9184615384615389</v>
      </c>
      <c r="V93" s="35">
        <f t="shared" si="38"/>
        <v>0.77230769230769225</v>
      </c>
      <c r="W93" s="35">
        <f t="shared" si="38"/>
        <v>1.5423076923076922</v>
      </c>
      <c r="X93" s="35">
        <f t="shared" si="38"/>
        <v>2.140769230769231</v>
      </c>
      <c r="Y93" s="35">
        <f t="shared" si="38"/>
        <v>3.7807692307692311</v>
      </c>
      <c r="Z93" s="35">
        <f t="shared" si="38"/>
        <v>4.0753846153846149</v>
      </c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  <c r="AM93" s="35"/>
      <c r="AN93" s="35"/>
      <c r="AO93" s="35"/>
      <c r="AP93" s="35"/>
    </row>
    <row r="94" spans="1:42" x14ac:dyDescent="0.25">
      <c r="A94" s="4" t="s">
        <v>395</v>
      </c>
      <c r="B94" s="35">
        <f t="shared" ref="B94:K94" si="39">SUM(B17,B22:B47,B49:B89)</f>
        <v>97</v>
      </c>
      <c r="C94" s="35">
        <f t="shared" si="39"/>
        <v>545</v>
      </c>
      <c r="D94" s="35">
        <f t="shared" si="39"/>
        <v>254</v>
      </c>
      <c r="E94" s="35">
        <f t="shared" si="39"/>
        <v>962</v>
      </c>
      <c r="F94" s="35">
        <f t="shared" si="39"/>
        <v>308</v>
      </c>
      <c r="G94" s="35">
        <f t="shared" si="39"/>
        <v>112</v>
      </c>
      <c r="H94" s="35">
        <f t="shared" si="39"/>
        <v>166</v>
      </c>
      <c r="I94" s="35">
        <f t="shared" si="39"/>
        <v>438</v>
      </c>
      <c r="J94" s="35">
        <f t="shared" si="39"/>
        <v>775</v>
      </c>
      <c r="K94" s="35">
        <f t="shared" si="39"/>
        <v>803</v>
      </c>
      <c r="L94" s="35"/>
      <c r="M94" s="35"/>
      <c r="N94" s="35"/>
      <c r="O94" s="35"/>
      <c r="P94" s="4" t="s">
        <v>395</v>
      </c>
      <c r="Q94" s="35">
        <f>SUM(Q17,Q22:Q47,Q49:Q89)</f>
        <v>58.900000000000006</v>
      </c>
      <c r="R94" s="35">
        <f t="shared" ref="R94:Z94" si="40">SUM(R17,R22:R47,R49:R89)</f>
        <v>329.25</v>
      </c>
      <c r="S94" s="35">
        <f t="shared" si="40"/>
        <v>163.30999999999992</v>
      </c>
      <c r="T94" s="35">
        <f t="shared" si="40"/>
        <v>253.20000000000005</v>
      </c>
      <c r="U94" s="35">
        <f t="shared" si="40"/>
        <v>124.70000000000003</v>
      </c>
      <c r="V94" s="35">
        <f t="shared" si="40"/>
        <v>50.199999999999996</v>
      </c>
      <c r="W94" s="35">
        <f t="shared" si="40"/>
        <v>100.24999999999999</v>
      </c>
      <c r="X94" s="35">
        <f t="shared" si="40"/>
        <v>139.15</v>
      </c>
      <c r="Y94" s="35">
        <f t="shared" si="40"/>
        <v>245.75000000000003</v>
      </c>
      <c r="Z94" s="35">
        <f t="shared" si="40"/>
        <v>264.89999999999998</v>
      </c>
      <c r="AA94" s="35"/>
      <c r="AB94" s="35"/>
      <c r="AC94" s="35"/>
      <c r="AD94" s="35"/>
      <c r="AE94" s="35"/>
      <c r="AF94" s="35"/>
      <c r="AG94" s="35"/>
      <c r="AH94" s="35"/>
      <c r="AI94" s="35"/>
      <c r="AJ94" s="35"/>
      <c r="AK94" s="35"/>
      <c r="AL94" s="35"/>
      <c r="AM94" s="35"/>
      <c r="AN94" s="35"/>
      <c r="AO94" s="35"/>
      <c r="AP94" s="35"/>
    </row>
    <row r="95" spans="1:42" x14ac:dyDescent="0.25">
      <c r="A95" s="4" t="s">
        <v>394</v>
      </c>
      <c r="B95" s="35">
        <f>(B94/(B94+'Marketable Yield'!B94))*100</f>
        <v>48.98989898989899</v>
      </c>
      <c r="C95" s="35">
        <f>(C94/(C94+'Marketable Yield'!C94))*100</f>
        <v>63.817330210772838</v>
      </c>
      <c r="D95" s="35">
        <f>(D94/(D94+'Marketable Yield'!D94))*100</f>
        <v>29.061784897025174</v>
      </c>
      <c r="E95" s="35">
        <f>(E94/(E94+'Marketable Yield'!E94))*100</f>
        <v>54.814814814814817</v>
      </c>
      <c r="F95" s="35">
        <f>(F94/(F94+'Marketable Yield'!F94))*100</f>
        <v>52.115059221658214</v>
      </c>
      <c r="G95" s="35">
        <f>(G94/(G94+'Marketable Yield'!G94))*100</f>
        <v>43.579766536964982</v>
      </c>
      <c r="H95" s="35">
        <f>(H94/(H94+'Marketable Yield'!H94))*100</f>
        <v>53.035143769968052</v>
      </c>
      <c r="I95" s="35">
        <f>(I94/(I94+'Marketable Yield'!I94))*100</f>
        <v>60.833333333333329</v>
      </c>
      <c r="J95" s="35">
        <f>(J94/(J94+'Marketable Yield'!J94))*100</f>
        <v>67.922874671340921</v>
      </c>
      <c r="K95" s="35">
        <f>(K94/(K94+'Marketable Yield'!K94))*100</f>
        <v>74.077490774907744</v>
      </c>
      <c r="L95" s="35"/>
      <c r="M95" s="35"/>
      <c r="N95" s="35"/>
      <c r="O95" s="35"/>
      <c r="P95" s="43" t="s">
        <v>394</v>
      </c>
      <c r="Q95" s="38">
        <f>(Q94/(Q94+'Marketable Yield'!Q94))*100</f>
        <v>44.638120500189451</v>
      </c>
      <c r="R95" s="38">
        <f>(R94/(R94+'Marketable Yield'!R94))*100</f>
        <v>68.337484433374854</v>
      </c>
      <c r="S95" s="38">
        <f>(S94/(S94+'Marketable Yield'!S94))*100</f>
        <v>34.475406375343034</v>
      </c>
      <c r="T95" s="38">
        <f>(T94/(T94+'Marketable Yield'!T94))*100</f>
        <v>51.904390963880118</v>
      </c>
      <c r="U95" s="38">
        <f>(U94/(U94+'Marketable Yield'!U94))*100</f>
        <v>47.796090456113461</v>
      </c>
      <c r="V95" s="38">
        <f>(V94/(V94+'Marketable Yield'!V94))*100</f>
        <v>48.544628179092932</v>
      </c>
      <c r="W95" s="38">
        <f>(W94/(W94+'Marketable Yield'!W94))*100</f>
        <v>61.146691064348879</v>
      </c>
      <c r="X95" s="38">
        <f>(X94/(X94+'Marketable Yield'!X94))*100</f>
        <v>55.984711325688998</v>
      </c>
      <c r="Y95" s="38">
        <f>(Y94/(Y94+'Marketable Yield'!Y94))*100</f>
        <v>63.150456122317877</v>
      </c>
      <c r="Z95" s="38">
        <f>(Z94/(Z94+'Marketable Yield'!Z94))*100</f>
        <v>71.123640757148607</v>
      </c>
      <c r="AA95" s="35"/>
      <c r="AB95" s="35"/>
      <c r="AC95" s="35"/>
      <c r="AD95" s="35"/>
      <c r="AE95" s="35"/>
      <c r="AF95" s="35"/>
      <c r="AG95" s="35"/>
      <c r="AH95" s="35"/>
      <c r="AI95" s="35"/>
      <c r="AJ95" s="35"/>
      <c r="AK95" s="35"/>
      <c r="AL95" s="35"/>
      <c r="AM95" s="35"/>
      <c r="AN95" s="35"/>
      <c r="AO95" s="35"/>
      <c r="AP95" s="35"/>
    </row>
    <row r="96" spans="1:42" x14ac:dyDescent="0.25">
      <c r="P96" s="4" t="s">
        <v>390</v>
      </c>
      <c r="Q96" s="35">
        <f>AVERAGE(Q3:Q89)</f>
        <v>1.0034375</v>
      </c>
      <c r="R96" s="35">
        <f t="shared" ref="R96:Z96" si="41">AVERAGE(R3:R89)</f>
        <v>4.2918292682926831</v>
      </c>
      <c r="S96" s="35">
        <f t="shared" si="41"/>
        <v>2.0642168674698786</v>
      </c>
      <c r="T96" s="35">
        <f t="shared" si="41"/>
        <v>3.2318072289156636</v>
      </c>
      <c r="U96" s="35">
        <f t="shared" si="41"/>
        <v>1.630722891566265</v>
      </c>
      <c r="V96" s="35">
        <f t="shared" si="41"/>
        <v>0.77939759036144574</v>
      </c>
      <c r="W96" s="35">
        <f t="shared" si="41"/>
        <v>1.3927710843373491</v>
      </c>
      <c r="X96" s="35">
        <f t="shared" si="41"/>
        <v>1.7325301204819279</v>
      </c>
      <c r="Y96" s="35">
        <f t="shared" si="41"/>
        <v>3.3319277108433738</v>
      </c>
      <c r="Z96" s="35">
        <f t="shared" si="41"/>
        <v>3.4746987951807227</v>
      </c>
    </row>
    <row r="97" spans="16:26" x14ac:dyDescent="0.25">
      <c r="P97" s="4" t="s">
        <v>392</v>
      </c>
      <c r="Q97" s="35">
        <f>SUM(Q3:Q89)</f>
        <v>64.22</v>
      </c>
      <c r="R97" s="35">
        <f t="shared" ref="R97:Z97" si="42">SUM(R3:R89)</f>
        <v>351.93</v>
      </c>
      <c r="S97" s="35">
        <f t="shared" si="42"/>
        <v>171.32999999999993</v>
      </c>
      <c r="T97" s="35">
        <f t="shared" si="42"/>
        <v>268.24000000000007</v>
      </c>
      <c r="U97" s="35">
        <f t="shared" si="42"/>
        <v>135.35</v>
      </c>
      <c r="V97" s="35">
        <f t="shared" si="42"/>
        <v>64.69</v>
      </c>
      <c r="W97" s="35">
        <f t="shared" si="42"/>
        <v>115.59999999999998</v>
      </c>
      <c r="X97" s="35">
        <f t="shared" si="42"/>
        <v>143.80000000000001</v>
      </c>
      <c r="Y97" s="35">
        <f t="shared" si="42"/>
        <v>276.55</v>
      </c>
      <c r="Z97" s="35">
        <f t="shared" si="42"/>
        <v>288.39999999999998</v>
      </c>
    </row>
    <row r="98" spans="16:26" x14ac:dyDescent="0.25">
      <c r="P98" s="4" t="s">
        <v>394</v>
      </c>
      <c r="Q98" s="35">
        <f>(Q97/(Q97+'Marketable Yield'!Q97))*100</f>
        <v>39.578454332552688</v>
      </c>
      <c r="R98" s="35">
        <f>(R97/(R97+'Marketable Yield'!R97))*100</f>
        <v>61.273417368897562</v>
      </c>
      <c r="S98" s="35">
        <f>(S97/(S97+'Marketable Yield'!S97))*100</f>
        <v>32.114339268978433</v>
      </c>
      <c r="T98" s="35">
        <f>(T97/(T97+'Marketable Yield'!T97))*100</f>
        <v>45.75288258170157</v>
      </c>
      <c r="U98" s="35">
        <f>(U97/(U97+'Marketable Yield'!U97))*100</f>
        <v>44.151226513569938</v>
      </c>
      <c r="V98" s="35">
        <f>(V97/(V97+'Marketable Yield'!V97))*100</f>
        <v>35.95287056077364</v>
      </c>
      <c r="W98" s="35">
        <f>(W97/(W97+'Marketable Yield'!W97))*100</f>
        <v>50.741813712580097</v>
      </c>
      <c r="X98" s="35">
        <f>(X97/(X97+'Marketable Yield'!X97))*100</f>
        <v>52.497079439252325</v>
      </c>
      <c r="Y98" s="35">
        <f>(Y97/(Y97+'Marketable Yield'!Y97))*100</f>
        <v>59.74808797476561</v>
      </c>
      <c r="Z98" s="35">
        <f>(Z97/(Z97+'Marketable Yield'!Z97))*100</f>
        <v>65.203138070583975</v>
      </c>
    </row>
  </sheetData>
  <mergeCells count="3">
    <mergeCell ref="AF1:AP1"/>
    <mergeCell ref="B1:N1"/>
    <mergeCell ref="Q1:A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Tomato Lines</vt:lpstr>
      <vt:lpstr>Layout</vt:lpstr>
      <vt:lpstr>Record Sheets</vt:lpstr>
      <vt:lpstr>Mgmnt. Notes</vt:lpstr>
      <vt:lpstr>Cull &amp; Tasting Notes</vt:lpstr>
      <vt:lpstr>Filled Record Sheet</vt:lpstr>
      <vt:lpstr>Marketable Yield</vt:lpstr>
      <vt:lpstr>Cull Yield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Sapkota, Manoj</dc:creator>
  <cp:lastModifiedBy>Becker, Daniel W.</cp:lastModifiedBy>
  <cp:lastPrinted>2026-07-25T23:24:08Z</cp:lastPrinted>
  <dcterms:created xsi:type="dcterms:W3CDTF">2026-04-06T20:23:01Z</dcterms:created>
  <dcterms:modified xsi:type="dcterms:W3CDTF">2026-10-09T15:03:27Z</dcterms:modified>
</cp:coreProperties>
</file>