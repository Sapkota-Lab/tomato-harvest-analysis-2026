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mc:AlternateContent xmlns:mc="http://schemas.openxmlformats.org/markup-compatibility/2006">
    <mc:Choice Requires="x15">
      <x15ac:absPath xmlns:x15ac="http://schemas.microsoft.com/office/spreadsheetml/2010/11/ac" url="/Users/nam/Documents/1_UK/Harvest 2026/"/>
    </mc:Choice>
  </mc:AlternateContent>
  <xr:revisionPtr revIDLastSave="0" documentId="8_{B6D7D08F-3F8A-4395-AC5F-35672B955004}" xr6:coauthVersionLast="47" xr6:coauthVersionMax="47" xr10:uidLastSave="{00000000-0000-0000-0000-000000000000}"/>
  <bookViews>
    <workbookView xWindow="3900" yWindow="2280" windowWidth="28040" windowHeight="17180" firstSheet="5" activeTab="9" xr2:uid="{B118F93F-AC6A-494E-89BE-36C36E1CD515}"/>
  </bookViews>
  <sheets>
    <sheet name="First" sheetId="1" r:id="rId1"/>
    <sheet name="Second" sheetId="8" r:id="rId2"/>
    <sheet name="Third" sheetId="10" r:id="rId3"/>
    <sheet name="Fourth" sheetId="11" r:id="rId4"/>
    <sheet name="Fifth" sheetId="16" r:id="rId5"/>
    <sheet name="Specific Gravity" sheetId="2" r:id="rId6"/>
    <sheet name="Carotenoid" sheetId="5" r:id="rId7"/>
    <sheet name="TA" sheetId="6" r:id="rId8"/>
    <sheet name="Anthocyanin" sheetId="3" r:id="rId9"/>
    <sheet name="GABA" sheetId="4" r:id="rId10"/>
    <sheet name="Polyphenol" sheetId="7" r:id="rId11"/>
    <sheet name="FirstHArvest_OpenFieldLex" sheetId="9" r:id="rId12"/>
    <sheet name="RobinsonCenter" sheetId="13" r:id="rId13"/>
    <sheet name="hybrid_harvest_Lex_MS" sheetId="14" r:id="rId14"/>
    <sheet name="SecondHarvestOpenField" sheetId="15" r:id="rId15"/>
    <sheet name="Second_Lex_Aug18_Nam" sheetId="17" r:id="rId16"/>
    <sheet name="Second_Lex_Aug18_Ella" sheetId="19" r:id="rId17"/>
    <sheet name="High Tunnel Harvest Sixth" sheetId="18" r:id="rId18"/>
    <sheet name="Second_lex_Aug19_Nam" sheetId="20" r:id="rId19"/>
    <sheet name="High_tunnel_Aug19_Nam" sheetId="21" r:id="rId20"/>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21" i="2" l="1"/>
  <c r="J221" i="2" s="1"/>
  <c r="I222" i="2"/>
  <c r="J222" i="2" s="1"/>
  <c r="I223" i="2"/>
  <c r="J223" i="2" s="1"/>
  <c r="I224" i="2"/>
  <c r="J224" i="2" s="1"/>
  <c r="I225" i="2"/>
  <c r="J225" i="2" s="1"/>
  <c r="I226" i="2"/>
  <c r="J226" i="2" s="1"/>
  <c r="I227" i="2"/>
  <c r="J227" i="2" s="1"/>
  <c r="I228" i="2"/>
  <c r="J228" i="2" s="1"/>
  <c r="I229" i="2"/>
  <c r="J229" i="2" s="1"/>
  <c r="I230" i="2"/>
  <c r="J230" i="2" s="1"/>
  <c r="I231" i="2"/>
  <c r="J231" i="2" s="1"/>
  <c r="I232" i="2"/>
  <c r="J232" i="2" s="1"/>
  <c r="I233" i="2"/>
  <c r="J233" i="2" s="1"/>
  <c r="I234" i="2"/>
  <c r="J234" i="2" s="1"/>
  <c r="I235" i="2"/>
  <c r="J235" i="2" s="1"/>
  <c r="I236" i="2"/>
  <c r="J236" i="2" s="1"/>
  <c r="I237" i="2"/>
  <c r="J237" i="2" s="1"/>
  <c r="I238" i="2"/>
  <c r="J238" i="2" s="1"/>
  <c r="I239" i="2"/>
  <c r="J239" i="2" s="1"/>
  <c r="I240" i="2"/>
  <c r="J240" i="2" s="1"/>
  <c r="I241" i="2"/>
  <c r="J241" i="2" s="1"/>
  <c r="I242" i="2"/>
  <c r="J242" i="2" s="1"/>
  <c r="I212" i="2"/>
  <c r="J212" i="2" s="1"/>
  <c r="I213" i="2"/>
  <c r="J213" i="2" s="1"/>
  <c r="I214" i="2"/>
  <c r="J214" i="2" s="1"/>
  <c r="I215" i="2"/>
  <c r="J215" i="2" s="1"/>
  <c r="I216" i="2"/>
  <c r="J216" i="2" s="1"/>
  <c r="I217" i="2"/>
  <c r="J217" i="2" s="1"/>
  <c r="I218" i="2"/>
  <c r="J218" i="2" s="1"/>
  <c r="I219" i="2"/>
  <c r="J219" i="2" s="1"/>
  <c r="I220" i="2"/>
  <c r="J220" i="2" s="1"/>
  <c r="I207" i="2"/>
  <c r="J207" i="2" s="1"/>
  <c r="I208" i="2"/>
  <c r="J208" i="2" s="1"/>
  <c r="I209" i="2"/>
  <c r="J209" i="2" s="1"/>
  <c r="I210" i="2"/>
  <c r="J210" i="2" s="1"/>
  <c r="I211" i="2"/>
  <c r="J211" i="2" s="1"/>
  <c r="I179" i="2"/>
  <c r="J179" i="2"/>
  <c r="I180" i="2"/>
  <c r="J180" i="2"/>
  <c r="I181" i="2"/>
  <c r="J181" i="2"/>
  <c r="I182" i="2"/>
  <c r="J182" i="2"/>
  <c r="I183" i="2"/>
  <c r="J183" i="2"/>
  <c r="I184" i="2"/>
  <c r="J184" i="2"/>
  <c r="I185" i="2"/>
  <c r="J185" i="2"/>
  <c r="I186" i="2"/>
  <c r="J186" i="2"/>
  <c r="I187" i="2"/>
  <c r="J187" i="2"/>
  <c r="I188" i="2"/>
  <c r="J188" i="2"/>
  <c r="I189" i="2"/>
  <c r="J189" i="2"/>
  <c r="I190" i="2"/>
  <c r="J190" i="2"/>
  <c r="I191" i="2"/>
  <c r="J191" i="2"/>
  <c r="I192" i="2"/>
  <c r="J192" i="2"/>
  <c r="I193" i="2"/>
  <c r="J193" i="2"/>
  <c r="I194" i="2"/>
  <c r="J194" i="2"/>
  <c r="I195" i="2"/>
  <c r="J195" i="2"/>
  <c r="I196" i="2"/>
  <c r="J196" i="2"/>
  <c r="I197" i="2"/>
  <c r="J197" i="2"/>
  <c r="I198" i="2"/>
  <c r="J198" i="2"/>
  <c r="I199" i="2"/>
  <c r="J199" i="2"/>
  <c r="I200" i="2"/>
  <c r="J200" i="2"/>
  <c r="I201" i="2"/>
  <c r="J201" i="2"/>
  <c r="I202" i="2"/>
  <c r="J202" i="2"/>
  <c r="I203" i="2"/>
  <c r="J203" i="2"/>
  <c r="I204" i="2"/>
  <c r="J204" i="2"/>
  <c r="I205" i="2"/>
  <c r="J205" i="2"/>
  <c r="I165" i="2"/>
  <c r="J165" i="2"/>
  <c r="I166" i="2"/>
  <c r="J166" i="2"/>
  <c r="I167" i="2"/>
  <c r="J167" i="2"/>
  <c r="I168" i="2"/>
  <c r="J168" i="2"/>
  <c r="I169" i="2"/>
  <c r="J169" i="2"/>
  <c r="I170" i="2"/>
  <c r="J170" i="2"/>
  <c r="I171" i="2"/>
  <c r="J171" i="2"/>
  <c r="I172" i="2"/>
  <c r="J172" i="2"/>
  <c r="I173" i="2"/>
  <c r="J173" i="2"/>
  <c r="I174" i="2"/>
  <c r="J174" i="2"/>
  <c r="I175" i="2"/>
  <c r="J175" i="2"/>
  <c r="I176" i="2"/>
  <c r="J176" i="2"/>
  <c r="I177" i="2"/>
  <c r="J177" i="2"/>
  <c r="I178" i="2"/>
  <c r="J178" i="2"/>
  <c r="I164" i="2"/>
  <c r="J164" i="2"/>
  <c r="I163" i="2"/>
  <c r="J163" i="2"/>
  <c r="I162" i="2"/>
  <c r="J162" i="2"/>
  <c r="I161" i="2"/>
  <c r="J161" i="2"/>
  <c r="I160" i="2"/>
  <c r="J160" i="2"/>
  <c r="I159" i="2"/>
  <c r="J159" i="2"/>
  <c r="I139" i="2"/>
  <c r="J139" i="2"/>
  <c r="I140" i="2"/>
  <c r="J140" i="2"/>
  <c r="I141" i="2"/>
  <c r="J141" i="2"/>
  <c r="I142" i="2"/>
  <c r="J142" i="2"/>
  <c r="I143" i="2"/>
  <c r="J143" i="2"/>
  <c r="I144" i="2"/>
  <c r="J144" i="2"/>
  <c r="I145" i="2"/>
  <c r="J145" i="2"/>
  <c r="I146" i="2"/>
  <c r="J146" i="2"/>
  <c r="I147" i="2"/>
  <c r="J147" i="2"/>
  <c r="I148" i="2"/>
  <c r="J148" i="2"/>
  <c r="I149" i="2"/>
  <c r="J149" i="2"/>
  <c r="I150" i="2"/>
  <c r="J150" i="2"/>
  <c r="I151" i="2"/>
  <c r="J151" i="2"/>
  <c r="I152" i="2"/>
  <c r="J152" i="2"/>
  <c r="I153" i="2"/>
  <c r="J153" i="2"/>
  <c r="I154" i="2"/>
  <c r="J154" i="2"/>
  <c r="I155" i="2"/>
  <c r="J155" i="2"/>
  <c r="I156" i="2"/>
  <c r="J156" i="2"/>
  <c r="I157" i="2"/>
  <c r="J157" i="2"/>
  <c r="I158" i="2"/>
  <c r="J158" i="2"/>
  <c r="I123" i="2"/>
  <c r="J123" i="2"/>
  <c r="I124" i="2"/>
  <c r="J124" i="2"/>
  <c r="I125" i="2"/>
  <c r="J125" i="2"/>
  <c r="I126" i="2"/>
  <c r="J126" i="2"/>
  <c r="I127" i="2"/>
  <c r="J127" i="2"/>
  <c r="I128" i="2"/>
  <c r="J128" i="2"/>
  <c r="I129" i="2"/>
  <c r="J129" i="2"/>
  <c r="I130" i="2"/>
  <c r="J130" i="2"/>
  <c r="I131" i="2"/>
  <c r="J131" i="2"/>
  <c r="I132" i="2"/>
  <c r="J132" i="2"/>
  <c r="I133" i="2"/>
  <c r="J133" i="2"/>
  <c r="I134" i="2"/>
  <c r="J134" i="2"/>
  <c r="I135" i="2"/>
  <c r="J135" i="2"/>
  <c r="I136" i="2"/>
  <c r="J136" i="2"/>
  <c r="I137" i="2"/>
  <c r="J137" i="2"/>
  <c r="I138" i="2"/>
  <c r="J138" i="2"/>
  <c r="I70" i="2"/>
  <c r="J70" i="2"/>
  <c r="I71" i="2"/>
  <c r="J71" i="2"/>
  <c r="I72" i="2"/>
  <c r="J72" i="2"/>
  <c r="I73" i="2"/>
  <c r="J73" i="2"/>
  <c r="I74" i="2"/>
  <c r="J74" i="2"/>
  <c r="I75" i="2"/>
  <c r="J75" i="2"/>
  <c r="I76" i="2"/>
  <c r="J76" i="2"/>
  <c r="I77" i="2"/>
  <c r="J77" i="2"/>
  <c r="I78" i="2"/>
  <c r="J78" i="2"/>
  <c r="I79" i="2"/>
  <c r="J79" i="2"/>
  <c r="I80" i="2"/>
  <c r="J80" i="2"/>
  <c r="I81" i="2"/>
  <c r="J81" i="2"/>
  <c r="I82" i="2"/>
  <c r="J82" i="2"/>
  <c r="I83" i="2"/>
  <c r="J83" i="2"/>
  <c r="I84" i="2"/>
  <c r="J84" i="2"/>
  <c r="I85" i="2"/>
  <c r="J85" i="2"/>
  <c r="I86" i="2"/>
  <c r="J86" i="2"/>
  <c r="I87" i="2"/>
  <c r="J87" i="2"/>
  <c r="I88" i="2"/>
  <c r="J88" i="2"/>
  <c r="I89" i="2"/>
  <c r="J89" i="2"/>
  <c r="I90" i="2"/>
  <c r="J90" i="2"/>
  <c r="I91" i="2"/>
  <c r="J91" i="2"/>
  <c r="I92" i="2"/>
  <c r="J92" i="2"/>
  <c r="I93" i="2"/>
  <c r="J93" i="2"/>
  <c r="I94" i="2"/>
  <c r="J94" i="2"/>
  <c r="I95" i="2"/>
  <c r="J95" i="2"/>
  <c r="I96" i="2"/>
  <c r="J96" i="2"/>
  <c r="I97" i="2"/>
  <c r="J97" i="2"/>
  <c r="I98" i="2"/>
  <c r="J98" i="2"/>
  <c r="I99" i="2"/>
  <c r="J99" i="2"/>
  <c r="I100" i="2"/>
  <c r="J100" i="2"/>
  <c r="I101" i="2"/>
  <c r="J101" i="2"/>
  <c r="I102" i="2"/>
  <c r="J102" i="2"/>
  <c r="I103" i="2"/>
  <c r="J103" i="2"/>
  <c r="I104" i="2"/>
  <c r="J104" i="2"/>
  <c r="I105" i="2"/>
  <c r="J105" i="2"/>
  <c r="I106" i="2"/>
  <c r="J106" i="2"/>
  <c r="I107" i="2"/>
  <c r="J107" i="2"/>
  <c r="I108" i="2"/>
  <c r="J108" i="2"/>
  <c r="I109" i="2"/>
  <c r="J109" i="2"/>
  <c r="I110" i="2"/>
  <c r="J110" i="2"/>
  <c r="I111" i="2"/>
  <c r="J111" i="2"/>
  <c r="I112" i="2"/>
  <c r="J112" i="2"/>
  <c r="I113" i="2"/>
  <c r="J113" i="2"/>
  <c r="I114" i="2"/>
  <c r="J114" i="2"/>
  <c r="I115" i="2"/>
  <c r="J115" i="2"/>
  <c r="I116" i="2"/>
  <c r="J116" i="2"/>
  <c r="I117" i="2"/>
  <c r="J117" i="2"/>
  <c r="I118" i="2"/>
  <c r="J118" i="2"/>
  <c r="I119" i="2"/>
  <c r="J119" i="2"/>
  <c r="I120" i="2"/>
  <c r="J120" i="2"/>
  <c r="I121" i="2"/>
  <c r="J121" i="2"/>
  <c r="I122" i="2"/>
  <c r="J122" i="2"/>
  <c r="L19" i="14"/>
  <c r="M19" i="14"/>
  <c r="L20" i="14"/>
  <c r="M20" i="14"/>
  <c r="L21" i="14"/>
  <c r="M21" i="14"/>
  <c r="L22" i="14"/>
  <c r="M22" i="14"/>
  <c r="L23" i="14"/>
  <c r="M23" i="14"/>
  <c r="L24" i="14"/>
  <c r="M24" i="14"/>
  <c r="L25" i="14"/>
  <c r="M25" i="14"/>
  <c r="L26" i="14"/>
  <c r="M26" i="14"/>
  <c r="L27" i="14"/>
  <c r="M27" i="14"/>
  <c r="L28" i="14"/>
  <c r="M28" i="14"/>
  <c r="L29" i="14"/>
  <c r="M29" i="14"/>
  <c r="L30" i="14"/>
  <c r="M30" i="14"/>
  <c r="L31" i="14"/>
  <c r="M31" i="14"/>
  <c r="L32" i="14"/>
  <c r="M32" i="14"/>
  <c r="L33" i="14"/>
  <c r="M33" i="14"/>
  <c r="L34" i="14"/>
  <c r="M34" i="14"/>
  <c r="L35" i="14"/>
  <c r="M35" i="14"/>
  <c r="L36" i="14"/>
  <c r="M36" i="14"/>
  <c r="L37" i="14"/>
  <c r="M37" i="14"/>
  <c r="L38" i="14"/>
  <c r="M38" i="14"/>
  <c r="L39" i="14"/>
  <c r="M39" i="14"/>
  <c r="L18" i="15"/>
  <c r="M18" i="15"/>
  <c r="L19" i="15"/>
  <c r="M19" i="15"/>
  <c r="L20" i="15"/>
  <c r="M20" i="15"/>
  <c r="L21" i="15"/>
  <c r="M21" i="15"/>
  <c r="L22" i="15"/>
  <c r="M22" i="15"/>
  <c r="L23" i="15"/>
  <c r="M23" i="15"/>
  <c r="L24" i="15"/>
  <c r="M24" i="15"/>
  <c r="L25" i="15"/>
  <c r="M25" i="15"/>
  <c r="L26" i="15"/>
  <c r="M26" i="15"/>
  <c r="L27" i="15"/>
  <c r="M27" i="15"/>
  <c r="L28" i="15"/>
  <c r="M28" i="15"/>
  <c r="L29" i="15"/>
  <c r="M29" i="15"/>
  <c r="L30" i="15"/>
  <c r="M30" i="15"/>
  <c r="L31" i="15"/>
  <c r="M31" i="15"/>
  <c r="L32" i="15"/>
  <c r="M32" i="15"/>
  <c r="L33" i="15"/>
  <c r="M33" i="15"/>
  <c r="L6" i="14"/>
  <c r="M6" i="14"/>
  <c r="L7" i="14"/>
  <c r="M7" i="14"/>
  <c r="L8" i="14"/>
  <c r="M8" i="14"/>
  <c r="L9" i="14"/>
  <c r="M9" i="14"/>
  <c r="L10" i="14"/>
  <c r="M10" i="14"/>
  <c r="L11" i="14"/>
  <c r="M11" i="14"/>
  <c r="L12" i="14"/>
  <c r="M12" i="14"/>
  <c r="L13" i="14"/>
  <c r="M13" i="14"/>
  <c r="L14" i="14"/>
  <c r="M14" i="14"/>
  <c r="L15" i="14"/>
  <c r="M15" i="14"/>
  <c r="L16" i="14"/>
  <c r="M16" i="14"/>
  <c r="L17" i="14"/>
  <c r="M17" i="14"/>
  <c r="L18" i="14"/>
  <c r="M18" i="14"/>
  <c r="L2" i="14"/>
  <c r="M2" i="14"/>
  <c r="L3" i="14"/>
  <c r="M3" i="14"/>
  <c r="L4" i="14"/>
  <c r="M4" i="14"/>
  <c r="L5" i="14"/>
  <c r="M5" i="14"/>
  <c r="A2" i="14"/>
  <c r="A3" i="14"/>
  <c r="A4" i="14"/>
  <c r="A5" i="14"/>
  <c r="A6" i="14"/>
  <c r="A7" i="14"/>
  <c r="A8" i="14"/>
  <c r="A9" i="14"/>
  <c r="A10" i="14"/>
  <c r="A11" i="14"/>
  <c r="A12" i="14"/>
  <c r="A13" i="14"/>
  <c r="A14" i="14"/>
  <c r="L3" i="15"/>
  <c r="M3" i="15"/>
  <c r="L4" i="15"/>
  <c r="M4" i="15"/>
  <c r="L5" i="15"/>
  <c r="M5" i="15"/>
  <c r="L6" i="15"/>
  <c r="M6" i="15"/>
  <c r="L7" i="15"/>
  <c r="M7" i="15"/>
  <c r="L8" i="15"/>
  <c r="M8" i="15"/>
  <c r="L9" i="15"/>
  <c r="M9" i="15"/>
  <c r="L10" i="15"/>
  <c r="M10" i="15"/>
  <c r="L11" i="15"/>
  <c r="M11" i="15"/>
  <c r="L12" i="15"/>
  <c r="M12" i="15"/>
  <c r="L13" i="15"/>
  <c r="M13" i="15"/>
  <c r="L14" i="15"/>
  <c r="M14" i="15"/>
  <c r="L15" i="15"/>
  <c r="M15" i="15"/>
  <c r="L16" i="15"/>
  <c r="M16" i="15"/>
  <c r="L17" i="15"/>
  <c r="M17" i="15"/>
  <c r="L2" i="15"/>
  <c r="M2" i="15"/>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10" i="4"/>
  <c r="E115"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1" i="4"/>
  <c r="E112" i="4"/>
  <c r="E113" i="4"/>
  <c r="E114" i="4"/>
  <c r="E28" i="4"/>
  <c r="E116" i="4"/>
  <c r="I54" i="2"/>
  <c r="J54" i="2"/>
  <c r="I55" i="2"/>
  <c r="J55" i="2"/>
  <c r="I56" i="2"/>
  <c r="J56" i="2"/>
  <c r="I57" i="2"/>
  <c r="J57" i="2"/>
  <c r="I58" i="2"/>
  <c r="J58" i="2"/>
  <c r="I59" i="2"/>
  <c r="J59" i="2"/>
  <c r="I60" i="2"/>
  <c r="J60" i="2"/>
  <c r="I61" i="2"/>
  <c r="J61" i="2"/>
  <c r="I62" i="2"/>
  <c r="J62" i="2"/>
  <c r="I63" i="2"/>
  <c r="J63" i="2"/>
  <c r="I64" i="2"/>
  <c r="J64" i="2"/>
  <c r="I65" i="2"/>
  <c r="J65" i="2"/>
  <c r="I66" i="2"/>
  <c r="J66" i="2"/>
  <c r="I67" i="2"/>
  <c r="J67" i="2"/>
  <c r="I68" i="2"/>
  <c r="J68" i="2"/>
  <c r="I69" i="2"/>
  <c r="J69" i="2"/>
  <c r="I43" i="2"/>
  <c r="J43" i="2"/>
  <c r="I44" i="2"/>
  <c r="J44" i="2"/>
  <c r="I45" i="2"/>
  <c r="J45" i="2"/>
  <c r="I46" i="2"/>
  <c r="J46" i="2"/>
  <c r="I47" i="2"/>
  <c r="J47" i="2"/>
  <c r="I48" i="2"/>
  <c r="J48" i="2"/>
  <c r="I49" i="2"/>
  <c r="J49" i="2"/>
  <c r="I50" i="2"/>
  <c r="J50" i="2"/>
  <c r="I51" i="2"/>
  <c r="J51" i="2"/>
  <c r="I52" i="2"/>
  <c r="J52" i="2"/>
  <c r="I53" i="2"/>
  <c r="J53" i="2"/>
  <c r="I42" i="2"/>
  <c r="J42" i="2"/>
  <c r="E23" i="4"/>
  <c r="E24" i="4"/>
  <c r="E25" i="4"/>
  <c r="E26" i="4"/>
  <c r="E27" i="4"/>
  <c r="E22" i="4"/>
  <c r="I38" i="2"/>
  <c r="J38" i="2"/>
  <c r="I39" i="2"/>
  <c r="J39" i="2"/>
  <c r="I41" i="2"/>
  <c r="J41" i="2"/>
  <c r="I40" i="2"/>
  <c r="J40" i="2"/>
  <c r="F13" i="4" a="1"/>
  <c r="F13" i="4"/>
  <c r="I8" i="5"/>
  <c r="J8" i="5"/>
  <c r="K8" i="5"/>
  <c r="L8" i="5"/>
  <c r="N8" i="5"/>
  <c r="Q8" i="5"/>
  <c r="I9" i="5"/>
  <c r="J9" i="5"/>
  <c r="K9" i="5"/>
  <c r="L9" i="5"/>
  <c r="N9" i="5"/>
  <c r="Q9" i="5"/>
  <c r="I10" i="5"/>
  <c r="J10" i="5"/>
  <c r="K10" i="5"/>
  <c r="L10" i="5"/>
  <c r="N10" i="5"/>
  <c r="Q10" i="5"/>
  <c r="I11" i="5"/>
  <c r="J11" i="5"/>
  <c r="K11" i="5"/>
  <c r="L11" i="5"/>
  <c r="N11" i="5"/>
  <c r="Q11" i="5"/>
  <c r="I12" i="5"/>
  <c r="J12" i="5"/>
  <c r="K12" i="5"/>
  <c r="L12" i="5"/>
  <c r="N12" i="5"/>
  <c r="Q12" i="5"/>
  <c r="I13" i="5"/>
  <c r="J13" i="5"/>
  <c r="K13" i="5"/>
  <c r="L13" i="5"/>
  <c r="N13" i="5"/>
  <c r="Q13" i="5"/>
  <c r="M8" i="5"/>
  <c r="P8" i="5"/>
  <c r="M9" i="5"/>
  <c r="P9" i="5"/>
  <c r="M10" i="5"/>
  <c r="P10" i="5"/>
  <c r="M11" i="5"/>
  <c r="P11" i="5"/>
  <c r="M12" i="5"/>
  <c r="P12" i="5"/>
  <c r="M13" i="5"/>
  <c r="P13" i="5"/>
  <c r="E18" i="4"/>
  <c r="E19" i="4"/>
  <c r="E20" i="4"/>
  <c r="E21" i="4"/>
  <c r="E17" i="4"/>
  <c r="E13" i="4"/>
  <c r="E14" i="4"/>
  <c r="E15" i="4"/>
  <c r="E16" i="4"/>
  <c r="E12" i="4"/>
  <c r="E10" i="4"/>
  <c r="I36" i="2"/>
  <c r="J36" i="2"/>
  <c r="I37" i="2"/>
  <c r="J37" i="2"/>
  <c r="I31" i="2"/>
  <c r="J31" i="2"/>
  <c r="I32" i="2"/>
  <c r="J32" i="2"/>
  <c r="I33" i="2"/>
  <c r="J33" i="2"/>
  <c r="I34" i="2"/>
  <c r="J34" i="2"/>
  <c r="I35" i="2"/>
  <c r="J35" i="2"/>
  <c r="I19" i="2"/>
  <c r="J19" i="2"/>
  <c r="I20" i="2"/>
  <c r="J20" i="2"/>
  <c r="I21" i="2"/>
  <c r="J21" i="2"/>
  <c r="I22" i="2"/>
  <c r="J22" i="2"/>
  <c r="I23" i="2"/>
  <c r="J23" i="2"/>
  <c r="I24" i="2"/>
  <c r="J24" i="2"/>
  <c r="I25" i="2"/>
  <c r="J25" i="2"/>
  <c r="I26" i="2"/>
  <c r="J26" i="2"/>
  <c r="I27" i="2"/>
  <c r="J27" i="2"/>
  <c r="I28" i="2"/>
  <c r="J28" i="2"/>
  <c r="I29" i="2"/>
  <c r="J29" i="2"/>
  <c r="I30" i="2"/>
  <c r="J30" i="2"/>
  <c r="E7" i="4"/>
  <c r="E8" i="4"/>
  <c r="E9" i="4"/>
  <c r="E11" i="4"/>
  <c r="E6" i="4"/>
  <c r="I5" i="5"/>
  <c r="J5" i="5"/>
  <c r="K5" i="5"/>
  <c r="L5" i="5"/>
  <c r="N5" i="5"/>
  <c r="Q5" i="5"/>
  <c r="I6" i="5"/>
  <c r="J6" i="5"/>
  <c r="K6" i="5"/>
  <c r="L6" i="5"/>
  <c r="N6" i="5"/>
  <c r="Q6" i="5"/>
  <c r="I7" i="5"/>
  <c r="J7" i="5"/>
  <c r="K7" i="5"/>
  <c r="L7" i="5"/>
  <c r="N7" i="5"/>
  <c r="Q7" i="5"/>
  <c r="M5" i="5"/>
  <c r="P5" i="5"/>
  <c r="M6" i="5"/>
  <c r="P6" i="5"/>
  <c r="M7" i="5"/>
  <c r="P7" i="5"/>
  <c r="K4" i="5"/>
  <c r="L4" i="5"/>
  <c r="E2" i="7"/>
  <c r="E3" i="4"/>
  <c r="E4" i="4"/>
  <c r="E5" i="4"/>
  <c r="E2" i="4"/>
  <c r="F3" i="6"/>
  <c r="F2" i="6"/>
  <c r="I3" i="5"/>
  <c r="J3" i="5"/>
  <c r="K3" i="5"/>
  <c r="L3" i="5"/>
  <c r="N3" i="5"/>
  <c r="Q3" i="5"/>
  <c r="I4" i="5"/>
  <c r="J4" i="5"/>
  <c r="N4" i="5"/>
  <c r="Q4" i="5"/>
  <c r="M3" i="5"/>
  <c r="P3" i="5"/>
  <c r="M4" i="5"/>
  <c r="P4" i="5"/>
  <c r="J2" i="5"/>
  <c r="I2" i="5"/>
  <c r="K2" i="5"/>
  <c r="L2" i="5"/>
  <c r="N2" i="5"/>
  <c r="Q2" i="5"/>
  <c r="M2" i="5"/>
  <c r="P2" i="5"/>
  <c r="I8" i="2"/>
  <c r="J8" i="2"/>
  <c r="I9" i="2"/>
  <c r="J9" i="2"/>
  <c r="I10" i="2"/>
  <c r="J10" i="2"/>
  <c r="I17" i="2"/>
  <c r="J17" i="2"/>
  <c r="I16" i="2"/>
  <c r="J16" i="2"/>
  <c r="I14" i="2"/>
  <c r="J14" i="2"/>
  <c r="I18" i="2"/>
  <c r="J18" i="2"/>
  <c r="I12" i="2"/>
  <c r="J12" i="2"/>
  <c r="I15" i="2"/>
  <c r="J15" i="2"/>
  <c r="I13" i="2"/>
  <c r="J13" i="2"/>
  <c r="I11" i="2"/>
  <c r="J11" i="2"/>
  <c r="I3" i="2"/>
  <c r="J3" i="2"/>
  <c r="I5" i="2"/>
  <c r="J5" i="2"/>
  <c r="I4" i="2"/>
  <c r="J4" i="2"/>
  <c r="I6" i="2"/>
  <c r="J6" i="2"/>
  <c r="I7" i="2"/>
  <c r="J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<sst xmlns="http://schemas.openxmlformats.org/spreadsheetml/2006/main" count="2461" uniqueCount="802">
  <si>
    <t>SN</t>
  </si>
  <si>
    <t>Genotypes</t>
  </si>
  <si>
    <t>Location</t>
  </si>
  <si>
    <t>Date of harvest</t>
  </si>
  <si>
    <t>Harvest</t>
  </si>
  <si>
    <t>Grade 1 Marketable (weight)</t>
  </si>
  <si>
    <t xml:space="preserve">Grade 1 Marketable (counts) </t>
  </si>
  <si>
    <t>Grade 2 Marketable (weight)</t>
  </si>
  <si>
    <t>Grade 2 Marketable (counts)</t>
  </si>
  <si>
    <t>Unmarketables (weight)</t>
  </si>
  <si>
    <t>Unmarketables (counts)</t>
  </si>
  <si>
    <t>UKYT-25-001</t>
  </si>
  <si>
    <t>High tunnel</t>
  </si>
  <si>
    <t>First</t>
  </si>
  <si>
    <t>UKYT-25-002</t>
  </si>
  <si>
    <t>UKYT-25-003</t>
  </si>
  <si>
    <t>UKYT-25-004</t>
  </si>
  <si>
    <t>UKYT-25-005</t>
  </si>
  <si>
    <t>UKYT-25-006</t>
  </si>
  <si>
    <t>UKYT-25-007</t>
  </si>
  <si>
    <t>UKYT-25-008</t>
  </si>
  <si>
    <t>UKYT-25-009</t>
  </si>
  <si>
    <t>UKYT-25-010</t>
  </si>
  <si>
    <t>UKYT-25-011</t>
  </si>
  <si>
    <t>UKYT-25-012</t>
  </si>
  <si>
    <t>UKYT-25-013</t>
  </si>
  <si>
    <t>UKYT-25-014</t>
  </si>
  <si>
    <t>UKYT-25-017</t>
  </si>
  <si>
    <t>UKYT-26-006</t>
  </si>
  <si>
    <t>UKYT-26-015</t>
  </si>
  <si>
    <t>UKYT-26-033</t>
  </si>
  <si>
    <t>UKYT-26-036</t>
  </si>
  <si>
    <t>Second</t>
  </si>
  <si>
    <t>UKYT-26-001</t>
  </si>
  <si>
    <t>UKYT-26-011</t>
  </si>
  <si>
    <t>UKYT-26-014</t>
  </si>
  <si>
    <t>Third</t>
  </si>
  <si>
    <t>UKYT-25-015</t>
  </si>
  <si>
    <t>UKYT-25-016</t>
  </si>
  <si>
    <t>UKYT-26-012</t>
  </si>
  <si>
    <t>UKYT-26-013</t>
  </si>
  <si>
    <t>UKYT-26-016</t>
  </si>
  <si>
    <t>UKYT-26-017</t>
  </si>
  <si>
    <t>UKYT-26-018</t>
  </si>
  <si>
    <t>UKYT-26-019</t>
  </si>
  <si>
    <t>UKYT-26-020</t>
  </si>
  <si>
    <t>UKYT-26-021</t>
  </si>
  <si>
    <t>UKYT-26-022</t>
  </si>
  <si>
    <t>UKYT-26-023</t>
  </si>
  <si>
    <t>UKYT-26-024</t>
  </si>
  <si>
    <t>UKYT-26-025</t>
  </si>
  <si>
    <t>UKYT-26-026</t>
  </si>
  <si>
    <t>UKYT-26-027</t>
  </si>
  <si>
    <t>UKYT-26-028</t>
  </si>
  <si>
    <t>UKYT-26-029</t>
  </si>
  <si>
    <t>UKYT-26-030</t>
  </si>
  <si>
    <t>UKYT-26-031</t>
  </si>
  <si>
    <t>UKYT-26-032</t>
  </si>
  <si>
    <t>UKYT-26-034</t>
  </si>
  <si>
    <t>UKYT-26-035</t>
  </si>
  <si>
    <t>UKYT-26-037</t>
  </si>
  <si>
    <t>UKYT-26-038</t>
  </si>
  <si>
    <t>UKYT-26-039</t>
  </si>
  <si>
    <t>Mountain Fresh</t>
  </si>
  <si>
    <t>BHN589</t>
  </si>
  <si>
    <t xml:space="preserve">Specific gravity </t>
  </si>
  <si>
    <t>Reading 1</t>
  </si>
  <si>
    <t>reading 2</t>
  </si>
  <si>
    <t>reading 3</t>
  </si>
  <si>
    <t>Average</t>
  </si>
  <si>
    <t>Brix</t>
  </si>
  <si>
    <t>25-001</t>
  </si>
  <si>
    <t>Hightunnel</t>
  </si>
  <si>
    <t>first</t>
  </si>
  <si>
    <t>25-002</t>
  </si>
  <si>
    <t>25-003</t>
  </si>
  <si>
    <t>25-004</t>
  </si>
  <si>
    <t>25-006</t>
  </si>
  <si>
    <t>25-007</t>
  </si>
  <si>
    <t>25-008</t>
  </si>
  <si>
    <t>25-009</t>
  </si>
  <si>
    <t>25-010</t>
  </si>
  <si>
    <t>25-011</t>
  </si>
  <si>
    <t>25-012</t>
  </si>
  <si>
    <t>25-013</t>
  </si>
  <si>
    <t>25-014</t>
  </si>
  <si>
    <t>25-015</t>
  </si>
  <si>
    <t>25-017</t>
  </si>
  <si>
    <t>26-006</t>
  </si>
  <si>
    <t>second</t>
  </si>
  <si>
    <t>25-005</t>
  </si>
  <si>
    <t>****</t>
  </si>
  <si>
    <t>26-001</t>
  </si>
  <si>
    <t>26-011</t>
  </si>
  <si>
    <t>26-014</t>
  </si>
  <si>
    <t>26-016</t>
  </si>
  <si>
    <t>26-017</t>
  </si>
  <si>
    <t>25-011 R1</t>
  </si>
  <si>
    <t>open field</t>
  </si>
  <si>
    <t>25-010 R1</t>
  </si>
  <si>
    <t>26-002 R1</t>
  </si>
  <si>
    <t>25-018 R1</t>
  </si>
  <si>
    <t>26-007 R1</t>
  </si>
  <si>
    <t>25-005 R1</t>
  </si>
  <si>
    <t>NC2555G-1</t>
  </si>
  <si>
    <t>NC25217G-1</t>
  </si>
  <si>
    <t>NS262G-1</t>
  </si>
  <si>
    <t>26-001 R1</t>
  </si>
  <si>
    <t>26-005 R1</t>
  </si>
  <si>
    <t>NC25240G-1</t>
  </si>
  <si>
    <t>NC25230G-1</t>
  </si>
  <si>
    <t>NC252125-1</t>
  </si>
  <si>
    <t>25-013 R1</t>
  </si>
  <si>
    <t>NC25241G-1</t>
  </si>
  <si>
    <t>Robinson</t>
  </si>
  <si>
    <t>25-035</t>
  </si>
  <si>
    <t>26-039</t>
  </si>
  <si>
    <t>26-036</t>
  </si>
  <si>
    <t>Cherokee Purple</t>
  </si>
  <si>
    <t>26-018</t>
  </si>
  <si>
    <t>25-016</t>
  </si>
  <si>
    <t>26-031</t>
  </si>
  <si>
    <t>Mt. Fresh Plus</t>
  </si>
  <si>
    <t>26-28</t>
  </si>
  <si>
    <t>26-032</t>
  </si>
  <si>
    <t>26-035</t>
  </si>
  <si>
    <t>26-038</t>
  </si>
  <si>
    <t>NC25231G</t>
  </si>
  <si>
    <t>Mt. Heritage</t>
  </si>
  <si>
    <t>Mt. Magic</t>
  </si>
  <si>
    <t>26-033</t>
  </si>
  <si>
    <t>26-015</t>
  </si>
  <si>
    <t>26-037</t>
  </si>
  <si>
    <t>261G</t>
  </si>
  <si>
    <t>NC25304G</t>
  </si>
  <si>
    <t>26-030</t>
  </si>
  <si>
    <t>NC25205G</t>
  </si>
  <si>
    <t>NG25210G</t>
  </si>
  <si>
    <t>NC25207G</t>
  </si>
  <si>
    <t>Mt. Girl</t>
  </si>
  <si>
    <t>NG25217G</t>
  </si>
  <si>
    <t>NC255G</t>
  </si>
  <si>
    <t>NC24271G</t>
  </si>
  <si>
    <t>252G</t>
  </si>
  <si>
    <t>25300G</t>
  </si>
  <si>
    <t>NC25209G</t>
  </si>
  <si>
    <t>25218G</t>
  </si>
  <si>
    <t>NG25208G</t>
  </si>
  <si>
    <t>NC25202G</t>
  </si>
  <si>
    <t>26-12</t>
  </si>
  <si>
    <t>264G</t>
  </si>
  <si>
    <t>Open Field</t>
  </si>
  <si>
    <t>NC25313G</t>
  </si>
  <si>
    <t>NC25241G</t>
  </si>
  <si>
    <t>NC25306G</t>
  </si>
  <si>
    <t>Mt. Gem</t>
  </si>
  <si>
    <t>NC25230G</t>
  </si>
  <si>
    <t>NC261G</t>
  </si>
  <si>
    <t>NC25212G</t>
  </si>
  <si>
    <t>NC25203G</t>
  </si>
  <si>
    <t>NC25317G</t>
  </si>
  <si>
    <t>NC252G</t>
  </si>
  <si>
    <t>NC237060G</t>
  </si>
  <si>
    <t>NC25208G</t>
  </si>
  <si>
    <t>NC25311G</t>
  </si>
  <si>
    <t>NC25211G</t>
  </si>
  <si>
    <t>NC263G</t>
  </si>
  <si>
    <t>NC25240G</t>
  </si>
  <si>
    <t>NC25217G</t>
  </si>
  <si>
    <t>NC25218G</t>
  </si>
  <si>
    <t>NC23706G</t>
  </si>
  <si>
    <t>NC23926G</t>
  </si>
  <si>
    <t>26-007</t>
  </si>
  <si>
    <t>264 G</t>
  </si>
  <si>
    <t>26-034</t>
  </si>
  <si>
    <t>NC 25203G</t>
  </si>
  <si>
    <t>NC25306</t>
  </si>
  <si>
    <t>26-022</t>
  </si>
  <si>
    <t>Maglia R Cherry</t>
  </si>
  <si>
    <t>25-001 R3</t>
  </si>
  <si>
    <t>25241 G</t>
  </si>
  <si>
    <t>NC 25317</t>
  </si>
  <si>
    <t xml:space="preserve">26-021 </t>
  </si>
  <si>
    <t>25230 G</t>
  </si>
  <si>
    <t>26-028</t>
  </si>
  <si>
    <t>NC 25209 G</t>
  </si>
  <si>
    <t>26-03</t>
  </si>
  <si>
    <t>PEACE VINE</t>
  </si>
  <si>
    <t>NC 24271 G</t>
  </si>
  <si>
    <t>Mt. Fresh</t>
  </si>
  <si>
    <t>26-008</t>
  </si>
  <si>
    <t>Peachvine Ch.</t>
  </si>
  <si>
    <t>26-013</t>
  </si>
  <si>
    <t>Maglia Rosa Ch</t>
  </si>
  <si>
    <t>26-024</t>
  </si>
  <si>
    <t>26-026</t>
  </si>
  <si>
    <t>26-019</t>
  </si>
  <si>
    <t>26-036 R2</t>
  </si>
  <si>
    <t>26-029</t>
  </si>
  <si>
    <t>26-023</t>
  </si>
  <si>
    <t>25-03</t>
  </si>
  <si>
    <t>26-043</t>
  </si>
  <si>
    <t>26-013.</t>
  </si>
  <si>
    <t>26-009</t>
  </si>
  <si>
    <t>Date</t>
  </si>
  <si>
    <t>User</t>
  </si>
  <si>
    <t>Sample</t>
  </si>
  <si>
    <t>A750</t>
  </si>
  <si>
    <t>A663</t>
  </si>
  <si>
    <t>A645</t>
  </si>
  <si>
    <t>A505</t>
  </si>
  <si>
    <t>A453</t>
  </si>
  <si>
    <t>A'663</t>
  </si>
  <si>
    <t>A'645</t>
  </si>
  <si>
    <t>A'505</t>
  </si>
  <si>
    <t>A'453</t>
  </si>
  <si>
    <t>Lycopene(mg/100ml)</t>
  </si>
  <si>
    <t>Beta-carotene(mg/100ml)</t>
  </si>
  <si>
    <t>Exact sample mass (g)</t>
  </si>
  <si>
    <t>Lycopene(mg/100g fw)</t>
  </si>
  <si>
    <t>Beta-carotene(mg/100g fw)</t>
  </si>
  <si>
    <t>Notes:</t>
  </si>
  <si>
    <t>BA</t>
  </si>
  <si>
    <t>Highest lycopene</t>
  </si>
  <si>
    <t>Highest beta-carotene recorded. The negative lycopene levels indicate that the lycopene level is below the limit of detection, and an interference occurred at this specific spectrophotometer wavelength. Will redo these samples to see if its reocurring or not.</t>
  </si>
  <si>
    <t>Vol NaOH (mL)</t>
  </si>
  <si>
    <t>Exact mass (g)</t>
  </si>
  <si>
    <t>TA (% citric acid, g/100 g)</t>
  </si>
  <si>
    <t>CP</t>
  </si>
  <si>
    <t>A530</t>
  </si>
  <si>
    <t>A657</t>
  </si>
  <si>
    <t>Total Anthocyanin</t>
  </si>
  <si>
    <t xml:space="preserve">        A630</t>
  </si>
  <si>
    <t>Gaba (mg/g)</t>
  </si>
  <si>
    <t>NOTES:</t>
  </si>
  <si>
    <t>15-Jul Standard Curve Equation</t>
  </si>
  <si>
    <t>7.79E-03*x + -0.0265</t>
  </si>
  <si>
    <t>AR</t>
  </si>
  <si>
    <t>20-Jul Standard Curve Equation</t>
  </si>
  <si>
    <t>The gaba stocks i used were 50ug, 150 ug, and 250ug, since i made 500ug aliquots, this is a good range and it leaves a bit left incase of pipetting errors or spills. 250ug is also able to be read unlike the 500 and 600 we were running before, so for the upcoming gaba extractions, I will likely keep the standards in that threshold: 50, 150, 250.</t>
  </si>
  <si>
    <t>5.19E-03*x + -0.0159</t>
  </si>
  <si>
    <t>21-Jul Standard Curve Equation</t>
  </si>
  <si>
    <t>Difficulties with the standards as well as the samples. After leaving them for an hour, the samples turned yellow instead of blue.</t>
  </si>
  <si>
    <t>22 - Jul Standard Curve Equation</t>
  </si>
  <si>
    <t>Better values today. Samples were left overnight in a Styrofoam box with ice. Absorbance values are high, but GABA values are lower than usual.</t>
  </si>
  <si>
    <t>3.5E-03*x + 0.0325</t>
  </si>
  <si>
    <t>27 - Jul Standard Curve Equation</t>
  </si>
  <si>
    <t>Everything went well today. If the slope consistently floats around 5.00E-03, we should be able to make a universal equation soon. If it doesnt then we would likely need more runs until it stabilizes consistently at a acceptable slope.</t>
  </si>
  <si>
    <t>4.87E-03*x + -0.0482</t>
  </si>
  <si>
    <t>HT3 26-001 Rep 1</t>
  </si>
  <si>
    <t>HT3 26-001 Rep 2</t>
  </si>
  <si>
    <t>HT3 26-001 Rep 3</t>
  </si>
  <si>
    <t>HT3 26-001 Rep 4</t>
  </si>
  <si>
    <t>HT3 25-002 Rep 1</t>
  </si>
  <si>
    <t>HT3 25-002 Rep 2</t>
  </si>
  <si>
    <t>HT3 25-002 Rep 3</t>
  </si>
  <si>
    <t>HT3 25-002 Rep 4</t>
  </si>
  <si>
    <t>HT3 M. Fresh Rep 1</t>
  </si>
  <si>
    <t>HT3 M. Fresh Rep 2</t>
  </si>
  <si>
    <t>HT3 M. Fresh Rep 3</t>
  </si>
  <si>
    <t>HT3 M. Fresh Rep 4</t>
  </si>
  <si>
    <t>HT3 25-004 Rep 1</t>
  </si>
  <si>
    <t>HT3 25-004 Rep 2</t>
  </si>
  <si>
    <t>HT3 25-004 Rep 3</t>
  </si>
  <si>
    <t>HT3 25-004 Rep 4</t>
  </si>
  <si>
    <t>HT3 25-005 Rep 1</t>
  </si>
  <si>
    <t>HT3 25-005 Rep 2</t>
  </si>
  <si>
    <t>HT3 25-005 Rep 3</t>
  </si>
  <si>
    <t>HT3 25-005 Rep 4</t>
  </si>
  <si>
    <t>HT3 26-006 Rep 1</t>
  </si>
  <si>
    <t>HT3 26-006 Rep 2</t>
  </si>
  <si>
    <t>HT3 26-006 Rep 3</t>
  </si>
  <si>
    <t>HT3 26-006 Rep 4</t>
  </si>
  <si>
    <t>HT3 25-007 Rep 1</t>
  </si>
  <si>
    <t>HT3 25-007 Rep 2</t>
  </si>
  <si>
    <t>HT3 25-007 Rep 3</t>
  </si>
  <si>
    <t>HT3 25-007 Rep 4</t>
  </si>
  <si>
    <t>HT3 25-008 Rep 1</t>
  </si>
  <si>
    <t>HT3 25-008 Rep 2</t>
  </si>
  <si>
    <t>HT3 25-008 Rep 3</t>
  </si>
  <si>
    <t>HT3 25-008 Rep 4</t>
  </si>
  <si>
    <t>HT3 25-009 Rep 1</t>
  </si>
  <si>
    <t>HT3 25-009 Rep 2</t>
  </si>
  <si>
    <t>HT3 25-009 Rep 3</t>
  </si>
  <si>
    <t>HT3 25-009 Rep 4</t>
  </si>
  <si>
    <t>HT3 25-010 Rep 1</t>
  </si>
  <si>
    <t>HT3 25-010 Rep 2</t>
  </si>
  <si>
    <t>HT3 25-010 Rep 3</t>
  </si>
  <si>
    <t>HT3 25-010 Rep 4</t>
  </si>
  <si>
    <t>HT3 25-011 Rep 1</t>
  </si>
  <si>
    <t>HT3 25-011 Rep 2</t>
  </si>
  <si>
    <t>HT3 25-011 Rep 3</t>
  </si>
  <si>
    <t>HT3 25-011 Rep 4</t>
  </si>
  <si>
    <t>HT3 25-012 Rep 1</t>
  </si>
  <si>
    <t>HT3 25-012 Rep 2</t>
  </si>
  <si>
    <t>HT3 25-012 Rep 3</t>
  </si>
  <si>
    <t>HT3 25-012 Rep 4</t>
  </si>
  <si>
    <t>HT3 25-013 Rep 1</t>
  </si>
  <si>
    <t>HT3 25-013 Rep 2</t>
  </si>
  <si>
    <t>HT3 25-013 Rep 3</t>
  </si>
  <si>
    <t>HT3 25-013 Rep 4</t>
  </si>
  <si>
    <t>HT3 25-014 Rep 1</t>
  </si>
  <si>
    <t>HT3 25-014 Rep 2</t>
  </si>
  <si>
    <t>HT3 25-014 Rep 3</t>
  </si>
  <si>
    <t>HT3 25-014 Rep 4</t>
  </si>
  <si>
    <t>HT3 25-016  Rep 1</t>
  </si>
  <si>
    <t>HT3 25-016  Rep 2</t>
  </si>
  <si>
    <t>HT3 25-016  Rep 3</t>
  </si>
  <si>
    <t>HT3 25-016  Rep 4</t>
  </si>
  <si>
    <t>HT3 25-017 Rep 1</t>
  </si>
  <si>
    <t>HT3 25-017 Rep 2</t>
  </si>
  <si>
    <t>HT3 25-017 Rep 3</t>
  </si>
  <si>
    <t>HT3 25-017 Rep 4</t>
  </si>
  <si>
    <t>HT3 25-018 Rep 1</t>
  </si>
  <si>
    <t>HT3 25-018 Rep 2</t>
  </si>
  <si>
    <t>HT3 25-018 Rep 3</t>
  </si>
  <si>
    <t>HT3 25-018 Rep 4</t>
  </si>
  <si>
    <t>H2 25-002 Rep 1</t>
  </si>
  <si>
    <t>H2 25-002 Rep 2</t>
  </si>
  <si>
    <t>H2 25-002 Rep 3</t>
  </si>
  <si>
    <t>H2 25-002 Rep 4</t>
  </si>
  <si>
    <t>H2 25-004 Rep 1</t>
  </si>
  <si>
    <t>H2 25-004 Rep 2</t>
  </si>
  <si>
    <t>H2 25-004 Rep 3</t>
  </si>
  <si>
    <t>H2 25-004 Rep 4</t>
  </si>
  <si>
    <t>H2 25-007 Rep 1</t>
  </si>
  <si>
    <t>H2 25-007 Rep 2</t>
  </si>
  <si>
    <t>H2 25-007 Rep 3</t>
  </si>
  <si>
    <t>H2 25-007 Rep 4</t>
  </si>
  <si>
    <t>H2 25-010 Rep 1</t>
  </si>
  <si>
    <t>H2 25-010 Rep 2</t>
  </si>
  <si>
    <t>H2 25-010 Rep 3</t>
  </si>
  <si>
    <t>H2 25-010 Rep 4</t>
  </si>
  <si>
    <t>H2 25-013 Rep 1</t>
  </si>
  <si>
    <t>July 28 - Standard Curve</t>
  </si>
  <si>
    <t>Very surprised at how well everything went for the first time running this. Originally thought it would be a trial run and that the data would be discarded but all the data came out pretty much exactly the way i wanted it, no reason to discard data when everything came so perfectly. No real hiccups other than the time it took. Without a doubt worth the time if we have such a way to streamline our data collection process.</t>
  </si>
  <si>
    <t>H2 25-013 Rep 2</t>
  </si>
  <si>
    <t>y = 0.001769x - 0.02506</t>
  </si>
  <si>
    <t>Only thing I was considering changing is the range of gaba. Ran concentrations of 25, 75, 200, 600. Either we need to put something between 200 and 600 or lower 600 to around 500 and change 200 to 250.</t>
  </si>
  <si>
    <t>H2 25-013 Rep 3</t>
  </si>
  <si>
    <t>r = 0.987782</t>
  </si>
  <si>
    <t>H2 25-013 Rep 4</t>
  </si>
  <si>
    <t>r^2 = 0.975714</t>
  </si>
  <si>
    <t>HT3  26-019 Rep 1</t>
  </si>
  <si>
    <t>HT3  26-019 Rep 2</t>
  </si>
  <si>
    <t>HT3  26-019 Rep 3</t>
  </si>
  <si>
    <t>HT3  26-019 Rep 4</t>
  </si>
  <si>
    <t>HT3  26-019 Rep 5</t>
  </si>
  <si>
    <t>HT3 26-020 Rep 1</t>
  </si>
  <si>
    <t>HT3 26-020 Rep 2</t>
  </si>
  <si>
    <t>HT3 26-020 Rep 3</t>
  </si>
  <si>
    <t>HT3 26-020 Rep 4</t>
  </si>
  <si>
    <t>HT3 26-021 Rep 1</t>
  </si>
  <si>
    <t>HT3 26-021 Rep 2</t>
  </si>
  <si>
    <t>HT3 26-021 Rep 3</t>
  </si>
  <si>
    <t>HT3 26-021 Rep 4</t>
  </si>
  <si>
    <t>HT3 26-021 Rep 5</t>
  </si>
  <si>
    <t>HT3 26-022 Rep 1</t>
  </si>
  <si>
    <t>HT3 26-022 Rep 2</t>
  </si>
  <si>
    <t>HT3 26-022 Rep 3</t>
  </si>
  <si>
    <t>HT3 26-022 Rep 4</t>
  </si>
  <si>
    <t>HT3 26-023 Rep 1</t>
  </si>
  <si>
    <t>HT3 26-023 Rep 2</t>
  </si>
  <si>
    <t>HT3 26-023 Rep 3</t>
  </si>
  <si>
    <t>HT3 26-023 Rep 4</t>
  </si>
  <si>
    <t>HT3 26-023 Rep 5</t>
  </si>
  <si>
    <t>HT3 26-024 Rep 1</t>
  </si>
  <si>
    <t>HT3 26-024 Rep 2</t>
  </si>
  <si>
    <t>HT3 26-024 Rep 3</t>
  </si>
  <si>
    <t>HT3 26-024 Rep 4</t>
  </si>
  <si>
    <t>HT3 26-026 Rep 1</t>
  </si>
  <si>
    <t>HT3 26-026 Rep 2</t>
  </si>
  <si>
    <t>HT3 26-026 Rep 3</t>
  </si>
  <si>
    <t>HT3 26-026 Rep 4</t>
  </si>
  <si>
    <t>HT3 26-026 Rep 5</t>
  </si>
  <si>
    <t>HT3 26-028 Rep 1</t>
  </si>
  <si>
    <t>HT3 26-028 Rep 2</t>
  </si>
  <si>
    <t>HT3 26-028 Rep 3</t>
  </si>
  <si>
    <t>HT3 26-028 Rep 4</t>
  </si>
  <si>
    <t>HT3 26-029 Rep 1</t>
  </si>
  <si>
    <t>HT3 26-029 Rep 2</t>
  </si>
  <si>
    <t>HT3 26-029 Rep 3</t>
  </si>
  <si>
    <t>HT3 26-029 Rep 4</t>
  </si>
  <si>
    <t>HT3 26-029 Rep 5</t>
  </si>
  <si>
    <t>HT3 26-030 Rep 1</t>
  </si>
  <si>
    <t>HT3 26-030 Rep 2</t>
  </si>
  <si>
    <t>HT3 26-030 Rep 3</t>
  </si>
  <si>
    <t>HT3 26-030 Rep 4</t>
  </si>
  <si>
    <t>HT3 26-031 Rep 1</t>
  </si>
  <si>
    <t>HT3 26-031 Rep 2</t>
  </si>
  <si>
    <t>HT3 26-031 Rep 3</t>
  </si>
  <si>
    <t>HT3 26-031 Rep 4</t>
  </si>
  <si>
    <t>HT3 26-031 Rep 5</t>
  </si>
  <si>
    <t>HT3 26-032 Rep 1</t>
  </si>
  <si>
    <t>HT3 26-032 Rep 2</t>
  </si>
  <si>
    <t>HT3 26-032 Rep 3</t>
  </si>
  <si>
    <t>HT3 26-032 Rep 4</t>
  </si>
  <si>
    <t>HT3 26-033 Rep 1</t>
  </si>
  <si>
    <t>HT3 26-033 Rep 2</t>
  </si>
  <si>
    <t>HT3 26-033 Rep 3</t>
  </si>
  <si>
    <t>HT3 26-033 Rep 4</t>
  </si>
  <si>
    <t>HT3 26-033 Rep 5</t>
  </si>
  <si>
    <t>HT3 26-034 Rep 1</t>
  </si>
  <si>
    <t>HT3 26-034 Rep 2</t>
  </si>
  <si>
    <t>HT3 26-034 Rep 3</t>
  </si>
  <si>
    <t>HT3 26-034 Rep 4</t>
  </si>
  <si>
    <t>HT3 26-035 Rep 1</t>
  </si>
  <si>
    <t>HT3 26-035 Rep 2</t>
  </si>
  <si>
    <t>HT3 26-035 Rep 3</t>
  </si>
  <si>
    <t>HT3 26-035 Rep 4</t>
  </si>
  <si>
    <t>HT3 26-035 Rep 5</t>
  </si>
  <si>
    <t>HT3 26-036 Rep 1</t>
  </si>
  <si>
    <t>July 30 Standard Curve</t>
  </si>
  <si>
    <t>30-July - Everything went good, accidentally pipetted a double dosage of bleach into row 7 and 8, they have been voided from the data collection.</t>
  </si>
  <si>
    <t>HT3 26-036 Rep 2</t>
  </si>
  <si>
    <t>7 = .001784x - .03492</t>
  </si>
  <si>
    <t>HT3 26-036 Rep 3</t>
  </si>
  <si>
    <t>r = .997478</t>
  </si>
  <si>
    <t>HT3 26-036 Rep 4</t>
  </si>
  <si>
    <t>r^2 = 0.994962</t>
  </si>
  <si>
    <t>A765</t>
  </si>
  <si>
    <t>Polyphenolic Content (mg/g)</t>
  </si>
  <si>
    <t>21-July - AR: Ran Polyphenol, the only thing that was missed was the fact that i assumed that since our samples are already blended I wouldn't have to use mortar and pestle, turns out that doesn't really break down the cell walls which stops the methanol from absorbing from the tissue. The only other problem could be that since it is frozen a while ago, the polyphenols have already degraded too low for it to be detectable which is why it didn't work out. But that doesn't sit right with me because i have used frozen tomatoes for this protocol before and it has worked. The only thing I can assume is that if it is already blended and then frozen, the polyphenolic content goes down to the point its not detectable, the only reason It was detectable for my previous run of frozen tomatoes was because they weren't blended, they were whole. Will test again tomorrow using the mortar and pestle to see if it yields a result, if not, we know that using frozen-blended tomatoes for the polyphenol extraction isn't possible.</t>
  </si>
  <si>
    <t>22-July - AR: forgot to input. Ran again. Theory was true, its because the polyphenolic content has already degraded since the cell walls have already been broken. when i used the mortar and pestle i thought it would be working like normal but no it didn't so that leaves hte only option being that the polyphenol content has already declined too far for it to be detectable. This explains why when it was frozen whole, it worked and was detectable, but since its frozen after being blended and cell walls have already broken it didnt run the way we wanted it to.</t>
  </si>
  <si>
    <t xml:space="preserve">If we DO want to run polyphenol, there are two options, we have to run it directly after its harvested, or we have to freeze it without blending it. </t>
  </si>
  <si>
    <t xml:space="preserve">WEIGHT(20 SAMPLES M) </t>
  </si>
  <si>
    <t>WEIGHT(20 SAMPLES UM)</t>
  </si>
  <si>
    <t>NC25311G-1</t>
  </si>
  <si>
    <t>Mountain girl -1</t>
  </si>
  <si>
    <t>NC25209-2</t>
  </si>
  <si>
    <t>Mountain heritage -1</t>
  </si>
  <si>
    <t>NC25315G-1</t>
  </si>
  <si>
    <t>NC264G-1</t>
  </si>
  <si>
    <t>NC25218-1</t>
  </si>
  <si>
    <t>NC25202-2</t>
  </si>
  <si>
    <t>NC20203-2</t>
  </si>
  <si>
    <t>NC25205-2</t>
  </si>
  <si>
    <t>NC25317</t>
  </si>
  <si>
    <t>NC25207G-2</t>
  </si>
  <si>
    <t>NC25313-1</t>
  </si>
  <si>
    <t>NC25240G-2</t>
  </si>
  <si>
    <t>NC25304-1</t>
  </si>
  <si>
    <t>NC25231G-2</t>
  </si>
  <si>
    <t>NC25306G-1</t>
  </si>
  <si>
    <t>NC25208G-2</t>
  </si>
  <si>
    <t>MountainGem-1</t>
  </si>
  <si>
    <t>Mountain magic -1</t>
  </si>
  <si>
    <t>NC25203-1</t>
  </si>
  <si>
    <t>NC262G-2</t>
  </si>
  <si>
    <t>NC25212G-1</t>
  </si>
  <si>
    <t>NC263G-1</t>
  </si>
  <si>
    <t>NC262G-1</t>
  </si>
  <si>
    <t>NC261G-1</t>
  </si>
  <si>
    <t>NC23926G-1</t>
  </si>
  <si>
    <t>NC255G-1</t>
  </si>
  <si>
    <t>NC25205G-1`</t>
  </si>
  <si>
    <t>NC25202G-1</t>
  </si>
  <si>
    <t>NC25210G-1</t>
  </si>
  <si>
    <t>NC25212G-2</t>
  </si>
  <si>
    <t>NC25217G-2</t>
  </si>
  <si>
    <t>NC25241G-2</t>
  </si>
  <si>
    <t>NC24271G-2</t>
  </si>
  <si>
    <t>NC252G-2</t>
  </si>
  <si>
    <t>NC255G-2</t>
  </si>
  <si>
    <t>NC25311G-2</t>
  </si>
  <si>
    <t>NC25306G-2</t>
  </si>
  <si>
    <t>NC25304G-2</t>
  </si>
  <si>
    <t>NC263G-2</t>
  </si>
  <si>
    <t xml:space="preserve"> </t>
  </si>
  <si>
    <t>NC23706G-2</t>
  </si>
  <si>
    <t>NC252G-1</t>
  </si>
  <si>
    <t>NC23706G-1</t>
  </si>
  <si>
    <t>NC261G-2</t>
  </si>
  <si>
    <t>25-003R1</t>
  </si>
  <si>
    <t>25-001 R1</t>
  </si>
  <si>
    <t>25-002R1</t>
  </si>
  <si>
    <t>25-006R1</t>
  </si>
  <si>
    <t>25-004R1</t>
  </si>
  <si>
    <t>Mountain Gem-2</t>
  </si>
  <si>
    <t>NC25209G-1</t>
  </si>
  <si>
    <t>Mountain heritage -2</t>
  </si>
  <si>
    <t>Mountain girl -2</t>
  </si>
  <si>
    <t xml:space="preserve">MOUNTAIN fRESH PLUS F2 </t>
  </si>
  <si>
    <t>MOUNTAIN FRESH PLUSF3</t>
  </si>
  <si>
    <t>NC25315G-2</t>
  </si>
  <si>
    <t xml:space="preserve">26-038 R2 </t>
  </si>
  <si>
    <t xml:space="preserve">26-039 R2 </t>
  </si>
  <si>
    <t>NC25313G-2</t>
  </si>
  <si>
    <t>26-009 R1</t>
  </si>
  <si>
    <t>NC25317G-2</t>
  </si>
  <si>
    <t>26-035 R3</t>
  </si>
  <si>
    <t>26-008 R1</t>
  </si>
  <si>
    <t>26-037 R2</t>
  </si>
  <si>
    <t>26-034 R3</t>
  </si>
  <si>
    <t>Cherokee Purple R2</t>
  </si>
  <si>
    <t>26-036 R3</t>
  </si>
  <si>
    <t>Cherokee Purple R3</t>
  </si>
  <si>
    <t>Mountain Magic -2</t>
  </si>
  <si>
    <t>Peacevine Cherry R2</t>
  </si>
  <si>
    <t>26-25 R3</t>
  </si>
  <si>
    <t>26-26R3</t>
  </si>
  <si>
    <t>26-27 R3</t>
  </si>
  <si>
    <t>26-28 R3</t>
  </si>
  <si>
    <t>26-29 R3</t>
  </si>
  <si>
    <t xml:space="preserve">26-30 R3 </t>
  </si>
  <si>
    <t xml:space="preserve">26-12 R1 </t>
  </si>
  <si>
    <t>26-29 R2</t>
  </si>
  <si>
    <t>26-31 R2</t>
  </si>
  <si>
    <t xml:space="preserve">26-33 R2 </t>
  </si>
  <si>
    <t>26-42 R2</t>
  </si>
  <si>
    <t>26-34 R2</t>
  </si>
  <si>
    <t>26-32 R2</t>
  </si>
  <si>
    <t xml:space="preserve">26-30 R2 </t>
  </si>
  <si>
    <t>26-31 R3</t>
  </si>
  <si>
    <t xml:space="preserve">26-032 R3 </t>
  </si>
  <si>
    <t xml:space="preserve">26-33 R3 </t>
  </si>
  <si>
    <t xml:space="preserve">25-16 R1 </t>
  </si>
  <si>
    <t xml:space="preserve">26-28 R2 </t>
  </si>
  <si>
    <t xml:space="preserve">26-27 R2 </t>
  </si>
  <si>
    <t xml:space="preserve">26-10 R1 </t>
  </si>
  <si>
    <t xml:space="preserve">26-11 R1 </t>
  </si>
  <si>
    <t>25-15 R1</t>
  </si>
  <si>
    <t xml:space="preserve">25-14 R1 </t>
  </si>
  <si>
    <t>26-13 R3</t>
  </si>
  <si>
    <t xml:space="preserve">26-19 R2 </t>
  </si>
  <si>
    <t>26-26-R2</t>
  </si>
  <si>
    <t>26-21 R3</t>
  </si>
  <si>
    <t>26-22  R3</t>
  </si>
  <si>
    <t>26-14 R1</t>
  </si>
  <si>
    <t>26-24 R2</t>
  </si>
  <si>
    <t xml:space="preserve">26-13 R1 </t>
  </si>
  <si>
    <t>26-23 R3</t>
  </si>
  <si>
    <t xml:space="preserve">26-24 R3 </t>
  </si>
  <si>
    <t>26-23 R2</t>
  </si>
  <si>
    <t xml:space="preserve">26-20 R2 </t>
  </si>
  <si>
    <t xml:space="preserve">26-21 R1 </t>
  </si>
  <si>
    <t>26-25</t>
  </si>
  <si>
    <t xml:space="preserve">26-20 R3 </t>
  </si>
  <si>
    <t xml:space="preserve">25-12 R2 </t>
  </si>
  <si>
    <t xml:space="preserve">25-11 R2 </t>
  </si>
  <si>
    <t xml:space="preserve">25-10 R2 </t>
  </si>
  <si>
    <t>25-18</t>
  </si>
  <si>
    <t>26-18 R2</t>
  </si>
  <si>
    <t>26-28 R1</t>
  </si>
  <si>
    <t>26-27</t>
  </si>
  <si>
    <t>26-23 R1</t>
  </si>
  <si>
    <t xml:space="preserve">26-15 R2 </t>
  </si>
  <si>
    <t xml:space="preserve">26-34 R1 </t>
  </si>
  <si>
    <t>267-5 R3</t>
  </si>
  <si>
    <t>26-3 R3</t>
  </si>
  <si>
    <t>26-20 R1</t>
  </si>
  <si>
    <t>26-1 R2</t>
  </si>
  <si>
    <t>26-8 R2</t>
  </si>
  <si>
    <t>26-26 R1</t>
  </si>
  <si>
    <t>26-3 R2</t>
  </si>
  <si>
    <t>26-6 R3</t>
  </si>
  <si>
    <t>26-7 R2</t>
  </si>
  <si>
    <t>26-6 R2</t>
  </si>
  <si>
    <t xml:space="preserve">25-5 R2 </t>
  </si>
  <si>
    <t>25-3 R2</t>
  </si>
  <si>
    <t xml:space="preserve">25-6 R2 </t>
  </si>
  <si>
    <t xml:space="preserve">25-4 R2 </t>
  </si>
  <si>
    <t xml:space="preserve">25-1 R2 </t>
  </si>
  <si>
    <t xml:space="preserve">25-2 R2 </t>
  </si>
  <si>
    <t xml:space="preserve">25-1 R3 </t>
  </si>
  <si>
    <t>25-2 R3</t>
  </si>
  <si>
    <t xml:space="preserve">25-15 R3 </t>
  </si>
  <si>
    <t>25-13 R3</t>
  </si>
  <si>
    <t xml:space="preserve">25-14 R3 </t>
  </si>
  <si>
    <t xml:space="preserve">25-7 R2 </t>
  </si>
  <si>
    <t>25-12 R3</t>
  </si>
  <si>
    <t>25-9 R3</t>
  </si>
  <si>
    <t>TOTAL WEIGHT</t>
  </si>
  <si>
    <t>25-3</t>
  </si>
  <si>
    <t>25-5</t>
  </si>
  <si>
    <t>25-1</t>
  </si>
  <si>
    <t>25-16</t>
  </si>
  <si>
    <t>25-15</t>
  </si>
  <si>
    <t>25-10</t>
  </si>
  <si>
    <t>25-13</t>
  </si>
  <si>
    <t>25-17</t>
  </si>
  <si>
    <t>25-14</t>
  </si>
  <si>
    <t>25-8</t>
  </si>
  <si>
    <t>25-2</t>
  </si>
  <si>
    <t>25-11</t>
  </si>
  <si>
    <t>25-12</t>
  </si>
  <si>
    <t>25-7</t>
  </si>
  <si>
    <t>25-6</t>
  </si>
  <si>
    <t>25-4</t>
  </si>
  <si>
    <t>25-9</t>
  </si>
  <si>
    <t>26-18</t>
  </si>
  <si>
    <t>Mountain fresh plus</t>
  </si>
  <si>
    <t>26-35</t>
  </si>
  <si>
    <t>26-38</t>
  </si>
  <si>
    <t>26-14</t>
  </si>
  <si>
    <t>26-39</t>
  </si>
  <si>
    <t>26-31</t>
  </si>
  <si>
    <t xml:space="preserve">cherokee purple </t>
  </si>
  <si>
    <t>26-36</t>
  </si>
  <si>
    <t>NC 25241 G</t>
  </si>
  <si>
    <t>26-17</t>
  </si>
  <si>
    <t>25-01</t>
  </si>
  <si>
    <t xml:space="preserve">NC25241G </t>
  </si>
  <si>
    <t>26-37</t>
  </si>
  <si>
    <t>NC25231</t>
  </si>
  <si>
    <t>26-22</t>
  </si>
  <si>
    <t>26-20</t>
  </si>
  <si>
    <t>26-30</t>
  </si>
  <si>
    <t>26-23</t>
  </si>
  <si>
    <t>26-33</t>
  </si>
  <si>
    <t>26-34</t>
  </si>
  <si>
    <t>26-13</t>
  </si>
  <si>
    <t>26-29</t>
  </si>
  <si>
    <t>26-15</t>
  </si>
  <si>
    <t>26-32</t>
  </si>
  <si>
    <t>26-19</t>
  </si>
  <si>
    <t>26-26</t>
  </si>
  <si>
    <t>26-16</t>
  </si>
  <si>
    <t>26-24</t>
  </si>
  <si>
    <t>26-11</t>
  </si>
  <si>
    <t>NC25212</t>
  </si>
  <si>
    <t>NC25202</t>
  </si>
  <si>
    <t>NC25207</t>
  </si>
  <si>
    <t>NC25217</t>
  </si>
  <si>
    <t xml:space="preserve">NC25210G </t>
  </si>
  <si>
    <t>NC25208</t>
  </si>
  <si>
    <t>NC25203</t>
  </si>
  <si>
    <t>MT GIRL</t>
  </si>
  <si>
    <t>255G</t>
  </si>
  <si>
    <t xml:space="preserve">MOUNTAIN HERITAGE </t>
  </si>
  <si>
    <t>MOUNTAIN GEM</t>
  </si>
  <si>
    <t>25306G</t>
  </si>
  <si>
    <t>263G</t>
  </si>
  <si>
    <t>262G</t>
  </si>
  <si>
    <t>25315G</t>
  </si>
  <si>
    <t xml:space="preserve">25313G </t>
  </si>
  <si>
    <t xml:space="preserve">MT MAGIC </t>
  </si>
  <si>
    <t>UNMARKETABLE(COUNT)</t>
  </si>
  <si>
    <t>TOTAL WEIGHT (Gram)</t>
  </si>
  <si>
    <t>Total Weight (KG)</t>
  </si>
  <si>
    <t>Note</t>
  </si>
  <si>
    <t>MT.HERITAGE</t>
  </si>
  <si>
    <t>25304G</t>
  </si>
  <si>
    <t>MT.GEM</t>
  </si>
  <si>
    <t>25217G</t>
  </si>
  <si>
    <t>25231G</t>
  </si>
  <si>
    <t>23706G</t>
  </si>
  <si>
    <t>NC 263G</t>
  </si>
  <si>
    <t>NC25205</t>
  </si>
  <si>
    <t>257G</t>
  </si>
  <si>
    <t>MIX</t>
  </si>
  <si>
    <t>NC262G</t>
  </si>
  <si>
    <t>25210G</t>
  </si>
  <si>
    <t>25317G</t>
  </si>
  <si>
    <t>23926G</t>
  </si>
  <si>
    <t>Cherokee purple</t>
  </si>
  <si>
    <t>NC237060</t>
  </si>
  <si>
    <t>25240G</t>
  </si>
  <si>
    <t xml:space="preserve">25231 G </t>
  </si>
  <si>
    <t>25311G</t>
  </si>
  <si>
    <t>25209G</t>
  </si>
  <si>
    <t>25207G</t>
  </si>
  <si>
    <t>25208G</t>
  </si>
  <si>
    <t>Unmarketables (count)</t>
  </si>
  <si>
    <t>Weight of 20 counts</t>
  </si>
  <si>
    <t>SouthFarm</t>
  </si>
  <si>
    <t>NC264G</t>
  </si>
  <si>
    <t>Mountain magic</t>
  </si>
  <si>
    <t>20 counts</t>
  </si>
  <si>
    <t>Mountain Girl</t>
  </si>
  <si>
    <t>NC25315G</t>
  </si>
  <si>
    <t>NC25210G</t>
  </si>
  <si>
    <t>mix</t>
  </si>
  <si>
    <t>N25217G</t>
  </si>
  <si>
    <t>Mountain Heritage</t>
  </si>
  <si>
    <t>UKY-26-001</t>
  </si>
  <si>
    <t>South Farm</t>
  </si>
  <si>
    <t>Second harvest</t>
  </si>
  <si>
    <t>UKY-25-008</t>
  </si>
  <si>
    <t>UKY-26-011</t>
  </si>
  <si>
    <t xml:space="preserve">Only one tomato harvest </t>
  </si>
  <si>
    <t>UKY-26-012</t>
  </si>
  <si>
    <t>Five counts</t>
  </si>
  <si>
    <t>UKY-26-009</t>
  </si>
  <si>
    <t>UKY-25-004</t>
  </si>
  <si>
    <t>UKY-25-013</t>
  </si>
  <si>
    <t>UKY-25-007</t>
  </si>
  <si>
    <t>UKY-25-006</t>
  </si>
  <si>
    <t>UKY-26-002</t>
  </si>
  <si>
    <t>UKY-25-014</t>
  </si>
  <si>
    <t>UKY-25-001</t>
  </si>
  <si>
    <t>UKY-25-002</t>
  </si>
  <si>
    <t>UKY-26-010</t>
  </si>
  <si>
    <t>UKY-25-003</t>
  </si>
  <si>
    <t>UKY-26-003</t>
  </si>
  <si>
    <t>UKY-26-008</t>
  </si>
  <si>
    <t>Magnolia Rosa Cherry</t>
  </si>
  <si>
    <t>UKY-26-021</t>
  </si>
  <si>
    <t xml:space="preserve">Two counts </t>
  </si>
  <si>
    <t>UKY-26-023</t>
  </si>
  <si>
    <t xml:space="preserve">Four counts </t>
  </si>
  <si>
    <t>UKY-25-009</t>
  </si>
  <si>
    <t>UKY-26-024</t>
  </si>
  <si>
    <t>UKY-25-005</t>
  </si>
  <si>
    <t>UKY-25-015</t>
  </si>
  <si>
    <t>UKY-25-016</t>
  </si>
  <si>
    <t>Mix so no sample</t>
  </si>
  <si>
    <t>UKY-25-018</t>
  </si>
  <si>
    <t>20 counts total</t>
  </si>
  <si>
    <t>UKY-25-017</t>
  </si>
  <si>
    <t>UKY-26-020</t>
  </si>
  <si>
    <t>10 counts</t>
  </si>
  <si>
    <t>UKY-26-022</t>
  </si>
  <si>
    <t xml:space="preserve">2 counts </t>
  </si>
  <si>
    <t>UKY-26-014</t>
  </si>
  <si>
    <t>9 counts</t>
  </si>
  <si>
    <t>UKY-26-013</t>
  </si>
  <si>
    <t>4 counts</t>
  </si>
  <si>
    <t>UKY-26-015</t>
  </si>
  <si>
    <t>12 counts</t>
  </si>
  <si>
    <t>UKY-25-011</t>
  </si>
  <si>
    <t>UKY-26-018</t>
  </si>
  <si>
    <t>UKY-26-017</t>
  </si>
  <si>
    <t>6 counts, only one marketable</t>
  </si>
  <si>
    <t>UKY-26-004</t>
  </si>
  <si>
    <t>UKY-26-016</t>
  </si>
  <si>
    <t>UKY-26-005</t>
  </si>
  <si>
    <t>UKY-26-026</t>
  </si>
  <si>
    <t>UKY-26-019</t>
  </si>
  <si>
    <t>3 counts</t>
  </si>
  <si>
    <t>UKY-25-010</t>
  </si>
  <si>
    <t>UKY-25-012</t>
  </si>
  <si>
    <t>UKY-26-027</t>
  </si>
  <si>
    <t xml:space="preserve">17 counts </t>
  </si>
  <si>
    <t>UKY-26-039</t>
  </si>
  <si>
    <t xml:space="preserve">17 counts , mixed </t>
  </si>
  <si>
    <t>UKY-26-028</t>
  </si>
  <si>
    <t>UKY-26-044</t>
  </si>
  <si>
    <t>11 counts</t>
  </si>
  <si>
    <t>UKY-26-034</t>
  </si>
  <si>
    <t xml:space="preserve">12 counts </t>
  </si>
  <si>
    <t>UKY-26-036</t>
  </si>
  <si>
    <t>mixed, seems like only one from the Cherokee Purple</t>
  </si>
  <si>
    <t>UKY-26-037</t>
  </si>
  <si>
    <t>fruit count</t>
  </si>
  <si>
    <t>TOTAL WEIGHT (lbs)</t>
  </si>
  <si>
    <t>26-41</t>
  </si>
  <si>
    <t>Peacevine cherry</t>
  </si>
  <si>
    <t>UKYT 26-032</t>
  </si>
  <si>
    <t xml:space="preserve">High Tunnel </t>
  </si>
  <si>
    <t>UKYT 26-039</t>
  </si>
  <si>
    <t>UKYT 26-038</t>
  </si>
  <si>
    <t>UKYT 26-037</t>
  </si>
  <si>
    <t>UKYT 26-017</t>
  </si>
  <si>
    <t>UKYT 26-016</t>
  </si>
  <si>
    <t>UKYT 26-018</t>
  </si>
  <si>
    <t>UKyt 26-024</t>
  </si>
  <si>
    <t>UKYT 26-019</t>
  </si>
  <si>
    <t>UKYT 26-020</t>
  </si>
  <si>
    <t>UKYT 26-023</t>
  </si>
  <si>
    <t>UKYT 26-022</t>
  </si>
  <si>
    <t>UKYT 26-027</t>
  </si>
  <si>
    <t>UKYT 26-026</t>
  </si>
  <si>
    <t>UKYT 26-033</t>
  </si>
  <si>
    <t>UKYT 26-028</t>
  </si>
  <si>
    <t>UKYT 26-029</t>
  </si>
  <si>
    <t>UKYT 26-035</t>
  </si>
  <si>
    <t>UKYT 26-031</t>
  </si>
  <si>
    <t>UKYT 26-030</t>
  </si>
  <si>
    <t>UKYT 26-034</t>
  </si>
  <si>
    <t>UKYT 26-036</t>
  </si>
  <si>
    <t>Total Weight (gm)</t>
  </si>
  <si>
    <t>6 counts</t>
  </si>
  <si>
    <t>may be mixed. some fruits were elongated and most were like beefsteak</t>
  </si>
  <si>
    <t>UKY-26-035 Second Rep first row first genotype</t>
  </si>
  <si>
    <t>UKY-26-025</t>
  </si>
  <si>
    <t>5 counts</t>
  </si>
  <si>
    <t>14 counts, mixed with red and orange fruits</t>
  </si>
  <si>
    <t>UKY-26-038</t>
  </si>
  <si>
    <t>17 counts</t>
  </si>
  <si>
    <t>16 counts</t>
  </si>
  <si>
    <t>UKY-26-033</t>
  </si>
  <si>
    <t>UKY-26-032</t>
  </si>
  <si>
    <t>UKY-26-030</t>
  </si>
  <si>
    <t>9 Counts</t>
  </si>
  <si>
    <t>Peace Vine Cherry</t>
  </si>
  <si>
    <t>UKY-26-043</t>
  </si>
  <si>
    <t>few counts</t>
  </si>
  <si>
    <t>UKY-26-031</t>
  </si>
  <si>
    <t>2 counts</t>
  </si>
  <si>
    <t>UKY-26-042</t>
  </si>
  <si>
    <t>UKY-26-029</t>
  </si>
  <si>
    <t>3 COUNTS</t>
  </si>
  <si>
    <t xml:space="preserve">11 counts </t>
  </si>
  <si>
    <t xml:space="preserve">18 counts </t>
  </si>
  <si>
    <t>UKY-26-006</t>
  </si>
  <si>
    <t>Grape</t>
  </si>
  <si>
    <t>UKY-26-007</t>
  </si>
  <si>
    <t>Mixed with orange and red fruits</t>
  </si>
  <si>
    <t>Orange fruits close to peace vine cherry and Cherokee purple</t>
  </si>
  <si>
    <t>No sample taken</t>
  </si>
  <si>
    <t xml:space="preserve">High tunnel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</si>
</sst>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font>
      <sz val="12"/>
      <color theme="1"/>
      <name val="Aptos Narrow"/>
      <family val="2"/>
      <scheme val="minor"/>
    </font>
    <font>
      <b/>
      <sz val="12"/>
      <color theme="1"/>
      <name val="Aptos Narrow"/>
      <scheme val="minor"/>
    </font>
    <font>
      <sz val="12"/>
      <color rgb="FF000000"/>
      <name val="Aptos Narrow"/>
      <family val="2"/>
      <scheme val="minor"/>
    </font>
    <font>
      <b/>
      <sz val="12"/>
      <color theme="1"/>
      <name val="Aptos Narrow"/>
      <family val="2"/>
      <scheme val="minor"/>
    </font>
    <font>
      <sz val="11"/>
      <color rgb="FF000000"/>
      <name val="Aptos Narrow"/>
    </font>
    <font>
      <sz val="11"/>
      <color rgb="FF000000"/>
      <name val="Calibri"/>
      <family val="2"/>
    </font>
    <font>
      <sz val="12"/>
      <color rgb="FF000000"/>
      <name val="Aptos Narrow"/>
      <charset val="1"/>
    </font>
    <font>
      <sz val="12"/>
      <color theme="6" tint="-0.249977111117893"/>
      <name val="Aptos Narrow"/>
      <family val="2"/>
      <scheme val="minor"/>
    </font>
    <font>
      <sz val="6"/>
      <name val="Yu Gothic"/>
      <family val="2"/>
      <charset val="128"/>
    </font>
    <font>
      <sz val="12"/>
      <color theme="0" tint="-0.89999084444715716"/>
      <name val="Aptos Narrow"/>
      <family val="2"/>
      <scheme val="minor"/>
    </font>
    <font>
      <sz val="12"/>
      <color theme="1"/>
      <name val="Aptos Narrow"/>
      <scheme val="minor"/>
    </font>
    <font>
      <sz val="12"/>
      <color rgb="FF000000"/>
      <name val="Aptos Narrow"/>
      <scheme val="minor"/>
    </font>
    <font>
      <sz val="11"/>
      <color rgb="FF000000"/>
      <name val="Aptos Narrow"/>
      <scheme val="minor"/>
    </font>
    <font>
      <b/>
      <sz val="12"/>
      <color rgb="FF000000"/>
      <name val="Aptos Narrow"/>
      <scheme val="minor"/>
    </font>
    <font>
      <sz val="12"/>
      <color rgb="FFFF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5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wrapText="1"/>
    </xf>
    <xf numFmtId="16" fontId="2" fillId="0" borderId="1" xfId="0" applyNumberFormat="1" applyFont="1" applyBorder="1" applyAlignment="1">
      <alignment wrapText="1"/>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16" fontId="0" fillId="0" borderId="2" xfId="0" applyNumberFormat="1" applyBorder="1"/>
    <xf numFmtId="16" fontId="0" fillId="0" borderId="0" xfId="0" applyNumberFormat="1"/>
    <xf numFmtId="0" fontId="4" fillId="0" borderId="0" xfId="0" applyFont="1"/>
    <xf numFmtId="164" fontId="0" fillId="0" borderId="0" xfId="0" applyNumberFormat="1"/>
    <xf numFmtId="0" fontId="5" fillId="0" borderId="0" xfId="0" applyFont="1" applyAlignment="1">
      <alignment wrapText="1"/>
    </xf>
    <xf numFmtId="0" fontId="3" fillId="0" borderId="0" xfId="0" applyFont="1"/>
    <xf numFmtId="16" fontId="3" fillId="0" borderId="0" xfId="0" applyNumberFormat="1" applyFont="1"/>
    <xf numFmtId="0" fontId="0" fillId="2" borderId="0" xfId="0" applyFill="1"/>
    <xf numFmtId="0" fontId="3" fillId="2" borderId="0" xfId="0" applyFont="1" applyFill="1"/>
    <xf numFmtId="16" fontId="6" fillId="0" borderId="0" xfId="0" applyNumberFormat="1" applyFont="1"/>
    <xf numFmtId="0" fontId="3" fillId="0" borderId="1" xfId="0" applyFont="1" applyBorder="1" applyAlignment="1">
      <alignment horizontal="center" vertical="center"/>
    </xf>
    <xf numFmtId="0" fontId="2" fillId="0" borderId="1" xfId="0" applyFont="1" applyBorder="1"/>
    <xf numFmtId="16" fontId="2" fillId="0" borderId="1" xfId="0" applyNumberFormat="1" applyFont="1" applyBorder="1"/>
    <xf numFmtId="0" fontId="7" fillId="0" borderId="1" xfId="0" applyFont="1" applyBorder="1" applyAlignment="1">
      <alignment wrapText="1"/>
    </xf>
    <xf numFmtId="16" fontId="7" fillId="0" borderId="1" xfId="0" applyNumberFormat="1" applyFont="1" applyBorder="1" applyAlignment="1">
      <alignment wrapText="1"/>
    </xf>
    <xf numFmtId="0" fontId="9" fillId="0" borderId="1" xfId="0" applyFont="1" applyBorder="1" applyAlignment="1">
      <alignment wrapText="1"/>
    </xf>
    <xf numFmtId="0" fontId="7" fillId="0" borderId="0" xfId="0" applyFont="1"/>
    <xf numFmtId="16" fontId="7" fillId="0" borderId="0" xfId="0" applyNumberFormat="1" applyFont="1"/>
    <xf numFmtId="0" fontId="10" fillId="0" borderId="1" xfId="0" applyFont="1" applyBorder="1" applyAlignment="1">
      <alignment horizontal="center" vertical="center" wrapText="1"/>
    </xf>
    <xf numFmtId="3" fontId="0" fillId="0" borderId="0" xfId="0" applyNumberFormat="1"/>
    <xf numFmtId="0" fontId="10" fillId="0" borderId="0" xfId="0" applyFont="1"/>
    <xf numFmtId="0" fontId="11" fillId="0" borderId="0" xfId="0" applyFont="1"/>
    <xf numFmtId="0" fontId="10" fillId="0" borderId="3" xfId="0" applyFont="1" applyBorder="1"/>
    <xf numFmtId="0" fontId="10" fillId="0" borderId="4" xfId="0" applyFont="1" applyBorder="1"/>
    <xf numFmtId="0" fontId="12" fillId="0" borderId="0" xfId="0" applyFont="1"/>
    <xf numFmtId="16" fontId="10" fillId="0" borderId="0" xfId="0" applyNumberFormat="1" applyFont="1"/>
    <xf numFmtId="16" fontId="1" fillId="0" borderId="0" xfId="0" applyNumberFormat="1" applyFont="1"/>
    <xf numFmtId="0" fontId="1" fillId="0" borderId="0" xfId="0" applyFont="1"/>
    <xf numFmtId="0" fontId="1" fillId="2" borderId="0" xfId="0" applyFont="1" applyFill="1"/>
    <xf numFmtId="16" fontId="11" fillId="0" borderId="0" xfId="0" applyNumberFormat="1" applyFont="1"/>
    <xf numFmtId="0" fontId="10" fillId="2" borderId="0" xfId="0" applyFont="1" applyFill="1"/>
    <xf numFmtId="0" fontId="13" fillId="0" borderId="0" xfId="0" applyFont="1"/>
    <xf numFmtId="0" fontId="10" fillId="0" borderId="0" xfId="0" applyFont="1" applyAlignment="1">
      <alignment readingOrder="1"/>
    </xf>
    <xf numFmtId="0" fontId="0" fillId="0" borderId="1" xfId="0" applyBorder="1" applyAlignment="1">
      <alignment wrapText="1"/>
    </xf>
    <xf numFmtId="16" fontId="0" fillId="0" borderId="1" xfId="0" applyNumberFormat="1" applyBorder="1" applyAlignment="1">
      <alignment wrapText="1"/>
    </xf>
    <xf numFmtId="0" fontId="2" fillId="0" borderId="2" xfId="0" applyFont="1" applyBorder="1"/>
    <xf numFmtId="16" fontId="2" fillId="0" borderId="2" xfId="0" applyNumberFormat="1" applyFont="1" applyBorder="1"/>
    <xf numFmtId="0" fontId="2" fillId="2" borderId="2" xfId="0" applyFont="1" applyFill="1" applyBorder="1"/>
    <xf numFmtId="0" fontId="0" fillId="2" borderId="2" xfId="0" applyFill="1" applyBorder="1"/>
    <xf numFmtId="16" fontId="0" fillId="2" borderId="2" xfId="0" applyNumberFormat="1" applyFill="1" applyBorder="1"/>
    <xf numFmtId="0" fontId="2" fillId="3" borderId="2" xfId="0" applyFont="1" applyFill="1" applyBorder="1"/>
    <xf numFmtId="0" fontId="0" fillId="0" borderId="2" xfId="0" applyBorder="1" applyAlignment="1">
      <alignment wrapText="1"/>
    </xf>
    <xf numFmtId="0" fontId="0" fillId="0" borderId="0" xfId="0" applyAlignment="1">
      <alignment wrapText="1"/>
    </xf>
    <xf numFmtId="0" fontId="14" fillId="0" borderId="0" xfId="0" applyFont="1"/>
    <xf numFmtId="0" fontId="0" fillId="0" borderId="2" xfId="0" applyBorder="1" applyAlignment="1">
      <alignment horizontal="center"/>
    </xf>
    <xf numFmtId="0" fontId="10" fillId="0" borderId="4" xfId="0" applyFont="1" applyBorder="1" applyAlignment="1"/>
    <xf numFmtId="0" fontId="10" fillId="0" borderId="5" xfId="0" applyFont="1" applyBorder="1" applyAlignment="1"/>
    <xf numFmtId="0" fontId="10" fillId="2" borderId="0" xfId="0" applyFont="1" applyFill="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4BA73-D096-5446-94E8-501686FFBAEF}">
  <sheetPr>
    <pageSetUpPr fitToPage="1"/>
  </sheetPr>
  <dimension ref="A1:K51"/>
  <sheetViews>
    <sheetView topLeftCell="A32" workbookViewId="0">
      <selection activeCell="L35" sqref="L35"/>
    </sheetView>
  </sheetViews>
  <sheetFormatPr defaultColWidth="10.875" defaultRowHeight="16.5"/>
  <cols>
    <col min="1" max="1" width="3.75" bestFit="1" customWidth="1"/>
    <col min="2" max="2" width="27.5" customWidth="1"/>
    <col min="3" max="3" width="14" customWidth="1"/>
    <col min="4" max="4" width="13.375" bestFit="1" customWidth="1"/>
    <col min="6" max="6" width="15.75" customWidth="1"/>
    <col min="7" max="7" width="14.25" customWidth="1"/>
    <col min="8" max="8" width="13.75" bestFit="1" customWidth="1"/>
    <col min="9" max="9" width="13.5" customWidth="1"/>
    <col min="10" max="10" width="14.25" customWidth="1"/>
    <col min="11" max="11" width="16.5" customWidth="1"/>
  </cols>
  <sheetData>
    <row r="1" spans="1:11" ht="45">
      <c r="A1" s="1" t="s">
        <v>0</v>
      </c>
      <c r="B1" s="1" t="s">
        <v>1</v>
      </c>
      <c r="C1" s="1" t="s">
        <v>2</v>
      </c>
      <c r="D1" s="1" t="s">
        <v>3</v>
      </c>
      <c r="E1" s="1" t="s">
        <v>4</v>
      </c>
      <c r="F1" s="1" t="s">
        <v>5</v>
      </c>
      <c r="G1" s="1" t="s">
        <v>6</v>
      </c>
      <c r="H1" s="1" t="s">
        <v>7</v>
      </c>
      <c r="I1" s="1" t="s">
        <v>8</v>
      </c>
      <c r="J1" s="1" t="s">
        <v>9</v>
      </c>
      <c r="K1" s="1" t="s">
        <v>10</v>
      </c>
    </row>
    <row r="2" spans="1:11" ht="24.95" customHeight="1">
      <c r="A2" s="2">
        <v>1</v>
      </c>
      <c r="B2" s="2" t="s">
        <v>11</v>
      </c>
      <c r="C2" s="2" t="s">
        <v>12</v>
      </c>
      <c r="D2" s="3">
        <v>46216</v>
      </c>
      <c r="E2" s="2" t="s">
        <v>13</v>
      </c>
      <c r="F2" s="2">
        <v>99.8</v>
      </c>
      <c r="G2" s="2">
        <v>8</v>
      </c>
      <c r="H2" s="2">
        <v>45.6</v>
      </c>
      <c r="I2" s="2">
        <v>4</v>
      </c>
      <c r="J2" s="2"/>
      <c r="K2" s="2"/>
    </row>
    <row r="3" spans="1:11" ht="24.95" customHeight="1">
      <c r="A3" s="2">
        <v>2</v>
      </c>
      <c r="B3" s="2" t="s">
        <v>14</v>
      </c>
      <c r="C3" s="2" t="s">
        <v>12</v>
      </c>
      <c r="D3" s="3">
        <v>46216</v>
      </c>
      <c r="E3" s="2" t="s">
        <v>13</v>
      </c>
      <c r="F3" s="2">
        <v>451.8</v>
      </c>
      <c r="G3" s="2">
        <v>22</v>
      </c>
      <c r="H3" s="2">
        <v>265.8</v>
      </c>
      <c r="I3" s="2">
        <v>12</v>
      </c>
      <c r="J3" s="2">
        <v>142.1</v>
      </c>
      <c r="K3" s="2">
        <v>9</v>
      </c>
    </row>
    <row r="4" spans="1:11" ht="24.95" customHeight="1">
      <c r="A4" s="2">
        <v>3</v>
      </c>
      <c r="B4" s="2" t="s">
        <v>15</v>
      </c>
      <c r="C4" s="2" t="s">
        <v>12</v>
      </c>
      <c r="D4" s="3">
        <v>46216</v>
      </c>
      <c r="E4" s="2" t="s">
        <v>13</v>
      </c>
      <c r="F4" s="2">
        <v>110.1</v>
      </c>
      <c r="G4" s="2">
        <v>8</v>
      </c>
      <c r="H4" s="2"/>
      <c r="I4" s="2"/>
      <c r="J4" s="2">
        <v>30.5</v>
      </c>
      <c r="K4" s="2">
        <v>3</v>
      </c>
    </row>
    <row r="5" spans="1:11" ht="24.95" customHeight="1">
      <c r="A5" s="2">
        <v>4</v>
      </c>
      <c r="B5" s="2" t="s">
        <v>16</v>
      </c>
      <c r="C5" s="2" t="s">
        <v>12</v>
      </c>
      <c r="D5" s="3">
        <v>46216</v>
      </c>
      <c r="E5" s="2" t="s">
        <v>13</v>
      </c>
      <c r="F5" s="2">
        <v>338.1</v>
      </c>
      <c r="G5" s="2">
        <v>17</v>
      </c>
      <c r="H5" s="2">
        <v>127.9</v>
      </c>
      <c r="I5" s="2">
        <v>7</v>
      </c>
      <c r="J5" s="2">
        <v>138</v>
      </c>
      <c r="K5" s="2">
        <v>11</v>
      </c>
    </row>
    <row r="6" spans="1:11" ht="24.95" customHeight="1">
      <c r="A6" s="2">
        <v>5</v>
      </c>
      <c r="B6" s="2" t="s">
        <v>17</v>
      </c>
      <c r="C6" s="2" t="s">
        <v>12</v>
      </c>
      <c r="D6" s="3">
        <v>46216</v>
      </c>
      <c r="E6" s="2" t="s">
        <v>13</v>
      </c>
      <c r="F6" s="2">
        <v>37.1</v>
      </c>
      <c r="G6" s="2">
        <v>2</v>
      </c>
      <c r="H6" s="2"/>
      <c r="I6" s="2"/>
      <c r="J6" s="2"/>
      <c r="K6" s="2"/>
    </row>
    <row r="7" spans="1:11" ht="24.95" customHeight="1">
      <c r="A7" s="2">
        <v>6</v>
      </c>
      <c r="B7" s="2" t="s">
        <v>18</v>
      </c>
      <c r="C7" s="2" t="s">
        <v>12</v>
      </c>
      <c r="D7" s="3">
        <v>46216</v>
      </c>
      <c r="E7" s="2" t="s">
        <v>13</v>
      </c>
      <c r="F7" s="2">
        <v>173.2</v>
      </c>
      <c r="G7" s="2">
        <v>9</v>
      </c>
      <c r="H7" s="2">
        <v>183.8</v>
      </c>
      <c r="I7" s="2">
        <v>9</v>
      </c>
      <c r="J7" s="2">
        <v>77.3</v>
      </c>
      <c r="K7" s="2">
        <v>5</v>
      </c>
    </row>
    <row r="8" spans="1:11" ht="24.95" customHeight="1">
      <c r="A8" s="2">
        <v>7</v>
      </c>
      <c r="B8" s="2" t="s">
        <v>19</v>
      </c>
      <c r="C8" s="2" t="s">
        <v>12</v>
      </c>
      <c r="D8" s="3">
        <v>46216</v>
      </c>
      <c r="E8" s="2" t="s">
        <v>13</v>
      </c>
      <c r="F8" s="2">
        <v>111.7</v>
      </c>
      <c r="G8" s="2">
        <v>5</v>
      </c>
      <c r="H8" s="2">
        <v>201</v>
      </c>
      <c r="I8" s="2">
        <v>11</v>
      </c>
      <c r="J8" s="2">
        <v>62.7</v>
      </c>
      <c r="K8" s="2">
        <v>4</v>
      </c>
    </row>
    <row r="9" spans="1:11" ht="24.95" customHeight="1">
      <c r="A9" s="2">
        <v>8</v>
      </c>
      <c r="B9" s="2" t="s">
        <v>20</v>
      </c>
      <c r="C9" s="2" t="s">
        <v>12</v>
      </c>
      <c r="D9" s="3">
        <v>46216</v>
      </c>
      <c r="E9" s="2" t="s">
        <v>13</v>
      </c>
      <c r="F9" s="2"/>
      <c r="G9" s="2"/>
      <c r="H9" s="2"/>
      <c r="I9" s="2"/>
      <c r="J9" s="2"/>
      <c r="K9" s="2"/>
    </row>
    <row r="10" spans="1:11" ht="24.95" customHeight="1">
      <c r="A10" s="2">
        <v>9</v>
      </c>
      <c r="B10" s="2" t="s">
        <v>21</v>
      </c>
      <c r="C10" s="2" t="s">
        <v>12</v>
      </c>
      <c r="D10" s="3">
        <v>46216</v>
      </c>
      <c r="E10" s="2" t="s">
        <v>13</v>
      </c>
      <c r="F10" s="2">
        <v>212.8</v>
      </c>
      <c r="G10" s="2">
        <v>11</v>
      </c>
      <c r="H10" s="2">
        <v>156</v>
      </c>
      <c r="I10" s="2">
        <v>8</v>
      </c>
      <c r="J10" s="2">
        <v>12.5</v>
      </c>
      <c r="K10" s="2">
        <v>1</v>
      </c>
    </row>
    <row r="11" spans="1:11" ht="24.95" customHeight="1">
      <c r="A11" s="2">
        <v>10</v>
      </c>
      <c r="B11" s="2" t="s">
        <v>22</v>
      </c>
      <c r="C11" s="2" t="s">
        <v>12</v>
      </c>
      <c r="D11" s="3">
        <v>46216</v>
      </c>
      <c r="E11" s="2" t="s">
        <v>13</v>
      </c>
      <c r="F11" s="2">
        <v>241.1</v>
      </c>
      <c r="G11" s="2">
        <v>14</v>
      </c>
      <c r="H11" s="2">
        <v>19.399999999999999</v>
      </c>
      <c r="I11" s="2">
        <v>1</v>
      </c>
      <c r="J11" s="2"/>
      <c r="K11" s="2"/>
    </row>
    <row r="12" spans="1:11" ht="24.95" customHeight="1">
      <c r="A12" s="2">
        <v>11</v>
      </c>
      <c r="B12" s="2" t="s">
        <v>23</v>
      </c>
      <c r="C12" s="2" t="s">
        <v>12</v>
      </c>
      <c r="D12" s="3">
        <v>46216</v>
      </c>
      <c r="E12" s="2" t="s">
        <v>13</v>
      </c>
      <c r="F12" s="2">
        <v>254.6</v>
      </c>
      <c r="G12" s="2">
        <v>16</v>
      </c>
      <c r="H12" s="2"/>
      <c r="I12" s="2"/>
      <c r="J12" s="2"/>
      <c r="K12" s="2"/>
    </row>
    <row r="13" spans="1:11" ht="24.95" customHeight="1">
      <c r="A13" s="2">
        <v>12</v>
      </c>
      <c r="B13" s="2" t="s">
        <v>24</v>
      </c>
      <c r="C13" s="2" t="s">
        <v>12</v>
      </c>
      <c r="D13" s="3">
        <v>46216</v>
      </c>
      <c r="E13" s="2" t="s">
        <v>13</v>
      </c>
      <c r="F13" s="2">
        <v>178.9</v>
      </c>
      <c r="G13" s="2">
        <v>10</v>
      </c>
      <c r="H13" s="2">
        <v>48.8</v>
      </c>
      <c r="I13" s="2">
        <v>3</v>
      </c>
      <c r="J13" s="2">
        <v>94.6</v>
      </c>
      <c r="K13" s="2">
        <v>7</v>
      </c>
    </row>
    <row r="14" spans="1:11" ht="24.95" customHeight="1">
      <c r="A14" s="2">
        <v>13</v>
      </c>
      <c r="B14" s="2" t="s">
        <v>25</v>
      </c>
      <c r="C14" s="2" t="s">
        <v>12</v>
      </c>
      <c r="D14" s="3">
        <v>46216</v>
      </c>
      <c r="E14" s="2" t="s">
        <v>13</v>
      </c>
      <c r="F14" s="2">
        <v>213.1</v>
      </c>
      <c r="G14" s="2">
        <v>13</v>
      </c>
      <c r="H14" s="2">
        <v>124.6</v>
      </c>
      <c r="I14" s="2">
        <v>8</v>
      </c>
      <c r="J14" s="2">
        <v>69.3</v>
      </c>
      <c r="K14" s="2">
        <v>5</v>
      </c>
    </row>
    <row r="15" spans="1:11" ht="24.95" customHeight="1">
      <c r="A15" s="2">
        <v>14</v>
      </c>
      <c r="B15" s="2" t="s">
        <v>26</v>
      </c>
      <c r="C15" s="2" t="s">
        <v>12</v>
      </c>
      <c r="D15" s="3">
        <v>46216</v>
      </c>
      <c r="E15" s="2" t="s">
        <v>13</v>
      </c>
      <c r="F15" s="2">
        <v>353.7</v>
      </c>
      <c r="G15" s="2">
        <v>19</v>
      </c>
      <c r="H15" s="2">
        <v>67.8</v>
      </c>
      <c r="I15" s="2">
        <v>4</v>
      </c>
      <c r="J15" s="2"/>
      <c r="K15" s="2"/>
    </row>
    <row r="16" spans="1:11" ht="24.95" customHeight="1">
      <c r="A16" s="2">
        <v>15</v>
      </c>
      <c r="B16" s="2"/>
      <c r="C16" s="2" t="s">
        <v>12</v>
      </c>
      <c r="D16" s="3">
        <v>46216</v>
      </c>
      <c r="E16" s="2" t="s">
        <v>13</v>
      </c>
      <c r="F16" s="2"/>
      <c r="G16" s="2"/>
      <c r="H16" s="2"/>
      <c r="I16" s="2"/>
      <c r="J16" s="2"/>
      <c r="K16" s="2"/>
    </row>
    <row r="17" spans="1:11" ht="24.95" customHeight="1">
      <c r="A17" s="2">
        <v>16</v>
      </c>
      <c r="B17" s="2"/>
      <c r="C17" s="2" t="s">
        <v>12</v>
      </c>
      <c r="D17" s="3">
        <v>46216</v>
      </c>
      <c r="E17" s="2" t="s">
        <v>13</v>
      </c>
      <c r="F17" s="2"/>
      <c r="G17" s="2"/>
      <c r="H17" s="2"/>
      <c r="I17" s="2"/>
      <c r="J17" s="2"/>
      <c r="K17" s="2"/>
    </row>
    <row r="18" spans="1:11" ht="24.95" customHeight="1">
      <c r="A18" s="2">
        <v>17</v>
      </c>
      <c r="B18" s="2" t="s">
        <v>27</v>
      </c>
      <c r="C18" s="2" t="s">
        <v>12</v>
      </c>
      <c r="D18" s="3">
        <v>46216</v>
      </c>
      <c r="E18" s="2" t="s">
        <v>13</v>
      </c>
      <c r="F18" s="2">
        <v>238.6</v>
      </c>
      <c r="G18" s="2">
        <v>14</v>
      </c>
      <c r="H18" s="2">
        <v>46.9</v>
      </c>
      <c r="I18" s="2">
        <v>3</v>
      </c>
      <c r="J18" s="2">
        <v>11.5</v>
      </c>
      <c r="K18" s="2">
        <v>1</v>
      </c>
    </row>
    <row r="19" spans="1:11" ht="24.95" customHeight="1">
      <c r="A19" s="2">
        <v>18</v>
      </c>
      <c r="B19" s="2"/>
      <c r="C19" s="2" t="s">
        <v>12</v>
      </c>
      <c r="D19" s="3">
        <v>46216</v>
      </c>
      <c r="E19" s="2" t="s">
        <v>13</v>
      </c>
      <c r="F19" s="2"/>
      <c r="G19" s="2"/>
      <c r="H19" s="2"/>
      <c r="I19" s="2"/>
      <c r="J19" s="2"/>
      <c r="K19" s="2"/>
    </row>
    <row r="20" spans="1:11" ht="24.95" customHeight="1">
      <c r="A20" s="2">
        <v>19</v>
      </c>
      <c r="B20" s="2" t="s">
        <v>28</v>
      </c>
      <c r="C20" s="2" t="s">
        <v>12</v>
      </c>
      <c r="D20" s="3">
        <v>46216</v>
      </c>
      <c r="E20" s="2" t="s">
        <v>13</v>
      </c>
      <c r="F20" s="2">
        <v>297</v>
      </c>
      <c r="G20" s="2">
        <v>15</v>
      </c>
      <c r="H20" s="2">
        <v>293.39999999999998</v>
      </c>
      <c r="I20" s="2">
        <v>16</v>
      </c>
      <c r="J20" s="2">
        <v>123.3</v>
      </c>
      <c r="K20" s="2">
        <v>9</v>
      </c>
    </row>
    <row r="21" spans="1:11" ht="24.95" customHeight="1">
      <c r="A21" s="2">
        <v>20</v>
      </c>
      <c r="B21" s="2"/>
      <c r="C21" s="2" t="s">
        <v>12</v>
      </c>
      <c r="D21" s="3">
        <v>46216</v>
      </c>
      <c r="E21" s="2" t="s">
        <v>13</v>
      </c>
      <c r="F21" s="2"/>
      <c r="G21" s="2"/>
      <c r="H21" s="2"/>
      <c r="I21" s="2"/>
      <c r="J21" s="2"/>
      <c r="K21" s="2"/>
    </row>
    <row r="22" spans="1:11" ht="24.95" customHeight="1">
      <c r="A22" s="2">
        <v>21</v>
      </c>
      <c r="B22" s="2"/>
      <c r="C22" s="2" t="s">
        <v>12</v>
      </c>
      <c r="D22" s="3">
        <v>46216</v>
      </c>
      <c r="E22" s="2" t="s">
        <v>13</v>
      </c>
      <c r="F22" s="2"/>
      <c r="G22" s="2"/>
      <c r="H22" s="2"/>
      <c r="I22" s="2"/>
      <c r="J22" s="2"/>
      <c r="K22" s="2"/>
    </row>
    <row r="23" spans="1:11" ht="24.95" customHeight="1">
      <c r="A23" s="2">
        <v>22</v>
      </c>
      <c r="B23" s="2"/>
      <c r="C23" s="2" t="s">
        <v>12</v>
      </c>
      <c r="D23" s="3">
        <v>46216</v>
      </c>
      <c r="E23" s="2" t="s">
        <v>13</v>
      </c>
      <c r="F23" s="2"/>
      <c r="G23" s="2"/>
      <c r="H23" s="2"/>
      <c r="I23" s="2"/>
      <c r="J23" s="2"/>
      <c r="K23" s="2"/>
    </row>
    <row r="24" spans="1:11" ht="24.95" customHeight="1">
      <c r="A24" s="2">
        <v>23</v>
      </c>
      <c r="B24" s="2"/>
      <c r="C24" s="2" t="s">
        <v>12</v>
      </c>
      <c r="D24" s="3">
        <v>46216</v>
      </c>
      <c r="E24" s="2" t="s">
        <v>13</v>
      </c>
      <c r="F24" s="2"/>
      <c r="G24" s="2"/>
      <c r="H24" s="2"/>
      <c r="I24" s="2"/>
      <c r="J24" s="2"/>
      <c r="K24" s="2"/>
    </row>
    <row r="25" spans="1:11" ht="24.95" customHeight="1">
      <c r="A25" s="2">
        <v>24</v>
      </c>
      <c r="B25" s="2" t="s">
        <v>29</v>
      </c>
      <c r="C25" s="2" t="s">
        <v>12</v>
      </c>
      <c r="D25" s="3">
        <v>46216</v>
      </c>
      <c r="E25" s="2" t="s">
        <v>13</v>
      </c>
      <c r="F25" s="2"/>
      <c r="G25" s="2"/>
      <c r="H25" s="2"/>
      <c r="I25" s="2"/>
      <c r="J25" s="2">
        <v>316.10000000000002</v>
      </c>
      <c r="K25" s="2">
        <v>2</v>
      </c>
    </row>
    <row r="26" spans="1:11" ht="24.95" customHeight="1">
      <c r="A26" s="2">
        <v>25</v>
      </c>
      <c r="B26" s="2"/>
      <c r="C26" s="2" t="s">
        <v>12</v>
      </c>
      <c r="D26" s="3">
        <v>46216</v>
      </c>
      <c r="E26" s="2" t="s">
        <v>13</v>
      </c>
      <c r="F26" s="2"/>
      <c r="G26" s="2"/>
      <c r="H26" s="2"/>
      <c r="I26" s="2"/>
      <c r="J26" s="2"/>
      <c r="K26" s="2"/>
    </row>
    <row r="27" spans="1:11" ht="24.95" customHeight="1">
      <c r="A27" s="2">
        <v>26</v>
      </c>
      <c r="B27" s="2"/>
      <c r="C27" s="2" t="s">
        <v>12</v>
      </c>
      <c r="D27" s="3">
        <v>46216</v>
      </c>
      <c r="E27" s="2" t="s">
        <v>13</v>
      </c>
      <c r="F27" s="2"/>
      <c r="G27" s="2"/>
      <c r="H27" s="2"/>
      <c r="I27" s="2"/>
      <c r="J27" s="2"/>
      <c r="K27" s="2"/>
    </row>
    <row r="28" spans="1:11" ht="24.95" customHeight="1">
      <c r="A28" s="2">
        <v>27</v>
      </c>
      <c r="B28" s="2"/>
      <c r="C28" s="2" t="s">
        <v>12</v>
      </c>
      <c r="D28" s="3">
        <v>46216</v>
      </c>
      <c r="E28" s="2" t="s">
        <v>13</v>
      </c>
      <c r="F28" s="2"/>
      <c r="G28" s="2"/>
      <c r="H28" s="2"/>
      <c r="I28" s="2"/>
      <c r="J28" s="2"/>
      <c r="K28" s="2"/>
    </row>
    <row r="29" spans="1:11" ht="24.95" customHeight="1">
      <c r="A29" s="2">
        <v>28</v>
      </c>
      <c r="B29" s="2"/>
      <c r="C29" s="2" t="s">
        <v>12</v>
      </c>
      <c r="D29" s="3">
        <v>46216</v>
      </c>
      <c r="E29" s="2" t="s">
        <v>13</v>
      </c>
      <c r="F29" s="2"/>
      <c r="G29" s="2"/>
      <c r="H29" s="2"/>
      <c r="I29" s="2"/>
      <c r="J29" s="2"/>
      <c r="K29" s="2"/>
    </row>
    <row r="30" spans="1:11" ht="24.95" customHeight="1">
      <c r="A30" s="2">
        <v>29</v>
      </c>
      <c r="B30" s="2"/>
      <c r="C30" s="2" t="s">
        <v>12</v>
      </c>
      <c r="D30" s="3">
        <v>46216</v>
      </c>
      <c r="E30" s="2" t="s">
        <v>13</v>
      </c>
      <c r="F30" s="2"/>
      <c r="G30" s="2"/>
      <c r="H30" s="2"/>
      <c r="I30" s="2"/>
      <c r="J30" s="2"/>
      <c r="K30" s="2"/>
    </row>
    <row r="31" spans="1:11" ht="24.95" customHeight="1">
      <c r="A31" s="2">
        <v>30</v>
      </c>
      <c r="B31" s="2"/>
      <c r="C31" s="2" t="s">
        <v>12</v>
      </c>
      <c r="D31" s="3">
        <v>46216</v>
      </c>
      <c r="E31" s="2" t="s">
        <v>13</v>
      </c>
      <c r="F31" s="2"/>
      <c r="G31" s="2"/>
      <c r="H31" s="2"/>
      <c r="I31" s="2"/>
      <c r="J31" s="2"/>
      <c r="K31" s="2"/>
    </row>
    <row r="32" spans="1:11" ht="24.95" customHeight="1">
      <c r="A32" s="2">
        <v>31</v>
      </c>
      <c r="B32" s="2"/>
      <c r="C32" s="2" t="s">
        <v>12</v>
      </c>
      <c r="D32" s="3">
        <v>46216</v>
      </c>
      <c r="E32" s="2" t="s">
        <v>13</v>
      </c>
      <c r="F32" s="2"/>
      <c r="G32" s="2"/>
      <c r="H32" s="2"/>
      <c r="I32" s="2"/>
      <c r="J32" s="2"/>
      <c r="K32" s="2"/>
    </row>
    <row r="33" spans="1:11" ht="24.95" customHeight="1">
      <c r="A33" s="2">
        <v>32</v>
      </c>
      <c r="B33" s="2"/>
      <c r="C33" s="2" t="s">
        <v>12</v>
      </c>
      <c r="D33" s="3">
        <v>46216</v>
      </c>
      <c r="E33" s="2" t="s">
        <v>13</v>
      </c>
      <c r="F33" s="2"/>
      <c r="G33" s="2"/>
      <c r="H33" s="2"/>
      <c r="I33" s="2"/>
      <c r="J33" s="2"/>
      <c r="K33" s="2"/>
    </row>
    <row r="34" spans="1:11">
      <c r="A34">
        <v>33</v>
      </c>
    </row>
    <row r="35" spans="1:11">
      <c r="A35">
        <v>34</v>
      </c>
    </row>
    <row r="36" spans="1:11">
      <c r="A36">
        <v>35</v>
      </c>
    </row>
    <row r="37" spans="1:11">
      <c r="A37">
        <v>36</v>
      </c>
    </row>
    <row r="38" spans="1:11">
      <c r="A38">
        <v>37</v>
      </c>
    </row>
    <row r="39" spans="1:11">
      <c r="A39">
        <v>38</v>
      </c>
    </row>
    <row r="40" spans="1:11">
      <c r="A40">
        <v>39</v>
      </c>
    </row>
    <row r="41" spans="1:11">
      <c r="A41">
        <v>40</v>
      </c>
    </row>
    <row r="42" spans="1:11">
      <c r="A42">
        <v>41</v>
      </c>
      <c r="B42" t="s">
        <v>30</v>
      </c>
      <c r="C42" t="s">
        <v>12</v>
      </c>
      <c r="D42" s="8">
        <v>46216</v>
      </c>
      <c r="E42" t="s">
        <v>13</v>
      </c>
      <c r="J42">
        <v>76.3</v>
      </c>
      <c r="K42">
        <v>1</v>
      </c>
    </row>
    <row r="43" spans="1:11">
      <c r="A43">
        <v>42</v>
      </c>
    </row>
    <row r="44" spans="1:11">
      <c r="A44">
        <v>43</v>
      </c>
    </row>
    <row r="45" spans="1:11">
      <c r="A45">
        <v>44</v>
      </c>
    </row>
    <row r="46" spans="1:11">
      <c r="A46">
        <v>45</v>
      </c>
      <c r="B46" t="s">
        <v>31</v>
      </c>
      <c r="C46" t="s">
        <v>12</v>
      </c>
      <c r="D46" s="8">
        <v>46216</v>
      </c>
      <c r="E46" t="s">
        <v>13</v>
      </c>
      <c r="J46">
        <v>104.4</v>
      </c>
      <c r="K46">
        <v>1</v>
      </c>
    </row>
    <row r="47" spans="1:11">
      <c r="A47">
        <v>46</v>
      </c>
    </row>
    <row r="48" spans="1:11">
      <c r="A48">
        <v>47</v>
      </c>
    </row>
    <row r="49" spans="1:1">
      <c r="A49">
        <v>48</v>
      </c>
    </row>
    <row r="50" spans="1:1">
      <c r="A50">
        <v>49</v>
      </c>
    </row>
    <row r="51" spans="1:1">
      <c r="A51">
        <v>50</v>
      </c>
    </row>
  </sheetData>
  <pageMargins left="0.7" right="0.7" top="0.75" bottom="0.75" header="0.3" footer="0.3"/>
  <pageSetup scale="64" orientation="landscape" horizontalDpi="0" verticalDpi="0" copies="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BCEE7-816C-6748-B7FC-20ACA4520862}">
  <dimension ref="A1:K41"/>
  <sheetViews>
    <sheetView zoomScaleNormal="150" zoomScaleSheetLayoutView="100" workbookViewId="0">
      <selection activeCell="E17" sqref="E17"/>
    </sheetView>
  </sheetViews>
  <sheetFormatPr defaultRowHeight="16.5"/>
  <cols>
    <col min="2" max="2" width="12.625" customWidth="1"/>
    <col min="3" max="3" width="17.625" customWidth="1"/>
    <col min="6" max="6" width="11.75" customWidth="1"/>
    <col min="7" max="7" width="11.125" customWidth="1"/>
    <col min="8" max="8" width="11.625" customWidth="1"/>
    <col min="9" max="9" width="11.5" customWidth="1"/>
    <col min="10" max="10" width="13.625" customWidth="1"/>
    <col min="11" max="11" width="14" customWidth="1"/>
  </cols>
  <sheetData>
    <row r="1" spans="1:11" ht="45">
      <c r="A1" s="1" t="s">
        <v>0</v>
      </c>
      <c r="B1" s="1" t="s">
        <v>1</v>
      </c>
      <c r="C1" s="1" t="s">
        <v>2</v>
      </c>
      <c r="D1" s="1" t="s">
        <v>3</v>
      </c>
      <c r="E1" s="1" t="s">
        <v>4</v>
      </c>
      <c r="F1" s="1" t="s">
        <v>5</v>
      </c>
      <c r="G1" s="1" t="s">
        <v>6</v>
      </c>
      <c r="H1" s="1" t="s">
        <v>7</v>
      </c>
      <c r="I1" s="1" t="s">
        <v>8</v>
      </c>
      <c r="J1" s="1" t="s">
        <v>9</v>
      </c>
      <c r="K1" s="1" t="s">
        <v>10</v>
      </c>
    </row>
    <row r="2" spans="1:11">
      <c r="A2" s="2">
        <v>1</v>
      </c>
      <c r="B2" s="2" t="s">
        <v>11</v>
      </c>
      <c r="C2" s="2" t="s">
        <v>12</v>
      </c>
      <c r="D2" s="3">
        <v>46223</v>
      </c>
      <c r="E2" s="2" t="s">
        <v>32</v>
      </c>
      <c r="F2" s="2">
        <v>147</v>
      </c>
      <c r="G2" s="2">
        <v>13</v>
      </c>
      <c r="H2" s="2">
        <v>30</v>
      </c>
      <c r="I2" s="2">
        <v>3</v>
      </c>
      <c r="J2" s="2">
        <v>77</v>
      </c>
      <c r="K2" s="2">
        <v>9</v>
      </c>
    </row>
    <row r="3" spans="1:11">
      <c r="A3" s="2">
        <v>2</v>
      </c>
      <c r="B3" s="2" t="s">
        <v>14</v>
      </c>
      <c r="C3" s="2" t="s">
        <v>12</v>
      </c>
      <c r="D3" s="3">
        <v>46223</v>
      </c>
      <c r="E3" s="2" t="s">
        <v>32</v>
      </c>
      <c r="F3" s="2">
        <v>437</v>
      </c>
      <c r="G3" s="2">
        <v>20</v>
      </c>
      <c r="H3" s="2">
        <v>21</v>
      </c>
      <c r="I3" s="2">
        <v>1</v>
      </c>
      <c r="J3" s="2">
        <v>188</v>
      </c>
      <c r="K3" s="2">
        <v>13</v>
      </c>
    </row>
    <row r="4" spans="1:11">
      <c r="A4" s="2">
        <v>3</v>
      </c>
      <c r="B4" s="2" t="s">
        <v>15</v>
      </c>
      <c r="C4" s="2" t="s">
        <v>12</v>
      </c>
      <c r="D4" s="3">
        <v>46223</v>
      </c>
      <c r="E4" s="2" t="s">
        <v>32</v>
      </c>
      <c r="F4" s="2">
        <v>133</v>
      </c>
      <c r="G4" s="2">
        <v>9</v>
      </c>
      <c r="H4" s="2">
        <v>39</v>
      </c>
      <c r="I4" s="2">
        <v>3</v>
      </c>
      <c r="J4" s="2">
        <v>36</v>
      </c>
      <c r="K4" s="2">
        <v>4</v>
      </c>
    </row>
    <row r="5" spans="1:11">
      <c r="A5" s="2">
        <v>4</v>
      </c>
      <c r="B5" s="2" t="s">
        <v>16</v>
      </c>
      <c r="C5" s="2" t="s">
        <v>12</v>
      </c>
      <c r="D5" s="3">
        <v>46223</v>
      </c>
      <c r="E5" s="2" t="s">
        <v>32</v>
      </c>
      <c r="F5" s="2">
        <v>170</v>
      </c>
      <c r="G5" s="2">
        <v>10</v>
      </c>
      <c r="H5" s="2">
        <v>17</v>
      </c>
      <c r="I5" s="2">
        <v>1</v>
      </c>
      <c r="J5" s="2">
        <v>47</v>
      </c>
      <c r="K5" s="2">
        <v>4</v>
      </c>
    </row>
    <row r="6" spans="1:11">
      <c r="A6" s="2">
        <v>5</v>
      </c>
      <c r="B6" s="2" t="s">
        <v>17</v>
      </c>
      <c r="C6" s="2" t="s">
        <v>12</v>
      </c>
      <c r="D6" s="3">
        <v>46223</v>
      </c>
      <c r="E6" s="2" t="s">
        <v>32</v>
      </c>
      <c r="F6" s="2">
        <v>122</v>
      </c>
      <c r="G6" s="2">
        <v>8</v>
      </c>
      <c r="H6" s="2">
        <v>26</v>
      </c>
      <c r="I6" s="2">
        <v>2</v>
      </c>
      <c r="J6" s="2">
        <v>41</v>
      </c>
      <c r="K6" s="2">
        <v>3</v>
      </c>
    </row>
    <row r="7" spans="1:11">
      <c r="A7" s="2">
        <v>6</v>
      </c>
      <c r="B7" s="2" t="s">
        <v>18</v>
      </c>
      <c r="C7" s="2" t="s">
        <v>12</v>
      </c>
      <c r="D7" s="3">
        <v>46223</v>
      </c>
      <c r="E7" s="2" t="s">
        <v>32</v>
      </c>
      <c r="F7" s="2">
        <v>95</v>
      </c>
      <c r="G7" s="2">
        <v>6</v>
      </c>
      <c r="H7" s="2">
        <v>27</v>
      </c>
      <c r="I7" s="2">
        <v>2</v>
      </c>
      <c r="J7" s="2">
        <v>26</v>
      </c>
      <c r="K7" s="2">
        <v>2</v>
      </c>
    </row>
    <row r="8" spans="1:11">
      <c r="A8" s="2">
        <v>7</v>
      </c>
      <c r="B8" s="2" t="s">
        <v>19</v>
      </c>
      <c r="C8" s="2" t="s">
        <v>12</v>
      </c>
      <c r="D8" s="3">
        <v>46223</v>
      </c>
      <c r="E8" s="2" t="s">
        <v>32</v>
      </c>
      <c r="F8" s="2">
        <v>146</v>
      </c>
      <c r="G8" s="2">
        <v>7</v>
      </c>
      <c r="H8" s="2"/>
      <c r="I8" s="2"/>
      <c r="J8" s="2">
        <v>76</v>
      </c>
      <c r="K8" s="2">
        <v>5</v>
      </c>
    </row>
    <row r="9" spans="1:11">
      <c r="A9" s="2">
        <v>8</v>
      </c>
      <c r="B9" s="2" t="s">
        <v>20</v>
      </c>
      <c r="C9" s="2" t="s">
        <v>12</v>
      </c>
      <c r="D9" s="3">
        <v>46223</v>
      </c>
      <c r="E9" s="2" t="s">
        <v>32</v>
      </c>
      <c r="F9" s="2">
        <v>121</v>
      </c>
      <c r="G9" s="2">
        <v>6</v>
      </c>
      <c r="H9" s="2">
        <v>18</v>
      </c>
      <c r="I9" s="2">
        <v>1</v>
      </c>
      <c r="J9" s="2">
        <v>21</v>
      </c>
      <c r="K9" s="2">
        <v>2</v>
      </c>
    </row>
    <row r="10" spans="1:11">
      <c r="A10" s="2">
        <v>9</v>
      </c>
      <c r="B10" s="2" t="s">
        <v>21</v>
      </c>
      <c r="C10" s="2" t="s">
        <v>12</v>
      </c>
      <c r="D10" s="3">
        <v>46223</v>
      </c>
      <c r="E10" s="2" t="s">
        <v>32</v>
      </c>
      <c r="F10" s="2">
        <v>225</v>
      </c>
      <c r="G10" s="2">
        <v>12</v>
      </c>
      <c r="H10" s="2">
        <v>20</v>
      </c>
      <c r="I10" s="2">
        <v>1</v>
      </c>
      <c r="J10" s="2">
        <v>10</v>
      </c>
      <c r="K10" s="2">
        <v>1</v>
      </c>
    </row>
    <row r="11" spans="1:11">
      <c r="A11" s="2">
        <v>10</v>
      </c>
      <c r="B11" s="2" t="s">
        <v>22</v>
      </c>
      <c r="C11" s="2" t="s">
        <v>12</v>
      </c>
      <c r="D11" s="3">
        <v>46223</v>
      </c>
      <c r="E11" s="2" t="s">
        <v>32</v>
      </c>
      <c r="F11" s="2">
        <v>123</v>
      </c>
      <c r="G11" s="2">
        <v>9</v>
      </c>
      <c r="H11" s="2">
        <v>7</v>
      </c>
      <c r="I11" s="2">
        <v>1</v>
      </c>
      <c r="J11" s="2">
        <v>40</v>
      </c>
      <c r="K11" s="2">
        <v>4</v>
      </c>
    </row>
    <row r="12" spans="1:11">
      <c r="A12" s="2">
        <v>11</v>
      </c>
      <c r="B12" s="2" t="s">
        <v>23</v>
      </c>
      <c r="C12" s="2" t="s">
        <v>12</v>
      </c>
      <c r="D12" s="3">
        <v>46223</v>
      </c>
      <c r="E12" s="2" t="s">
        <v>32</v>
      </c>
      <c r="F12" s="2">
        <v>202</v>
      </c>
      <c r="G12" s="2">
        <v>13</v>
      </c>
      <c r="H12" s="2"/>
      <c r="I12" s="2"/>
      <c r="J12" s="2">
        <v>13</v>
      </c>
      <c r="K12" s="2">
        <v>1</v>
      </c>
    </row>
    <row r="13" spans="1:11">
      <c r="A13" s="2">
        <v>12</v>
      </c>
      <c r="B13" s="2" t="s">
        <v>24</v>
      </c>
      <c r="C13" s="2" t="s">
        <v>12</v>
      </c>
      <c r="D13" s="3">
        <v>46223</v>
      </c>
      <c r="E13" s="2" t="s">
        <v>32</v>
      </c>
      <c r="F13" s="2">
        <v>328</v>
      </c>
      <c r="G13" s="2">
        <v>24</v>
      </c>
      <c r="H13" s="2"/>
      <c r="I13" s="2"/>
      <c r="J13" s="2">
        <v>80</v>
      </c>
      <c r="K13" s="2">
        <v>8</v>
      </c>
    </row>
    <row r="14" spans="1:11">
      <c r="A14" s="2">
        <v>13</v>
      </c>
      <c r="B14" s="2" t="s">
        <v>25</v>
      </c>
      <c r="C14" s="2" t="s">
        <v>12</v>
      </c>
      <c r="D14" s="3">
        <v>46223</v>
      </c>
      <c r="E14" s="2" t="s">
        <v>32</v>
      </c>
      <c r="F14" s="2">
        <v>36</v>
      </c>
      <c r="G14" s="2">
        <v>3</v>
      </c>
      <c r="H14" s="2"/>
      <c r="I14" s="2"/>
      <c r="J14" s="2">
        <v>17</v>
      </c>
      <c r="K14" s="2">
        <v>2</v>
      </c>
    </row>
    <row r="15" spans="1:11">
      <c r="A15" s="2">
        <v>14</v>
      </c>
      <c r="B15" s="2" t="s">
        <v>26</v>
      </c>
      <c r="C15" s="2" t="s">
        <v>12</v>
      </c>
      <c r="D15" s="3">
        <v>46223</v>
      </c>
      <c r="E15" s="2" t="s">
        <v>32</v>
      </c>
      <c r="F15" s="2">
        <v>191</v>
      </c>
      <c r="G15" s="2">
        <v>12</v>
      </c>
      <c r="H15" s="2"/>
      <c r="I15" s="2"/>
      <c r="J15" s="2">
        <v>51</v>
      </c>
      <c r="K15" s="2">
        <v>4</v>
      </c>
    </row>
    <row r="16" spans="1:11">
      <c r="A16" s="2"/>
      <c r="B16" s="2"/>
      <c r="C16" s="2"/>
      <c r="D16" s="3"/>
      <c r="E16" s="2"/>
      <c r="F16" s="2"/>
      <c r="G16" s="2"/>
      <c r="H16" s="2"/>
      <c r="I16" s="2"/>
      <c r="J16" s="2"/>
      <c r="K16" s="2"/>
    </row>
    <row r="17" spans="1:11">
      <c r="A17" s="2"/>
      <c r="B17" s="2"/>
      <c r="C17" s="2"/>
      <c r="D17" s="3"/>
      <c r="E17" s="2"/>
      <c r="F17" s="2"/>
      <c r="G17" s="2"/>
      <c r="H17" s="2"/>
      <c r="I17" s="2"/>
      <c r="J17" s="2"/>
      <c r="K17" s="2"/>
    </row>
    <row r="18" spans="1:11">
      <c r="A18" s="2">
        <v>17</v>
      </c>
      <c r="B18" s="2" t="s">
        <v>27</v>
      </c>
      <c r="C18" s="2" t="s">
        <v>12</v>
      </c>
      <c r="D18" s="3">
        <v>46223</v>
      </c>
      <c r="E18" s="2" t="s">
        <v>32</v>
      </c>
      <c r="F18" s="2">
        <v>263</v>
      </c>
      <c r="G18" s="2">
        <v>15</v>
      </c>
      <c r="H18" s="2">
        <v>36</v>
      </c>
      <c r="I18" s="2">
        <v>2</v>
      </c>
      <c r="J18" s="2">
        <v>72</v>
      </c>
      <c r="K18" s="2">
        <v>7</v>
      </c>
    </row>
    <row r="19" spans="1:11">
      <c r="A19" s="2">
        <v>18</v>
      </c>
      <c r="B19" s="2" t="s">
        <v>33</v>
      </c>
      <c r="C19" s="2" t="s">
        <v>12</v>
      </c>
      <c r="D19" s="3">
        <v>46223</v>
      </c>
      <c r="E19" s="2" t="s">
        <v>13</v>
      </c>
      <c r="F19" s="2">
        <v>137</v>
      </c>
      <c r="G19" s="2">
        <v>2</v>
      </c>
      <c r="H19" s="2">
        <v>65</v>
      </c>
      <c r="I19" s="2">
        <v>1</v>
      </c>
      <c r="J19" s="2">
        <v>297</v>
      </c>
      <c r="K19" s="2">
        <v>5</v>
      </c>
    </row>
    <row r="20" spans="1:11">
      <c r="A20" s="2">
        <v>19</v>
      </c>
      <c r="B20" s="2" t="s">
        <v>28</v>
      </c>
      <c r="C20" s="2" t="s">
        <v>12</v>
      </c>
      <c r="D20" s="3">
        <v>46223</v>
      </c>
      <c r="E20" s="2" t="s">
        <v>32</v>
      </c>
      <c r="F20" s="2">
        <v>410</v>
      </c>
      <c r="G20" s="2">
        <v>25</v>
      </c>
      <c r="H20" s="2">
        <v>114</v>
      </c>
      <c r="I20" s="2">
        <v>8</v>
      </c>
      <c r="J20" s="2">
        <v>179</v>
      </c>
      <c r="K20" s="2">
        <v>18</v>
      </c>
    </row>
    <row r="21" spans="1:11">
      <c r="A21" s="2">
        <v>20</v>
      </c>
      <c r="B21" s="2" t="s">
        <v>34</v>
      </c>
      <c r="C21" s="2" t="s">
        <v>12</v>
      </c>
      <c r="D21" s="3">
        <v>46223</v>
      </c>
      <c r="E21" s="2" t="s">
        <v>32</v>
      </c>
      <c r="F21" s="2"/>
      <c r="G21" s="2"/>
      <c r="H21" s="2">
        <v>575</v>
      </c>
      <c r="I21" s="2">
        <v>2</v>
      </c>
      <c r="J21" s="2"/>
      <c r="K21" s="2"/>
    </row>
    <row r="22" spans="1:11">
      <c r="A22" s="2"/>
      <c r="B22" s="2"/>
      <c r="C22" s="2"/>
      <c r="D22" s="2"/>
      <c r="E22" s="2"/>
      <c r="F22" s="2"/>
      <c r="G22" s="2"/>
      <c r="H22" s="2"/>
      <c r="I22" s="2"/>
      <c r="J22" s="2"/>
      <c r="K22" s="2"/>
    </row>
    <row r="23" spans="1:11">
      <c r="A23" s="2"/>
      <c r="B23" s="2"/>
      <c r="C23" s="2"/>
      <c r="D23" s="2"/>
      <c r="E23" s="2"/>
      <c r="F23" s="2"/>
      <c r="G23" s="2"/>
      <c r="H23" s="2"/>
      <c r="I23" s="2"/>
      <c r="J23" s="2"/>
      <c r="K23" s="2"/>
    </row>
    <row r="24" spans="1:11">
      <c r="A24" s="2">
        <v>23</v>
      </c>
      <c r="B24" s="2" t="s">
        <v>35</v>
      </c>
      <c r="C24" s="2" t="s">
        <v>12</v>
      </c>
      <c r="D24" s="3">
        <v>46223</v>
      </c>
      <c r="E24" s="2" t="s">
        <v>13</v>
      </c>
      <c r="F24" s="2"/>
      <c r="G24" s="2"/>
      <c r="H24" s="2">
        <v>375</v>
      </c>
      <c r="I24" s="2">
        <v>1</v>
      </c>
      <c r="J24" s="2"/>
      <c r="K24" s="2"/>
    </row>
    <row r="25" spans="1:11">
      <c r="A25" s="2">
        <v>24</v>
      </c>
      <c r="B25" s="2" t="s">
        <v>29</v>
      </c>
      <c r="C25" s="2" t="s">
        <v>12</v>
      </c>
      <c r="D25" s="3">
        <v>46223</v>
      </c>
      <c r="E25" s="2" t="s">
        <v>32</v>
      </c>
      <c r="F25" s="2"/>
      <c r="G25" s="2"/>
      <c r="H25" s="2">
        <v>484</v>
      </c>
      <c r="I25" s="2">
        <v>1</v>
      </c>
      <c r="J25" s="2"/>
      <c r="K25" s="2"/>
    </row>
    <row r="26" spans="1:11">
      <c r="A26" s="2"/>
      <c r="B26" s="2"/>
      <c r="C26" s="2"/>
      <c r="D26" s="2"/>
      <c r="E26" s="2"/>
      <c r="F26" s="2"/>
      <c r="G26" s="2"/>
      <c r="H26" s="2"/>
      <c r="I26" s="2"/>
      <c r="J26" s="2"/>
      <c r="K26" s="2"/>
    </row>
    <row r="27" spans="1:11">
      <c r="A27" s="2"/>
      <c r="B27" s="2"/>
      <c r="C27" s="2"/>
      <c r="D27" s="2"/>
      <c r="E27" s="2"/>
      <c r="F27" s="2"/>
      <c r="G27" s="2"/>
      <c r="H27" s="2"/>
      <c r="I27" s="2"/>
      <c r="J27" s="2"/>
      <c r="K27" s="2"/>
    </row>
    <row r="28" spans="1:11">
      <c r="A28" s="2"/>
      <c r="B28" s="2"/>
      <c r="C28" s="2"/>
      <c r="D28" s="2"/>
      <c r="E28" s="2"/>
      <c r="F28" s="2"/>
      <c r="G28" s="2"/>
      <c r="H28" s="2"/>
      <c r="I28" s="2"/>
      <c r="J28" s="2"/>
      <c r="K28" s="2"/>
    </row>
    <row r="29" spans="1:11">
      <c r="A29" s="2"/>
      <c r="B29" s="2"/>
      <c r="C29" s="2"/>
      <c r="D29" s="2"/>
      <c r="E29" s="2"/>
      <c r="F29" s="2"/>
      <c r="G29" s="2"/>
      <c r="H29" s="2"/>
      <c r="I29" s="2"/>
      <c r="J29" s="2"/>
      <c r="K29" s="2"/>
    </row>
    <row r="30" spans="1:11">
      <c r="A30" s="2"/>
      <c r="B30" s="2"/>
      <c r="C30" s="2"/>
      <c r="D30" s="2"/>
      <c r="E30" s="2"/>
      <c r="F30" s="2"/>
      <c r="G30" s="2"/>
      <c r="H30" s="2"/>
      <c r="I30" s="2"/>
      <c r="J30" s="2"/>
      <c r="K30" s="2"/>
    </row>
    <row r="31" spans="1:11">
      <c r="A31" s="2"/>
      <c r="B31" s="2"/>
      <c r="C31" s="2"/>
      <c r="D31" s="2"/>
      <c r="E31" s="2"/>
      <c r="F31" s="2"/>
      <c r="G31" s="2"/>
      <c r="H31" s="2"/>
      <c r="I31" s="2"/>
      <c r="J31" s="2"/>
      <c r="K31" s="2"/>
    </row>
    <row r="32" spans="1:11">
      <c r="A32" s="2"/>
      <c r="B32" s="2"/>
      <c r="C32" s="2"/>
      <c r="D32" s="2"/>
      <c r="E32" s="2"/>
      <c r="F32" s="2"/>
      <c r="G32" s="2"/>
      <c r="H32" s="2"/>
      <c r="I32" s="2"/>
      <c r="J32" s="2"/>
      <c r="K32" s="2"/>
    </row>
    <row r="33" spans="1:11">
      <c r="A33" s="2"/>
      <c r="B33" s="2"/>
      <c r="C33" s="2"/>
      <c r="D33" s="2"/>
      <c r="E33" s="2"/>
      <c r="F33" s="2"/>
      <c r="G33" s="2"/>
      <c r="H33" s="2"/>
      <c r="I33" s="2"/>
      <c r="J33" s="2"/>
      <c r="K33" s="2"/>
    </row>
    <row r="34" spans="1:11">
      <c r="E34" s="2"/>
    </row>
    <row r="35" spans="1:11">
      <c r="E35" s="2"/>
    </row>
    <row r="36" spans="1:11">
      <c r="E36" s="2"/>
    </row>
    <row r="37" spans="1:11">
      <c r="E37" s="2"/>
    </row>
    <row r="38" spans="1:11">
      <c r="E38" s="2"/>
    </row>
    <row r="39" spans="1:11">
      <c r="E39" s="2"/>
    </row>
    <row r="40" spans="1:11">
      <c r="E40" s="2"/>
    </row>
    <row r="41" spans="1:11">
      <c r="E4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64CA-6079-7743-8DB1-CEBB3CD31086}">
  <dimension ref="A1:K51"/>
  <sheetViews>
    <sheetView zoomScaleNormal="150" zoomScaleSheetLayoutView="100" workbookViewId="0">
      <selection sqref="A1:K51"/>
    </sheetView>
  </sheetViews>
  <sheetFormatPr defaultColWidth="8.875" defaultRowHeight="16.5"/>
  <cols>
    <col min="2" max="2" width="13.375" customWidth="1"/>
    <col min="3" max="3" width="13.25" customWidth="1"/>
    <col min="6" max="6" width="12.25" customWidth="1"/>
    <col min="7" max="8" width="11.75" customWidth="1"/>
    <col min="9" max="9" width="12.25" customWidth="1"/>
    <col min="10" max="10" width="14.5" customWidth="1"/>
    <col min="11" max="11" width="15.125" customWidth="1"/>
  </cols>
  <sheetData>
    <row r="1" spans="1:11" ht="45">
      <c r="A1" s="25" t="s">
        <v>0</v>
      </c>
      <c r="B1" s="25" t="s">
        <v>1</v>
      </c>
      <c r="C1" s="25" t="s">
        <v>2</v>
      </c>
      <c r="D1" s="25" t="s">
        <v>3</v>
      </c>
      <c r="E1" s="25" t="s">
        <v>4</v>
      </c>
      <c r="F1" s="25" t="s">
        <v>5</v>
      </c>
      <c r="G1" s="25" t="s">
        <v>6</v>
      </c>
      <c r="H1" s="25" t="s">
        <v>7</v>
      </c>
      <c r="I1" s="25" t="s">
        <v>8</v>
      </c>
      <c r="J1" s="25" t="s">
        <v>9</v>
      </c>
      <c r="K1" s="25" t="s">
        <v>10</v>
      </c>
    </row>
    <row r="2" spans="1:11">
      <c r="A2" s="2">
        <v>1</v>
      </c>
      <c r="B2" s="2" t="s">
        <v>11</v>
      </c>
      <c r="C2" s="2" t="s">
        <v>12</v>
      </c>
      <c r="D2" s="3">
        <v>46230</v>
      </c>
      <c r="E2" s="2" t="s">
        <v>36</v>
      </c>
      <c r="F2" s="2">
        <v>100.4</v>
      </c>
      <c r="G2" s="2">
        <v>9</v>
      </c>
      <c r="H2" s="2">
        <v>52.2</v>
      </c>
      <c r="I2" s="2">
        <v>5</v>
      </c>
      <c r="J2" s="2"/>
      <c r="K2" s="2"/>
    </row>
    <row r="3" spans="1:11">
      <c r="A3" s="2">
        <v>2</v>
      </c>
      <c r="B3" s="2" t="s">
        <v>14</v>
      </c>
      <c r="C3" s="2" t="s">
        <v>12</v>
      </c>
      <c r="D3" s="3">
        <v>46230</v>
      </c>
      <c r="E3" s="2" t="s">
        <v>36</v>
      </c>
      <c r="F3" s="2">
        <v>498.3</v>
      </c>
      <c r="G3" s="2">
        <v>25</v>
      </c>
      <c r="H3" s="2">
        <v>212.2</v>
      </c>
      <c r="I3" s="2">
        <v>10</v>
      </c>
      <c r="J3" s="2"/>
      <c r="K3" s="2"/>
    </row>
    <row r="4" spans="1:11">
      <c r="A4" s="2">
        <v>3</v>
      </c>
      <c r="B4" s="2" t="s">
        <v>15</v>
      </c>
      <c r="C4" s="2" t="s">
        <v>12</v>
      </c>
      <c r="D4" s="3">
        <v>46230</v>
      </c>
      <c r="E4" s="2" t="s">
        <v>36</v>
      </c>
      <c r="F4" s="2">
        <v>182.2</v>
      </c>
      <c r="G4" s="2">
        <v>14</v>
      </c>
      <c r="H4" s="2">
        <v>202.6</v>
      </c>
      <c r="I4" s="2">
        <v>16</v>
      </c>
      <c r="J4" s="2">
        <v>13.4</v>
      </c>
      <c r="K4" s="2">
        <v>1</v>
      </c>
    </row>
    <row r="5" spans="1:11">
      <c r="A5" s="2">
        <v>4</v>
      </c>
      <c r="B5" s="2" t="s">
        <v>16</v>
      </c>
      <c r="C5" s="2" t="s">
        <v>12</v>
      </c>
      <c r="D5" s="3">
        <v>46230</v>
      </c>
      <c r="E5" s="2" t="s">
        <v>36</v>
      </c>
      <c r="F5" s="2">
        <v>204</v>
      </c>
      <c r="G5" s="2">
        <v>12</v>
      </c>
      <c r="H5" s="2">
        <v>159.19999999999999</v>
      </c>
      <c r="I5" s="2">
        <v>10</v>
      </c>
      <c r="J5" s="2">
        <v>28.9</v>
      </c>
      <c r="K5" s="2">
        <v>2</v>
      </c>
    </row>
    <row r="6" spans="1:11">
      <c r="A6" s="2">
        <v>5</v>
      </c>
      <c r="B6" s="2" t="s">
        <v>17</v>
      </c>
      <c r="C6" s="2" t="s">
        <v>12</v>
      </c>
      <c r="D6" s="3">
        <v>46230</v>
      </c>
      <c r="E6" s="2" t="s">
        <v>36</v>
      </c>
      <c r="F6" s="2">
        <v>71.7</v>
      </c>
      <c r="G6" s="2">
        <v>6</v>
      </c>
      <c r="H6" s="2">
        <v>20.7</v>
      </c>
      <c r="I6" s="2">
        <v>2</v>
      </c>
      <c r="J6" s="2"/>
      <c r="K6" s="2"/>
    </row>
    <row r="7" spans="1:11">
      <c r="A7" s="2">
        <v>6</v>
      </c>
      <c r="B7" s="2" t="s">
        <v>18</v>
      </c>
      <c r="C7" s="2" t="s">
        <v>12</v>
      </c>
      <c r="D7" s="3">
        <v>46230</v>
      </c>
      <c r="E7" s="2" t="s">
        <v>36</v>
      </c>
      <c r="F7" s="2">
        <v>169</v>
      </c>
      <c r="G7" s="2">
        <v>12</v>
      </c>
      <c r="H7" s="2"/>
      <c r="I7" s="2"/>
      <c r="J7" s="2"/>
      <c r="K7" s="2"/>
    </row>
    <row r="8" spans="1:11">
      <c r="A8" s="2">
        <v>7</v>
      </c>
      <c r="B8" s="2" t="s">
        <v>19</v>
      </c>
      <c r="C8" s="2" t="s">
        <v>12</v>
      </c>
      <c r="D8" s="3">
        <v>46230</v>
      </c>
      <c r="E8" s="2" t="s">
        <v>36</v>
      </c>
      <c r="F8" s="2">
        <v>217.9</v>
      </c>
      <c r="G8" s="2">
        <v>12</v>
      </c>
      <c r="H8" s="2">
        <v>130.5</v>
      </c>
      <c r="I8" s="2">
        <v>7</v>
      </c>
      <c r="J8" s="2"/>
      <c r="K8" s="2"/>
    </row>
    <row r="9" spans="1:11">
      <c r="A9" s="2">
        <v>8</v>
      </c>
      <c r="B9" s="2" t="s">
        <v>20</v>
      </c>
      <c r="C9" s="2" t="s">
        <v>12</v>
      </c>
      <c r="D9" s="3">
        <v>46230</v>
      </c>
      <c r="E9" s="2" t="s">
        <v>36</v>
      </c>
      <c r="F9" s="2">
        <v>185.6</v>
      </c>
      <c r="G9" s="2">
        <v>11</v>
      </c>
      <c r="H9" s="2">
        <v>130.9</v>
      </c>
      <c r="I9" s="2">
        <v>7</v>
      </c>
      <c r="J9" s="2"/>
      <c r="K9" s="2"/>
    </row>
    <row r="10" spans="1:11">
      <c r="A10" s="2">
        <v>9</v>
      </c>
      <c r="B10" s="2" t="s">
        <v>21</v>
      </c>
      <c r="C10" s="2" t="s">
        <v>12</v>
      </c>
      <c r="D10" s="3">
        <v>46230</v>
      </c>
      <c r="E10" s="2" t="s">
        <v>36</v>
      </c>
      <c r="F10" s="2">
        <v>232.6</v>
      </c>
      <c r="G10" s="2">
        <v>12</v>
      </c>
      <c r="H10" s="2">
        <v>182.1</v>
      </c>
      <c r="I10" s="2">
        <v>10</v>
      </c>
      <c r="J10" s="2"/>
      <c r="K10" s="2"/>
    </row>
    <row r="11" spans="1:11">
      <c r="A11" s="2">
        <v>10</v>
      </c>
      <c r="B11" s="2" t="s">
        <v>22</v>
      </c>
      <c r="C11" s="2" t="s">
        <v>12</v>
      </c>
      <c r="D11" s="3">
        <v>46230</v>
      </c>
      <c r="E11" s="2" t="s">
        <v>36</v>
      </c>
      <c r="F11" s="2">
        <v>432.7</v>
      </c>
      <c r="G11" s="2">
        <v>28</v>
      </c>
      <c r="H11" s="2">
        <v>102.1</v>
      </c>
      <c r="I11" s="2">
        <v>7</v>
      </c>
      <c r="J11" s="2">
        <v>48.5</v>
      </c>
      <c r="K11" s="2">
        <v>5</v>
      </c>
    </row>
    <row r="12" spans="1:11">
      <c r="A12" s="2">
        <v>11</v>
      </c>
      <c r="B12" s="2" t="s">
        <v>23</v>
      </c>
      <c r="C12" s="2" t="s">
        <v>12</v>
      </c>
      <c r="D12" s="3">
        <v>46230</v>
      </c>
      <c r="E12" s="2" t="s">
        <v>36</v>
      </c>
      <c r="F12" s="2">
        <v>298.8</v>
      </c>
      <c r="G12" s="2">
        <v>21</v>
      </c>
      <c r="H12" s="2">
        <v>105</v>
      </c>
      <c r="I12" s="2">
        <v>8</v>
      </c>
      <c r="J12" s="2">
        <v>99.4</v>
      </c>
      <c r="K12" s="2">
        <v>10</v>
      </c>
    </row>
    <row r="13" spans="1:11">
      <c r="A13" s="2">
        <v>12</v>
      </c>
      <c r="B13" s="2" t="s">
        <v>24</v>
      </c>
      <c r="C13" s="2" t="s">
        <v>12</v>
      </c>
      <c r="D13" s="3">
        <v>46230</v>
      </c>
      <c r="E13" s="2" t="s">
        <v>36</v>
      </c>
      <c r="F13" s="2">
        <v>250.6</v>
      </c>
      <c r="G13" s="2">
        <v>17</v>
      </c>
      <c r="H13" s="2">
        <v>120.1</v>
      </c>
      <c r="I13" s="2">
        <v>8</v>
      </c>
      <c r="J13" s="2">
        <v>217.9</v>
      </c>
      <c r="K13" s="2">
        <v>18</v>
      </c>
    </row>
    <row r="14" spans="1:11">
      <c r="A14" s="2">
        <v>13</v>
      </c>
      <c r="B14" s="2" t="s">
        <v>25</v>
      </c>
      <c r="C14" s="2" t="s">
        <v>12</v>
      </c>
      <c r="D14" s="3">
        <v>46230</v>
      </c>
      <c r="E14" s="2" t="s">
        <v>36</v>
      </c>
      <c r="F14" s="2">
        <v>370.5</v>
      </c>
      <c r="G14" s="2">
        <v>26</v>
      </c>
      <c r="H14" s="2">
        <v>219.7</v>
      </c>
      <c r="I14" s="2">
        <v>14</v>
      </c>
      <c r="J14" s="2">
        <v>371.7</v>
      </c>
      <c r="K14" s="2">
        <v>29</v>
      </c>
    </row>
    <row r="15" spans="1:11">
      <c r="A15" s="2">
        <v>14</v>
      </c>
      <c r="B15" s="2" t="s">
        <v>26</v>
      </c>
      <c r="C15" s="2" t="s">
        <v>12</v>
      </c>
      <c r="D15" s="3">
        <v>46230</v>
      </c>
      <c r="E15" s="2" t="s">
        <v>36</v>
      </c>
      <c r="F15" s="2">
        <v>291.39999999999998</v>
      </c>
      <c r="G15" s="2">
        <v>20</v>
      </c>
      <c r="H15" s="2">
        <v>132.6</v>
      </c>
      <c r="I15" s="2">
        <v>9</v>
      </c>
      <c r="J15" s="2">
        <v>350.5</v>
      </c>
      <c r="K15" s="2">
        <v>27</v>
      </c>
    </row>
    <row r="16" spans="1:11">
      <c r="A16" s="2">
        <v>15</v>
      </c>
      <c r="B16" s="20" t="s">
        <v>37</v>
      </c>
      <c r="C16" s="2" t="s">
        <v>12</v>
      </c>
      <c r="D16" s="3">
        <v>46231</v>
      </c>
      <c r="E16" s="2" t="s">
        <v>13</v>
      </c>
      <c r="F16" s="2">
        <v>60</v>
      </c>
      <c r="G16" s="2">
        <v>3</v>
      </c>
      <c r="H16" s="2">
        <v>205</v>
      </c>
      <c r="I16" s="2">
        <v>11</v>
      </c>
      <c r="J16" s="2">
        <v>114</v>
      </c>
      <c r="K16" s="2">
        <v>13</v>
      </c>
    </row>
    <row r="17" spans="1:11">
      <c r="A17" s="2">
        <v>16</v>
      </c>
      <c r="B17" s="20" t="s">
        <v>38</v>
      </c>
      <c r="C17" s="2" t="s">
        <v>12</v>
      </c>
      <c r="D17" s="3">
        <v>46231</v>
      </c>
      <c r="E17" s="2" t="s">
        <v>13</v>
      </c>
      <c r="F17" s="2">
        <v>16</v>
      </c>
      <c r="G17" s="2">
        <v>2</v>
      </c>
      <c r="H17" s="2">
        <v>8</v>
      </c>
      <c r="I17" s="2">
        <v>1</v>
      </c>
      <c r="J17" s="2">
        <v>16</v>
      </c>
      <c r="K17" s="2">
        <v>2</v>
      </c>
    </row>
    <row r="18" spans="1:11">
      <c r="A18" s="2">
        <v>17</v>
      </c>
      <c r="B18" s="2" t="s">
        <v>27</v>
      </c>
      <c r="C18" s="2" t="s">
        <v>12</v>
      </c>
      <c r="D18" s="3">
        <v>46230</v>
      </c>
      <c r="E18" s="2" t="s">
        <v>36</v>
      </c>
      <c r="F18" s="2">
        <v>110</v>
      </c>
      <c r="G18" s="2">
        <v>6</v>
      </c>
      <c r="H18" s="2">
        <v>148</v>
      </c>
      <c r="I18" s="2">
        <v>9</v>
      </c>
      <c r="J18" s="2">
        <v>171.8</v>
      </c>
      <c r="K18" s="2">
        <v>15</v>
      </c>
    </row>
    <row r="19" spans="1:11">
      <c r="A19" s="2">
        <v>18</v>
      </c>
      <c r="B19" s="2" t="s">
        <v>33</v>
      </c>
      <c r="C19" s="2" t="s">
        <v>12</v>
      </c>
      <c r="D19" s="3">
        <v>46230</v>
      </c>
      <c r="E19" s="2" t="s">
        <v>32</v>
      </c>
      <c r="F19" s="2">
        <v>68.400000000000006</v>
      </c>
      <c r="G19" s="2">
        <v>1</v>
      </c>
      <c r="H19" s="2">
        <v>501.4</v>
      </c>
      <c r="I19" s="2">
        <v>6</v>
      </c>
      <c r="J19" s="2">
        <v>620.79999999999995</v>
      </c>
      <c r="K19" s="2">
        <v>11</v>
      </c>
    </row>
    <row r="20" spans="1:11">
      <c r="A20" s="2">
        <v>19</v>
      </c>
      <c r="B20" s="2" t="s">
        <v>28</v>
      </c>
      <c r="C20" s="2" t="s">
        <v>12</v>
      </c>
      <c r="D20" s="3">
        <v>46230</v>
      </c>
      <c r="E20" s="2" t="s">
        <v>36</v>
      </c>
      <c r="F20" s="2">
        <v>684.8</v>
      </c>
      <c r="G20" s="2">
        <v>47</v>
      </c>
      <c r="H20" s="2">
        <v>266.2</v>
      </c>
      <c r="I20" s="2">
        <v>22</v>
      </c>
      <c r="J20" s="2">
        <v>497.4</v>
      </c>
      <c r="K20" s="2">
        <v>49</v>
      </c>
    </row>
    <row r="21" spans="1:11">
      <c r="A21" s="2">
        <v>20</v>
      </c>
      <c r="B21" s="20" t="s">
        <v>34</v>
      </c>
      <c r="C21" s="2" t="s">
        <v>12</v>
      </c>
      <c r="D21" s="21">
        <v>46231</v>
      </c>
      <c r="E21" s="2" t="s">
        <v>36</v>
      </c>
      <c r="F21" s="2"/>
      <c r="G21" s="2"/>
      <c r="H21" s="2">
        <v>1485</v>
      </c>
      <c r="I21" s="2">
        <v>5</v>
      </c>
      <c r="J21" s="2">
        <v>415</v>
      </c>
      <c r="K21" s="2">
        <v>2</v>
      </c>
    </row>
    <row r="22" spans="1:11">
      <c r="A22" s="2">
        <v>21</v>
      </c>
      <c r="B22" s="20" t="s">
        <v>39</v>
      </c>
      <c r="C22" s="2" t="s">
        <v>12</v>
      </c>
      <c r="D22" s="21">
        <v>46231</v>
      </c>
      <c r="E22" s="2" t="s">
        <v>13</v>
      </c>
      <c r="F22" s="2">
        <v>830</v>
      </c>
      <c r="G22" s="2">
        <v>2</v>
      </c>
      <c r="H22" s="2">
        <v>1738</v>
      </c>
      <c r="I22" s="2">
        <v>4</v>
      </c>
      <c r="J22" s="2">
        <v>1470</v>
      </c>
      <c r="K22" s="2">
        <v>5</v>
      </c>
    </row>
    <row r="23" spans="1:11">
      <c r="A23" s="2">
        <v>22</v>
      </c>
      <c r="B23" s="20" t="s">
        <v>40</v>
      </c>
      <c r="C23" s="2" t="s">
        <v>12</v>
      </c>
      <c r="D23" s="21">
        <v>46231</v>
      </c>
      <c r="E23" s="2" t="s">
        <v>13</v>
      </c>
      <c r="F23" s="2"/>
      <c r="G23" s="2"/>
      <c r="H23" s="2">
        <v>627</v>
      </c>
      <c r="I23" s="2">
        <v>2</v>
      </c>
      <c r="J23" s="2">
        <v>2285</v>
      </c>
      <c r="K23" s="2">
        <v>9</v>
      </c>
    </row>
    <row r="24" spans="1:11">
      <c r="A24" s="2">
        <v>23</v>
      </c>
      <c r="B24" s="20" t="s">
        <v>35</v>
      </c>
      <c r="C24" s="2" t="s">
        <v>12</v>
      </c>
      <c r="D24" s="21">
        <v>46231</v>
      </c>
      <c r="E24" s="2" t="s">
        <v>32</v>
      </c>
      <c r="F24" s="2">
        <v>1058</v>
      </c>
      <c r="G24" s="2">
        <v>3</v>
      </c>
      <c r="H24" s="2">
        <v>1508</v>
      </c>
      <c r="I24" s="2">
        <v>5</v>
      </c>
      <c r="J24" s="2">
        <v>445</v>
      </c>
      <c r="K24" s="2">
        <v>2</v>
      </c>
    </row>
    <row r="25" spans="1:11">
      <c r="A25" s="2">
        <v>24</v>
      </c>
      <c r="B25" s="20" t="s">
        <v>29</v>
      </c>
      <c r="C25" s="2" t="s">
        <v>12</v>
      </c>
      <c r="D25" s="21">
        <v>46231</v>
      </c>
      <c r="E25" s="2" t="s">
        <v>36</v>
      </c>
      <c r="F25" s="2">
        <v>893</v>
      </c>
      <c r="G25" s="2">
        <v>2</v>
      </c>
      <c r="H25" s="2">
        <v>564</v>
      </c>
      <c r="I25" s="2">
        <v>2</v>
      </c>
      <c r="J25" s="2">
        <v>422</v>
      </c>
      <c r="K25" s="2">
        <v>2</v>
      </c>
    </row>
    <row r="26" spans="1:11">
      <c r="A26" s="2">
        <v>25</v>
      </c>
      <c r="B26" s="2" t="s">
        <v>41</v>
      </c>
      <c r="C26" s="2" t="s">
        <v>12</v>
      </c>
      <c r="D26" s="3">
        <v>46230</v>
      </c>
      <c r="E26" s="2" t="s">
        <v>13</v>
      </c>
      <c r="F26" s="2">
        <v>337.6</v>
      </c>
      <c r="G26" s="2">
        <v>1</v>
      </c>
      <c r="H26" s="2">
        <v>288.60000000000002</v>
      </c>
      <c r="I26" s="2">
        <v>1</v>
      </c>
      <c r="J26" s="2">
        <v>1325.7</v>
      </c>
      <c r="K26" s="2">
        <v>6</v>
      </c>
    </row>
    <row r="27" spans="1:11">
      <c r="A27" s="2">
        <v>26</v>
      </c>
      <c r="B27" s="2" t="s">
        <v>42</v>
      </c>
      <c r="C27" s="2" t="s">
        <v>12</v>
      </c>
      <c r="D27" s="3">
        <v>46230</v>
      </c>
      <c r="E27" s="2" t="s">
        <v>13</v>
      </c>
      <c r="F27" s="2">
        <v>278.2</v>
      </c>
      <c r="G27" s="2">
        <v>1</v>
      </c>
      <c r="H27" s="2">
        <v>134.69999999999999</v>
      </c>
      <c r="I27">
        <v>1</v>
      </c>
      <c r="J27" s="2">
        <v>479.5</v>
      </c>
      <c r="K27" s="2">
        <v>2</v>
      </c>
    </row>
    <row r="28" spans="1:11">
      <c r="A28" s="2">
        <v>27</v>
      </c>
      <c r="B28" s="22" t="s">
        <v>43</v>
      </c>
      <c r="C28" s="2" t="s">
        <v>12</v>
      </c>
      <c r="D28" s="3">
        <v>46230</v>
      </c>
      <c r="E28" s="2" t="s">
        <v>13</v>
      </c>
      <c r="F28" s="2">
        <v>237.8</v>
      </c>
      <c r="G28" s="2">
        <v>1</v>
      </c>
      <c r="H28" s="2">
        <v>1171.5999999999999</v>
      </c>
      <c r="I28" s="2">
        <v>6</v>
      </c>
      <c r="J28" s="2">
        <v>2228.1</v>
      </c>
      <c r="K28" s="2">
        <v>13</v>
      </c>
    </row>
    <row r="29" spans="1:11">
      <c r="A29" s="2">
        <v>28</v>
      </c>
      <c r="B29" s="20" t="s">
        <v>44</v>
      </c>
      <c r="C29" s="2" t="s">
        <v>12</v>
      </c>
      <c r="D29" s="21">
        <v>46231</v>
      </c>
      <c r="E29" s="2" t="s">
        <v>13</v>
      </c>
      <c r="F29" s="2"/>
      <c r="G29" s="2"/>
      <c r="H29" s="2">
        <v>1713</v>
      </c>
      <c r="I29" s="2">
        <v>3</v>
      </c>
      <c r="J29" s="2">
        <v>2322</v>
      </c>
      <c r="K29" s="2">
        <v>10</v>
      </c>
    </row>
    <row r="30" spans="1:11">
      <c r="A30" s="2">
        <v>29</v>
      </c>
      <c r="B30" s="20" t="s">
        <v>45</v>
      </c>
      <c r="C30" s="2" t="s">
        <v>12</v>
      </c>
      <c r="D30" s="21">
        <v>46231</v>
      </c>
      <c r="E30" s="2" t="s">
        <v>13</v>
      </c>
      <c r="F30" s="2"/>
      <c r="G30" s="2"/>
      <c r="H30" s="2">
        <v>1036</v>
      </c>
      <c r="I30" s="2">
        <v>3</v>
      </c>
      <c r="J30" s="2">
        <v>1135</v>
      </c>
      <c r="K30" s="2">
        <v>3</v>
      </c>
    </row>
    <row r="31" spans="1:11">
      <c r="A31" s="2">
        <v>30</v>
      </c>
      <c r="B31" s="20" t="s">
        <v>46</v>
      </c>
      <c r="C31" s="2" t="s">
        <v>12</v>
      </c>
      <c r="D31" s="21">
        <v>46231</v>
      </c>
      <c r="E31" s="2" t="s">
        <v>13</v>
      </c>
      <c r="F31" s="2"/>
      <c r="G31" s="2"/>
      <c r="H31" s="2">
        <v>2561</v>
      </c>
      <c r="I31" s="2">
        <v>6</v>
      </c>
      <c r="J31" s="2">
        <v>1155</v>
      </c>
      <c r="K31" s="2">
        <v>5</v>
      </c>
    </row>
    <row r="32" spans="1:11">
      <c r="A32" s="2">
        <v>31</v>
      </c>
      <c r="B32" s="20" t="s">
        <v>47</v>
      </c>
      <c r="C32" s="2" t="s">
        <v>12</v>
      </c>
      <c r="D32" s="21">
        <v>46231</v>
      </c>
      <c r="E32" s="2" t="s">
        <v>13</v>
      </c>
      <c r="F32" s="2">
        <v>274</v>
      </c>
      <c r="G32" s="2">
        <v>1</v>
      </c>
      <c r="H32" s="2">
        <v>1886</v>
      </c>
      <c r="I32" s="2">
        <v>6</v>
      </c>
      <c r="J32" s="2">
        <v>1742</v>
      </c>
      <c r="K32" s="2">
        <v>7</v>
      </c>
    </row>
    <row r="33" spans="1:11">
      <c r="A33" s="2">
        <v>32</v>
      </c>
      <c r="B33" s="20" t="s">
        <v>48</v>
      </c>
      <c r="C33" s="2" t="s">
        <v>12</v>
      </c>
      <c r="D33" s="21">
        <v>46231</v>
      </c>
      <c r="E33" s="2" t="s">
        <v>13</v>
      </c>
      <c r="F33" s="2">
        <v>319</v>
      </c>
      <c r="G33" s="2">
        <v>1</v>
      </c>
      <c r="H33" s="2">
        <v>1565</v>
      </c>
      <c r="I33" s="2">
        <v>5</v>
      </c>
      <c r="J33" s="2">
        <v>206</v>
      </c>
      <c r="K33" s="2">
        <v>1</v>
      </c>
    </row>
    <row r="34" spans="1:11">
      <c r="A34" s="2">
        <v>33</v>
      </c>
      <c r="B34" s="20" t="s">
        <v>49</v>
      </c>
      <c r="C34" s="2" t="s">
        <v>12</v>
      </c>
      <c r="D34" s="21">
        <v>46231</v>
      </c>
      <c r="E34" s="2" t="s">
        <v>13</v>
      </c>
      <c r="F34" s="2"/>
      <c r="G34" s="2"/>
      <c r="H34">
        <v>757</v>
      </c>
      <c r="I34">
        <v>2</v>
      </c>
      <c r="J34">
        <v>655</v>
      </c>
      <c r="K34">
        <v>2</v>
      </c>
    </row>
    <row r="35" spans="1:11">
      <c r="A35" s="2">
        <v>34</v>
      </c>
      <c r="B35" s="20" t="s">
        <v>50</v>
      </c>
      <c r="C35" s="2" t="s">
        <v>12</v>
      </c>
      <c r="D35" s="21">
        <v>46231</v>
      </c>
      <c r="E35" s="2" t="s">
        <v>13</v>
      </c>
      <c r="F35" s="2"/>
      <c r="G35" s="2"/>
      <c r="H35">
        <v>769</v>
      </c>
      <c r="I35">
        <v>2</v>
      </c>
      <c r="J35">
        <v>723</v>
      </c>
      <c r="K35">
        <v>2</v>
      </c>
    </row>
    <row r="36" spans="1:11">
      <c r="A36" s="2">
        <v>35</v>
      </c>
      <c r="B36" s="20" t="s">
        <v>51</v>
      </c>
      <c r="C36" s="2" t="s">
        <v>12</v>
      </c>
      <c r="D36" s="21">
        <v>46231</v>
      </c>
      <c r="E36" s="2" t="s">
        <v>13</v>
      </c>
      <c r="F36" s="2"/>
      <c r="G36" s="2"/>
      <c r="H36">
        <v>1062</v>
      </c>
      <c r="I36">
        <v>3</v>
      </c>
      <c r="J36">
        <v>918</v>
      </c>
      <c r="K36">
        <v>2</v>
      </c>
    </row>
    <row r="37" spans="1:11">
      <c r="A37" s="2">
        <v>36</v>
      </c>
      <c r="B37" s="20" t="s">
        <v>52</v>
      </c>
      <c r="C37" s="2" t="s">
        <v>12</v>
      </c>
      <c r="D37" s="21">
        <v>46231</v>
      </c>
      <c r="E37" s="2" t="s">
        <v>13</v>
      </c>
      <c r="F37" s="2"/>
      <c r="G37" s="2"/>
      <c r="J37">
        <v>1737</v>
      </c>
      <c r="K37">
        <v>5</v>
      </c>
    </row>
    <row r="38" spans="1:11">
      <c r="A38" s="2">
        <v>37</v>
      </c>
      <c r="B38" s="20" t="s">
        <v>53</v>
      </c>
      <c r="C38" s="2" t="s">
        <v>12</v>
      </c>
      <c r="D38" s="21">
        <v>46231</v>
      </c>
      <c r="E38" s="2" t="s">
        <v>13</v>
      </c>
      <c r="F38" s="2"/>
      <c r="G38" s="2"/>
      <c r="H38">
        <v>858</v>
      </c>
      <c r="I38">
        <v>3</v>
      </c>
      <c r="J38">
        <v>630</v>
      </c>
      <c r="K38">
        <v>2</v>
      </c>
    </row>
    <row r="39" spans="1:11">
      <c r="A39" s="2">
        <v>38</v>
      </c>
      <c r="B39" s="20" t="s">
        <v>54</v>
      </c>
      <c r="C39" s="2" t="s">
        <v>12</v>
      </c>
      <c r="D39" s="21">
        <v>46231</v>
      </c>
      <c r="E39" s="2" t="s">
        <v>13</v>
      </c>
      <c r="F39" s="2"/>
      <c r="G39" s="2"/>
      <c r="H39">
        <v>480</v>
      </c>
      <c r="I39">
        <v>2</v>
      </c>
      <c r="J39">
        <v>681</v>
      </c>
      <c r="K39">
        <v>3</v>
      </c>
    </row>
    <row r="40" spans="1:11">
      <c r="A40" s="2">
        <v>39</v>
      </c>
      <c r="B40" s="20" t="s">
        <v>55</v>
      </c>
      <c r="C40" s="2" t="s">
        <v>12</v>
      </c>
      <c r="D40" s="21">
        <v>46231</v>
      </c>
      <c r="E40" s="2" t="s">
        <v>13</v>
      </c>
      <c r="F40" s="2">
        <v>102</v>
      </c>
      <c r="G40" s="2">
        <v>1</v>
      </c>
      <c r="H40">
        <v>383</v>
      </c>
      <c r="I40">
        <v>3</v>
      </c>
      <c r="J40">
        <v>289</v>
      </c>
      <c r="K40">
        <v>4</v>
      </c>
    </row>
    <row r="41" spans="1:11">
      <c r="A41" s="2">
        <v>40</v>
      </c>
      <c r="B41" s="20" t="s">
        <v>56</v>
      </c>
      <c r="C41" s="2" t="s">
        <v>12</v>
      </c>
      <c r="D41" s="21">
        <v>46231</v>
      </c>
      <c r="E41" s="2" t="s">
        <v>13</v>
      </c>
      <c r="F41" s="2"/>
      <c r="G41" s="2"/>
      <c r="H41">
        <v>676</v>
      </c>
      <c r="I41">
        <v>4</v>
      </c>
      <c r="J41">
        <v>451</v>
      </c>
      <c r="K41">
        <v>3</v>
      </c>
    </row>
    <row r="42" spans="1:11">
      <c r="A42" s="2">
        <v>41</v>
      </c>
      <c r="B42" s="20" t="s">
        <v>57</v>
      </c>
      <c r="C42" s="2" t="s">
        <v>12</v>
      </c>
      <c r="D42" s="21">
        <v>46231</v>
      </c>
      <c r="E42" s="2" t="s">
        <v>13</v>
      </c>
      <c r="F42" s="2">
        <v>531</v>
      </c>
      <c r="G42" s="2">
        <v>3</v>
      </c>
      <c r="H42">
        <v>989</v>
      </c>
      <c r="I42">
        <v>6</v>
      </c>
      <c r="J42">
        <v>423</v>
      </c>
      <c r="K42">
        <v>2</v>
      </c>
    </row>
    <row r="43" spans="1:11">
      <c r="A43" s="2">
        <v>42</v>
      </c>
      <c r="B43" s="20" t="s">
        <v>30</v>
      </c>
      <c r="C43" s="2" t="s">
        <v>12</v>
      </c>
      <c r="D43" s="21">
        <v>46231</v>
      </c>
      <c r="E43" s="2" t="s">
        <v>32</v>
      </c>
      <c r="F43" s="2">
        <v>348</v>
      </c>
      <c r="G43" s="2">
        <v>2</v>
      </c>
      <c r="H43">
        <v>285</v>
      </c>
      <c r="I43">
        <v>2</v>
      </c>
      <c r="J43">
        <v>128</v>
      </c>
      <c r="K43">
        <v>3</v>
      </c>
    </row>
    <row r="44" spans="1:11">
      <c r="A44" s="2">
        <v>43</v>
      </c>
      <c r="B44" s="20" t="s">
        <v>58</v>
      </c>
      <c r="C44" s="2" t="s">
        <v>12</v>
      </c>
      <c r="D44" s="21">
        <v>46231</v>
      </c>
      <c r="E44" s="2" t="s">
        <v>13</v>
      </c>
      <c r="F44" s="2">
        <v>220</v>
      </c>
      <c r="G44" s="2">
        <v>2</v>
      </c>
      <c r="H44">
        <v>445</v>
      </c>
      <c r="I44">
        <v>3</v>
      </c>
      <c r="J44">
        <v>257</v>
      </c>
      <c r="K44">
        <v>2</v>
      </c>
    </row>
    <row r="45" spans="1:11">
      <c r="A45" s="2">
        <v>44</v>
      </c>
      <c r="B45" s="20" t="s">
        <v>59</v>
      </c>
      <c r="C45" s="2" t="s">
        <v>12</v>
      </c>
      <c r="D45" s="21">
        <v>46231</v>
      </c>
      <c r="E45" s="2" t="s">
        <v>13</v>
      </c>
      <c r="F45" s="2"/>
      <c r="G45" s="2"/>
      <c r="H45">
        <v>676</v>
      </c>
      <c r="I45">
        <v>6</v>
      </c>
      <c r="J45">
        <v>53</v>
      </c>
      <c r="K45">
        <v>1</v>
      </c>
    </row>
    <row r="46" spans="1:11">
      <c r="A46" s="2">
        <v>45</v>
      </c>
      <c r="B46" s="20" t="s">
        <v>31</v>
      </c>
      <c r="C46" s="2" t="s">
        <v>12</v>
      </c>
      <c r="D46" s="21">
        <v>46231</v>
      </c>
      <c r="E46" s="2" t="s">
        <v>32</v>
      </c>
      <c r="F46" s="2">
        <v>211</v>
      </c>
      <c r="G46" s="2">
        <v>1</v>
      </c>
      <c r="H46">
        <v>439</v>
      </c>
      <c r="I46">
        <v>3</v>
      </c>
    </row>
    <row r="47" spans="1:11">
      <c r="A47" s="2">
        <v>46</v>
      </c>
      <c r="B47" s="20" t="s">
        <v>60</v>
      </c>
      <c r="C47" s="2" t="s">
        <v>12</v>
      </c>
      <c r="D47" s="21">
        <v>46231</v>
      </c>
      <c r="E47" s="2" t="s">
        <v>13</v>
      </c>
      <c r="F47" s="2">
        <v>201</v>
      </c>
      <c r="G47" s="2">
        <v>1</v>
      </c>
      <c r="H47">
        <v>671</v>
      </c>
      <c r="I47">
        <v>5</v>
      </c>
      <c r="J47">
        <v>81</v>
      </c>
      <c r="K47">
        <v>1</v>
      </c>
    </row>
    <row r="48" spans="1:11">
      <c r="A48" s="2">
        <v>47</v>
      </c>
      <c r="B48" s="20" t="s">
        <v>61</v>
      </c>
      <c r="C48" s="2" t="s">
        <v>12</v>
      </c>
      <c r="D48" s="21">
        <v>46231</v>
      </c>
      <c r="E48" s="2" t="s">
        <v>13</v>
      </c>
      <c r="F48" s="2"/>
      <c r="G48" s="2"/>
      <c r="H48">
        <v>503</v>
      </c>
      <c r="I48">
        <v>3</v>
      </c>
      <c r="J48">
        <v>856</v>
      </c>
      <c r="K48">
        <v>3</v>
      </c>
    </row>
    <row r="49" spans="1:11">
      <c r="A49" s="2">
        <v>48</v>
      </c>
      <c r="B49" s="20" t="s">
        <v>62</v>
      </c>
      <c r="C49" s="2" t="s">
        <v>12</v>
      </c>
      <c r="D49" s="21">
        <v>46231</v>
      </c>
      <c r="E49" s="2" t="s">
        <v>13</v>
      </c>
      <c r="F49" s="2">
        <v>253</v>
      </c>
      <c r="G49" s="2">
        <v>1</v>
      </c>
      <c r="H49">
        <v>685</v>
      </c>
      <c r="I49">
        <v>4</v>
      </c>
      <c r="J49">
        <v>565</v>
      </c>
      <c r="K49">
        <v>4</v>
      </c>
    </row>
    <row r="50" spans="1:11">
      <c r="A50" s="2">
        <v>49</v>
      </c>
      <c r="B50" t="s">
        <v>63</v>
      </c>
      <c r="C50" t="s">
        <v>12</v>
      </c>
      <c r="D50" s="3">
        <v>46230</v>
      </c>
      <c r="E50" s="2" t="s">
        <v>13</v>
      </c>
      <c r="F50" s="2">
        <v>481.8</v>
      </c>
      <c r="G50" s="2">
        <v>2</v>
      </c>
      <c r="H50">
        <v>1029.5999999999999</v>
      </c>
      <c r="I50">
        <v>5</v>
      </c>
      <c r="J50">
        <v>1666.8</v>
      </c>
      <c r="K50">
        <v>7</v>
      </c>
    </row>
    <row r="51" spans="1:11">
      <c r="A51">
        <v>50</v>
      </c>
      <c r="B51" s="23" t="s">
        <v>64</v>
      </c>
      <c r="C51" t="s">
        <v>12</v>
      </c>
      <c r="D51" s="24">
        <v>46231</v>
      </c>
      <c r="E51" s="2" t="s">
        <v>13</v>
      </c>
      <c r="H51">
        <v>1108</v>
      </c>
      <c r="I51">
        <v>5</v>
      </c>
      <c r="J51">
        <v>579</v>
      </c>
      <c r="K51">
        <v>3</v>
      </c>
    </row>
  </sheetData>
  <phoneticPr fontId="8"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480C-047A-DA4E-9EE9-AD8AB0004F01}">
  <dimension ref="A1:K51"/>
  <sheetViews>
    <sheetView topLeftCell="C35" zoomScaleNormal="150" zoomScaleSheetLayoutView="100" workbookViewId="0">
      <selection sqref="A1:K51"/>
    </sheetView>
  </sheetViews>
  <sheetFormatPr defaultRowHeight="16.5"/>
  <cols>
    <col min="2" max="2" width="14.875" customWidth="1"/>
    <col min="3" max="3" width="15.375" customWidth="1"/>
    <col min="4" max="4" width="14" customWidth="1"/>
    <col min="5" max="5" width="14.625" customWidth="1"/>
    <col min="6" max="6" width="13.75" customWidth="1"/>
    <col min="7" max="7" width="12.875" customWidth="1"/>
    <col min="8" max="8" width="13.5" customWidth="1"/>
    <col min="9" max="9" width="14.125" customWidth="1"/>
    <col min="10" max="10" width="13.625" customWidth="1"/>
    <col min="11" max="11" width="14.75" customWidth="1"/>
  </cols>
  <sheetData>
    <row r="1" spans="1:11" ht="45">
      <c r="A1" s="25" t="s">
        <v>0</v>
      </c>
      <c r="B1" s="25" t="s">
        <v>1</v>
      </c>
      <c r="C1" s="25" t="s">
        <v>2</v>
      </c>
      <c r="D1" s="25" t="s">
        <v>3</v>
      </c>
      <c r="E1" s="25" t="s">
        <v>4</v>
      </c>
      <c r="F1" s="25" t="s">
        <v>5</v>
      </c>
      <c r="G1" s="25" t="s">
        <v>6</v>
      </c>
      <c r="H1" s="25" t="s">
        <v>7</v>
      </c>
      <c r="I1" s="25" t="s">
        <v>8</v>
      </c>
      <c r="J1" s="25" t="s">
        <v>9</v>
      </c>
      <c r="K1" s="25" t="s">
        <v>10</v>
      </c>
    </row>
    <row r="2" spans="1:11">
      <c r="A2" s="2">
        <v>1</v>
      </c>
      <c r="B2" s="40" t="s">
        <v>11</v>
      </c>
      <c r="C2" s="2" t="s">
        <v>12</v>
      </c>
      <c r="D2" s="41"/>
      <c r="E2" s="2"/>
      <c r="F2" s="2">
        <v>276</v>
      </c>
      <c r="G2" s="2">
        <v>23</v>
      </c>
      <c r="H2" s="2">
        <v>96</v>
      </c>
      <c r="I2" s="2">
        <v>8</v>
      </c>
      <c r="J2" s="2">
        <v>99</v>
      </c>
      <c r="K2" s="2">
        <v>10</v>
      </c>
    </row>
    <row r="3" spans="1:11">
      <c r="A3" s="2">
        <v>2</v>
      </c>
      <c r="B3" s="40" t="s">
        <v>14</v>
      </c>
      <c r="C3" s="2" t="s">
        <v>12</v>
      </c>
      <c r="D3" s="41"/>
      <c r="E3" s="2"/>
      <c r="F3" s="2">
        <v>642</v>
      </c>
      <c r="G3" s="2">
        <v>30</v>
      </c>
      <c r="H3" s="2">
        <v>530</v>
      </c>
      <c r="I3" s="2">
        <v>30</v>
      </c>
      <c r="J3" s="2">
        <v>354</v>
      </c>
      <c r="K3" s="2">
        <v>30</v>
      </c>
    </row>
    <row r="4" spans="1:11">
      <c r="A4" s="2">
        <v>3</v>
      </c>
      <c r="B4" s="40" t="s">
        <v>15</v>
      </c>
      <c r="C4" s="2" t="s">
        <v>12</v>
      </c>
      <c r="D4" s="41"/>
      <c r="E4" s="2"/>
      <c r="F4" s="2">
        <v>613</v>
      </c>
      <c r="G4" s="2">
        <v>45</v>
      </c>
      <c r="H4" s="2">
        <v>147</v>
      </c>
      <c r="I4" s="2">
        <v>12</v>
      </c>
      <c r="J4" s="2">
        <v>60</v>
      </c>
      <c r="K4" s="2">
        <v>7</v>
      </c>
    </row>
    <row r="5" spans="1:11">
      <c r="A5" s="2">
        <v>4</v>
      </c>
      <c r="B5" s="40" t="s">
        <v>16</v>
      </c>
      <c r="C5" s="2" t="s">
        <v>12</v>
      </c>
      <c r="D5" s="41"/>
      <c r="E5" s="2"/>
      <c r="F5" s="2">
        <v>585</v>
      </c>
      <c r="G5" s="2">
        <v>35</v>
      </c>
      <c r="H5" s="2">
        <v>22</v>
      </c>
      <c r="I5" s="2">
        <v>2</v>
      </c>
      <c r="J5" s="2">
        <v>139</v>
      </c>
      <c r="K5" s="2">
        <v>12</v>
      </c>
    </row>
    <row r="6" spans="1:11">
      <c r="A6" s="2">
        <v>5</v>
      </c>
      <c r="B6" s="40" t="s">
        <v>17</v>
      </c>
      <c r="C6" s="2" t="s">
        <v>12</v>
      </c>
      <c r="D6" s="41"/>
      <c r="E6" s="2"/>
      <c r="F6" s="2">
        <v>314</v>
      </c>
      <c r="G6" s="2">
        <v>20</v>
      </c>
      <c r="H6" s="2">
        <v>162</v>
      </c>
      <c r="I6" s="2">
        <v>9</v>
      </c>
      <c r="J6" s="2">
        <v>30</v>
      </c>
      <c r="K6" s="2">
        <v>4</v>
      </c>
    </row>
    <row r="7" spans="1:11">
      <c r="A7" s="2">
        <v>6</v>
      </c>
      <c r="B7" s="40" t="s">
        <v>18</v>
      </c>
      <c r="C7" s="2" t="s">
        <v>12</v>
      </c>
      <c r="D7" s="41"/>
      <c r="E7" s="2"/>
      <c r="F7" s="2"/>
      <c r="G7" s="2"/>
      <c r="H7" s="2"/>
      <c r="I7" s="2"/>
      <c r="J7" s="2"/>
      <c r="K7" s="2"/>
    </row>
    <row r="8" spans="1:11">
      <c r="A8" s="2">
        <v>7</v>
      </c>
      <c r="B8" s="40" t="s">
        <v>19</v>
      </c>
      <c r="C8" s="2" t="s">
        <v>12</v>
      </c>
      <c r="D8" s="41"/>
      <c r="E8" s="2"/>
      <c r="F8" s="2">
        <v>598</v>
      </c>
      <c r="G8" s="2">
        <v>29</v>
      </c>
      <c r="H8" s="2">
        <v>216</v>
      </c>
      <c r="I8" s="2">
        <v>11</v>
      </c>
      <c r="J8" s="2">
        <v>23</v>
      </c>
      <c r="K8" s="2">
        <v>2</v>
      </c>
    </row>
    <row r="9" spans="1:11">
      <c r="A9" s="2">
        <v>8</v>
      </c>
      <c r="B9" s="40" t="s">
        <v>20</v>
      </c>
      <c r="C9" s="2" t="s">
        <v>12</v>
      </c>
      <c r="D9" s="41"/>
      <c r="E9" s="2"/>
      <c r="F9" s="2">
        <v>834</v>
      </c>
      <c r="G9" s="2">
        <v>43</v>
      </c>
      <c r="H9" s="2">
        <v>41</v>
      </c>
      <c r="I9" s="2">
        <v>3</v>
      </c>
      <c r="J9" s="2">
        <v>44</v>
      </c>
      <c r="K9" s="2">
        <v>4</v>
      </c>
    </row>
    <row r="10" spans="1:11">
      <c r="A10" s="2">
        <v>9</v>
      </c>
      <c r="B10" s="40" t="s">
        <v>21</v>
      </c>
      <c r="C10" s="2" t="s">
        <v>12</v>
      </c>
      <c r="D10" s="41"/>
      <c r="E10" s="2"/>
      <c r="F10" s="2">
        <v>451</v>
      </c>
      <c r="G10" s="2">
        <v>24</v>
      </c>
      <c r="H10" s="2">
        <v>42</v>
      </c>
      <c r="I10" s="2">
        <v>3</v>
      </c>
      <c r="J10" s="2">
        <v>120</v>
      </c>
      <c r="K10" s="2">
        <v>9</v>
      </c>
    </row>
    <row r="11" spans="1:11">
      <c r="A11" s="2">
        <v>10</v>
      </c>
      <c r="B11" s="40" t="s">
        <v>22</v>
      </c>
      <c r="C11" s="2" t="s">
        <v>12</v>
      </c>
      <c r="D11" s="41"/>
      <c r="E11" s="2"/>
      <c r="F11" s="2">
        <v>652</v>
      </c>
      <c r="G11" s="2">
        <v>45</v>
      </c>
      <c r="H11" s="2">
        <v>48</v>
      </c>
      <c r="I11" s="2">
        <v>5</v>
      </c>
      <c r="J11" s="2">
        <v>73</v>
      </c>
      <c r="K11" s="2">
        <v>8</v>
      </c>
    </row>
    <row r="12" spans="1:11">
      <c r="A12" s="2">
        <v>11</v>
      </c>
      <c r="B12" s="40" t="s">
        <v>23</v>
      </c>
      <c r="C12" s="2" t="s">
        <v>12</v>
      </c>
      <c r="D12" s="41"/>
      <c r="E12" s="2"/>
      <c r="F12" s="2">
        <v>856</v>
      </c>
      <c r="G12" s="2">
        <v>52</v>
      </c>
      <c r="H12" s="2">
        <v>97</v>
      </c>
      <c r="I12" s="2">
        <v>7</v>
      </c>
      <c r="J12" s="2">
        <v>92</v>
      </c>
      <c r="K12" s="2">
        <v>9</v>
      </c>
    </row>
    <row r="13" spans="1:11">
      <c r="A13" s="2">
        <v>12</v>
      </c>
      <c r="B13" s="40" t="s">
        <v>24</v>
      </c>
      <c r="C13" s="2" t="s">
        <v>12</v>
      </c>
      <c r="D13" s="41"/>
      <c r="E13" s="2"/>
      <c r="F13" s="2">
        <v>577</v>
      </c>
      <c r="G13" s="2">
        <v>37</v>
      </c>
      <c r="H13" s="2">
        <v>91</v>
      </c>
      <c r="I13" s="2">
        <v>6</v>
      </c>
      <c r="J13" s="2">
        <v>182</v>
      </c>
      <c r="K13" s="2">
        <v>17</v>
      </c>
    </row>
    <row r="14" spans="1:11">
      <c r="A14" s="2">
        <v>13</v>
      </c>
      <c r="B14" s="40" t="s">
        <v>25</v>
      </c>
      <c r="C14" s="2" t="s">
        <v>12</v>
      </c>
      <c r="D14" s="41"/>
      <c r="E14" s="2"/>
      <c r="F14" s="2">
        <v>385</v>
      </c>
      <c r="G14" s="2">
        <v>24</v>
      </c>
      <c r="H14" s="2">
        <v>81</v>
      </c>
      <c r="I14" s="2">
        <v>6</v>
      </c>
      <c r="J14" s="2">
        <v>55</v>
      </c>
      <c r="K14" s="2">
        <v>6</v>
      </c>
    </row>
    <row r="15" spans="1:11">
      <c r="A15" s="2">
        <v>14</v>
      </c>
      <c r="B15" s="40" t="s">
        <v>26</v>
      </c>
      <c r="C15" s="2" t="s">
        <v>12</v>
      </c>
      <c r="D15" s="41"/>
      <c r="E15" s="2"/>
      <c r="F15" s="2">
        <v>440</v>
      </c>
      <c r="G15" s="2">
        <v>25</v>
      </c>
      <c r="H15" s="2">
        <v>191</v>
      </c>
      <c r="I15" s="2">
        <v>14</v>
      </c>
      <c r="J15" s="2">
        <v>56</v>
      </c>
      <c r="K15" s="2">
        <v>9</v>
      </c>
    </row>
    <row r="16" spans="1:11">
      <c r="A16" s="2">
        <v>15</v>
      </c>
      <c r="B16" s="40" t="s">
        <v>37</v>
      </c>
      <c r="C16" s="2" t="s">
        <v>12</v>
      </c>
      <c r="D16" s="41"/>
      <c r="E16" s="2"/>
      <c r="F16" s="2"/>
      <c r="G16" s="2"/>
      <c r="H16" s="2"/>
      <c r="I16" s="2"/>
      <c r="J16" s="2"/>
      <c r="K16" s="2"/>
    </row>
    <row r="17" spans="1:11">
      <c r="A17" s="2">
        <v>16</v>
      </c>
      <c r="B17" s="40" t="s">
        <v>38</v>
      </c>
      <c r="C17" s="2" t="s">
        <v>12</v>
      </c>
      <c r="D17" s="41"/>
      <c r="E17" s="2"/>
      <c r="F17" s="2">
        <v>147</v>
      </c>
      <c r="G17" s="2">
        <v>16</v>
      </c>
      <c r="H17" s="2">
        <v>27</v>
      </c>
      <c r="I17" s="2">
        <v>4</v>
      </c>
      <c r="J17" s="2"/>
      <c r="K17" s="2"/>
    </row>
    <row r="18" spans="1:11">
      <c r="A18" s="2">
        <v>17</v>
      </c>
      <c r="B18" s="40" t="s">
        <v>27</v>
      </c>
      <c r="C18" s="2" t="s">
        <v>12</v>
      </c>
      <c r="D18" s="41"/>
      <c r="E18" s="2"/>
      <c r="F18" s="2">
        <v>312</v>
      </c>
      <c r="G18" s="2">
        <v>19</v>
      </c>
      <c r="H18" s="2">
        <v>137</v>
      </c>
      <c r="I18" s="2">
        <v>8</v>
      </c>
      <c r="J18" s="2">
        <v>194</v>
      </c>
      <c r="K18" s="2">
        <v>18</v>
      </c>
    </row>
    <row r="19" spans="1:11">
      <c r="A19" s="2">
        <v>18</v>
      </c>
      <c r="B19" s="40" t="s">
        <v>33</v>
      </c>
      <c r="C19" s="2" t="s">
        <v>12</v>
      </c>
      <c r="D19" s="41"/>
      <c r="E19" s="2"/>
      <c r="F19" s="2">
        <v>91</v>
      </c>
      <c r="G19" s="2">
        <v>2</v>
      </c>
      <c r="H19" s="2">
        <v>245</v>
      </c>
      <c r="I19" s="2">
        <v>3</v>
      </c>
      <c r="J19" s="2">
        <v>95</v>
      </c>
      <c r="K19" s="2">
        <v>1</v>
      </c>
    </row>
    <row r="20" spans="1:11">
      <c r="A20" s="2">
        <v>19</v>
      </c>
      <c r="B20" s="40" t="s">
        <v>28</v>
      </c>
      <c r="C20" s="2" t="s">
        <v>12</v>
      </c>
      <c r="D20" s="41"/>
      <c r="E20" s="2"/>
      <c r="F20" s="2">
        <v>412</v>
      </c>
      <c r="G20" s="2">
        <v>28</v>
      </c>
      <c r="H20" s="2">
        <v>360</v>
      </c>
      <c r="I20" s="2">
        <v>25</v>
      </c>
      <c r="J20" s="2">
        <v>117</v>
      </c>
      <c r="K20" s="2">
        <v>11</v>
      </c>
    </row>
    <row r="21" spans="1:11">
      <c r="A21" s="2">
        <v>20</v>
      </c>
      <c r="B21" s="40" t="s">
        <v>34</v>
      </c>
      <c r="C21" s="2" t="s">
        <v>12</v>
      </c>
      <c r="D21" s="41"/>
      <c r="E21" s="2"/>
      <c r="F21" s="2"/>
      <c r="G21" s="2"/>
      <c r="H21" s="2"/>
      <c r="I21" s="2"/>
      <c r="J21" s="2"/>
      <c r="K21" s="2"/>
    </row>
    <row r="22" spans="1:11">
      <c r="A22" s="2">
        <v>21</v>
      </c>
      <c r="B22" s="40" t="s">
        <v>39</v>
      </c>
      <c r="C22" s="2" t="s">
        <v>12</v>
      </c>
      <c r="D22" s="41"/>
      <c r="E22" s="2"/>
      <c r="F22" s="2"/>
      <c r="G22" s="2"/>
      <c r="H22" s="2">
        <v>866</v>
      </c>
      <c r="I22" s="2">
        <v>2</v>
      </c>
      <c r="J22" s="2">
        <v>490</v>
      </c>
      <c r="K22" s="2">
        <v>1</v>
      </c>
    </row>
    <row r="23" spans="1:11">
      <c r="A23" s="2">
        <v>22</v>
      </c>
      <c r="B23" s="40" t="s">
        <v>40</v>
      </c>
      <c r="C23" s="2" t="s">
        <v>12</v>
      </c>
      <c r="D23" s="41"/>
      <c r="E23" s="2"/>
      <c r="F23" s="2"/>
      <c r="G23" s="2"/>
      <c r="H23" s="2">
        <v>791</v>
      </c>
      <c r="I23" s="2">
        <v>2</v>
      </c>
      <c r="J23" s="2"/>
      <c r="K23" s="2"/>
    </row>
    <row r="24" spans="1:11">
      <c r="A24" s="2">
        <v>23</v>
      </c>
      <c r="B24" s="40" t="s">
        <v>35</v>
      </c>
      <c r="C24" s="2" t="s">
        <v>12</v>
      </c>
      <c r="D24" s="41"/>
      <c r="E24" s="2"/>
      <c r="F24" s="2">
        <v>317</v>
      </c>
      <c r="G24" s="2">
        <v>1</v>
      </c>
      <c r="H24" s="2">
        <v>783</v>
      </c>
      <c r="I24" s="2">
        <v>4</v>
      </c>
      <c r="J24" s="2"/>
      <c r="K24" s="2"/>
    </row>
    <row r="25" spans="1:11">
      <c r="A25" s="2">
        <v>24</v>
      </c>
      <c r="B25" s="40" t="s">
        <v>29</v>
      </c>
      <c r="C25" s="2" t="s">
        <v>12</v>
      </c>
      <c r="D25" s="41"/>
      <c r="E25" s="2"/>
      <c r="F25" s="2">
        <v>710</v>
      </c>
      <c r="G25" s="2">
        <v>2</v>
      </c>
      <c r="H25" s="2">
        <v>2072</v>
      </c>
      <c r="I25" s="2">
        <v>6</v>
      </c>
      <c r="J25" s="2">
        <v>1145</v>
      </c>
      <c r="K25" s="2">
        <v>5</v>
      </c>
    </row>
    <row r="26" spans="1:11">
      <c r="A26" s="2">
        <v>25</v>
      </c>
      <c r="B26" s="40" t="s">
        <v>41</v>
      </c>
      <c r="C26" s="2" t="s">
        <v>12</v>
      </c>
      <c r="D26" s="41"/>
      <c r="E26" s="2"/>
      <c r="F26" s="2"/>
      <c r="G26" s="2"/>
      <c r="H26" s="2"/>
      <c r="I26" s="2"/>
      <c r="J26" s="2">
        <v>609</v>
      </c>
      <c r="K26" s="2">
        <v>3</v>
      </c>
    </row>
    <row r="27" spans="1:11">
      <c r="A27" s="2">
        <v>26</v>
      </c>
      <c r="B27" s="40" t="s">
        <v>42</v>
      </c>
      <c r="C27" s="2" t="s">
        <v>12</v>
      </c>
      <c r="D27" s="41"/>
      <c r="E27" s="2"/>
      <c r="F27" s="2">
        <v>518</v>
      </c>
      <c r="G27" s="2">
        <v>1</v>
      </c>
      <c r="H27" s="2">
        <v>596</v>
      </c>
      <c r="I27" s="2">
        <v>1</v>
      </c>
      <c r="J27" s="2"/>
      <c r="K27" s="2"/>
    </row>
    <row r="28" spans="1:11">
      <c r="A28" s="2">
        <v>27</v>
      </c>
      <c r="B28" s="40" t="s">
        <v>43</v>
      </c>
      <c r="C28" s="2" t="s">
        <v>12</v>
      </c>
      <c r="D28" s="41"/>
      <c r="E28" s="2"/>
      <c r="F28" s="2">
        <v>564</v>
      </c>
      <c r="G28" s="2">
        <v>2</v>
      </c>
      <c r="H28" s="2">
        <v>425</v>
      </c>
      <c r="I28" s="2">
        <v>2</v>
      </c>
      <c r="J28" s="2">
        <v>108</v>
      </c>
      <c r="K28" s="2">
        <v>1</v>
      </c>
    </row>
    <row r="29" spans="1:11">
      <c r="A29" s="2">
        <v>28</v>
      </c>
      <c r="B29" s="40" t="s">
        <v>44</v>
      </c>
      <c r="C29" s="2" t="s">
        <v>12</v>
      </c>
      <c r="D29" s="41"/>
      <c r="E29" s="2"/>
      <c r="F29" s="2"/>
      <c r="G29" s="2"/>
      <c r="H29" s="2">
        <v>1004</v>
      </c>
      <c r="I29" s="2">
        <v>3</v>
      </c>
      <c r="J29" s="2">
        <v>222</v>
      </c>
      <c r="K29" s="2">
        <v>1</v>
      </c>
    </row>
    <row r="30" spans="1:11">
      <c r="A30" s="2">
        <v>29</v>
      </c>
      <c r="B30" s="40" t="s">
        <v>45</v>
      </c>
      <c r="C30" s="2" t="s">
        <v>12</v>
      </c>
      <c r="D30" s="41"/>
      <c r="E30" s="2"/>
      <c r="F30" s="2"/>
      <c r="G30" s="2"/>
      <c r="H30" s="2">
        <v>829</v>
      </c>
      <c r="I30" s="2">
        <v>2</v>
      </c>
      <c r="J30" s="2">
        <v>365</v>
      </c>
      <c r="K30" s="2">
        <v>3</v>
      </c>
    </row>
    <row r="31" spans="1:11">
      <c r="A31" s="2">
        <v>30</v>
      </c>
      <c r="B31" s="40" t="s">
        <v>46</v>
      </c>
      <c r="C31" s="2" t="s">
        <v>12</v>
      </c>
      <c r="D31" s="41"/>
      <c r="E31" s="2"/>
      <c r="F31" s="2"/>
      <c r="G31" s="2"/>
      <c r="H31" s="2">
        <v>411</v>
      </c>
      <c r="I31" s="2">
        <v>2</v>
      </c>
      <c r="J31" s="2">
        <v>806</v>
      </c>
      <c r="K31" s="2">
        <v>3</v>
      </c>
    </row>
    <row r="32" spans="1:11">
      <c r="A32" s="2">
        <v>31</v>
      </c>
      <c r="B32" s="40" t="s">
        <v>47</v>
      </c>
      <c r="C32" s="2" t="s">
        <v>12</v>
      </c>
      <c r="D32" s="41"/>
      <c r="E32" s="2"/>
      <c r="F32" s="2">
        <v>335</v>
      </c>
      <c r="G32" s="2">
        <v>1</v>
      </c>
      <c r="H32" s="2">
        <v>1485</v>
      </c>
      <c r="I32" s="2">
        <v>5</v>
      </c>
      <c r="J32" s="2"/>
      <c r="K32" s="2"/>
    </row>
    <row r="33" spans="1:11">
      <c r="A33" s="2">
        <v>32</v>
      </c>
      <c r="B33" s="40" t="s">
        <v>48</v>
      </c>
      <c r="C33" s="2" t="s">
        <v>12</v>
      </c>
      <c r="D33" s="41"/>
      <c r="E33" s="2"/>
      <c r="F33" s="2"/>
      <c r="G33" s="2"/>
      <c r="H33" s="2"/>
      <c r="I33" s="2"/>
      <c r="J33" s="2"/>
      <c r="K33" s="2"/>
    </row>
    <row r="34" spans="1:11">
      <c r="A34" s="2">
        <v>33</v>
      </c>
      <c r="B34" s="40" t="s">
        <v>49</v>
      </c>
      <c r="C34" s="2" t="s">
        <v>12</v>
      </c>
      <c r="D34" s="41"/>
      <c r="E34" s="2"/>
      <c r="F34" s="2"/>
      <c r="G34" s="2"/>
      <c r="H34" s="2">
        <v>423</v>
      </c>
      <c r="I34" s="2">
        <v>1</v>
      </c>
      <c r="J34" s="2">
        <v>609</v>
      </c>
      <c r="K34" s="2">
        <v>2</v>
      </c>
    </row>
    <row r="35" spans="1:11">
      <c r="A35" s="2">
        <v>34</v>
      </c>
      <c r="B35" s="40" t="s">
        <v>50</v>
      </c>
      <c r="C35" s="2" t="s">
        <v>12</v>
      </c>
      <c r="D35" s="41"/>
      <c r="E35" s="2"/>
      <c r="F35" s="2"/>
      <c r="G35" s="2"/>
      <c r="H35" s="2">
        <v>1451</v>
      </c>
      <c r="I35" s="2">
        <v>3</v>
      </c>
      <c r="J35" s="2">
        <v>2025</v>
      </c>
      <c r="K35" s="2">
        <v>6</v>
      </c>
    </row>
    <row r="36" spans="1:11">
      <c r="A36" s="2">
        <v>35</v>
      </c>
      <c r="B36" s="40" t="s">
        <v>51</v>
      </c>
      <c r="C36" s="2" t="s">
        <v>12</v>
      </c>
      <c r="D36" s="41"/>
      <c r="E36" s="2"/>
      <c r="F36" s="2"/>
      <c r="G36" s="2"/>
      <c r="H36" s="2">
        <v>1227</v>
      </c>
      <c r="I36" s="2">
        <v>3</v>
      </c>
      <c r="J36" s="2">
        <v>597</v>
      </c>
      <c r="K36" s="2">
        <v>2</v>
      </c>
    </row>
    <row r="37" spans="1:11">
      <c r="A37" s="2">
        <v>36</v>
      </c>
      <c r="B37" s="40" t="s">
        <v>52</v>
      </c>
      <c r="C37" s="2" t="s">
        <v>12</v>
      </c>
      <c r="D37" s="41"/>
      <c r="E37" s="2"/>
      <c r="F37" s="2"/>
      <c r="G37" s="2"/>
      <c r="H37" s="2">
        <v>336</v>
      </c>
      <c r="I37" s="2">
        <v>1</v>
      </c>
      <c r="J37" s="2"/>
      <c r="K37" s="2"/>
    </row>
    <row r="38" spans="1:11">
      <c r="A38" s="2">
        <v>37</v>
      </c>
      <c r="B38" s="40" t="s">
        <v>53</v>
      </c>
      <c r="C38" s="2" t="s">
        <v>12</v>
      </c>
      <c r="D38" s="41"/>
      <c r="E38" s="2"/>
      <c r="F38" s="2"/>
      <c r="G38" s="2"/>
      <c r="H38" s="2">
        <v>425</v>
      </c>
      <c r="I38" s="2">
        <v>2</v>
      </c>
      <c r="J38" s="2">
        <v>545</v>
      </c>
      <c r="K38" s="2">
        <v>2</v>
      </c>
    </row>
    <row r="39" spans="1:11">
      <c r="A39" s="2">
        <v>38</v>
      </c>
      <c r="B39" s="40" t="s">
        <v>54</v>
      </c>
      <c r="C39" s="2" t="s">
        <v>12</v>
      </c>
      <c r="D39" s="41"/>
      <c r="E39" s="2"/>
      <c r="F39" s="2"/>
      <c r="G39" s="2"/>
      <c r="H39" s="2">
        <v>170</v>
      </c>
      <c r="I39" s="2">
        <v>1</v>
      </c>
      <c r="J39" s="2">
        <v>508</v>
      </c>
      <c r="K39" s="2">
        <v>4</v>
      </c>
    </row>
    <row r="40" spans="1:11">
      <c r="A40" s="2">
        <v>39</v>
      </c>
      <c r="B40" s="40" t="s">
        <v>55</v>
      </c>
      <c r="C40" s="2" t="s">
        <v>12</v>
      </c>
      <c r="D40" s="41"/>
      <c r="E40" s="2"/>
      <c r="F40" s="2">
        <v>608</v>
      </c>
      <c r="G40" s="2">
        <v>7</v>
      </c>
      <c r="H40" s="2">
        <v>385</v>
      </c>
      <c r="I40" s="2">
        <v>5</v>
      </c>
      <c r="J40" s="2">
        <v>392</v>
      </c>
      <c r="K40" s="2">
        <v>6</v>
      </c>
    </row>
    <row r="41" spans="1:11">
      <c r="A41" s="2">
        <v>40</v>
      </c>
      <c r="B41" s="40" t="s">
        <v>56</v>
      </c>
      <c r="C41" s="2" t="s">
        <v>12</v>
      </c>
      <c r="D41" s="41"/>
      <c r="E41" s="2"/>
      <c r="F41" s="2"/>
      <c r="G41" s="2"/>
      <c r="H41" s="2"/>
      <c r="I41" s="2"/>
      <c r="J41" s="2"/>
      <c r="K41" s="2"/>
    </row>
    <row r="42" spans="1:11">
      <c r="A42" s="2">
        <v>41</v>
      </c>
      <c r="B42" s="40" t="s">
        <v>57</v>
      </c>
      <c r="C42" s="2" t="s">
        <v>12</v>
      </c>
      <c r="D42" s="41"/>
      <c r="E42" s="2"/>
      <c r="F42" s="2">
        <v>676</v>
      </c>
      <c r="G42" s="2">
        <v>3</v>
      </c>
      <c r="H42" s="2">
        <v>510</v>
      </c>
      <c r="I42" s="2">
        <v>2</v>
      </c>
      <c r="J42" s="2">
        <v>255</v>
      </c>
      <c r="K42" s="2">
        <v>2</v>
      </c>
    </row>
    <row r="43" spans="1:11">
      <c r="A43" s="2">
        <v>42</v>
      </c>
      <c r="B43" s="40" t="s">
        <v>30</v>
      </c>
      <c r="C43" s="2" t="s">
        <v>12</v>
      </c>
      <c r="D43" s="41"/>
      <c r="E43" s="2"/>
      <c r="F43" s="2">
        <v>1207</v>
      </c>
      <c r="G43" s="2">
        <v>10</v>
      </c>
      <c r="H43" s="2">
        <v>887</v>
      </c>
      <c r="I43" s="2">
        <v>7</v>
      </c>
      <c r="J43" s="2">
        <v>196</v>
      </c>
      <c r="K43" s="2">
        <v>2</v>
      </c>
    </row>
    <row r="44" spans="1:11">
      <c r="A44" s="2">
        <v>43</v>
      </c>
      <c r="B44" s="40" t="s">
        <v>58</v>
      </c>
      <c r="C44" s="2" t="s">
        <v>12</v>
      </c>
      <c r="D44" s="41"/>
      <c r="E44" s="2"/>
      <c r="F44" s="2">
        <v>65</v>
      </c>
      <c r="G44" s="2">
        <v>1</v>
      </c>
      <c r="H44" s="2">
        <v>423</v>
      </c>
      <c r="I44" s="2">
        <v>4</v>
      </c>
      <c r="J44" s="2">
        <v>295</v>
      </c>
      <c r="K44" s="2">
        <v>2</v>
      </c>
    </row>
    <row r="45" spans="1:11">
      <c r="A45" s="2">
        <v>44</v>
      </c>
      <c r="B45" s="40" t="s">
        <v>59</v>
      </c>
      <c r="C45" s="2" t="s">
        <v>12</v>
      </c>
      <c r="D45" s="41"/>
      <c r="E45" s="2"/>
      <c r="F45" s="2">
        <v>302</v>
      </c>
      <c r="G45" s="2">
        <v>3</v>
      </c>
      <c r="H45" s="2">
        <v>97</v>
      </c>
      <c r="I45" s="2">
        <v>1</v>
      </c>
      <c r="J45" s="2">
        <v>675</v>
      </c>
      <c r="K45" s="2">
        <v>10</v>
      </c>
    </row>
    <row r="46" spans="1:11">
      <c r="A46" s="2">
        <v>45</v>
      </c>
      <c r="B46" s="40" t="s">
        <v>31</v>
      </c>
      <c r="C46" s="2" t="s">
        <v>12</v>
      </c>
      <c r="D46" s="41"/>
      <c r="E46" s="2"/>
      <c r="F46" s="2"/>
      <c r="G46" s="2"/>
      <c r="H46" s="2">
        <v>84</v>
      </c>
      <c r="I46" s="2">
        <v>1</v>
      </c>
      <c r="J46" s="2"/>
      <c r="K46" s="2"/>
    </row>
    <row r="47" spans="1:11">
      <c r="A47" s="2">
        <v>46</v>
      </c>
      <c r="B47" s="40" t="s">
        <v>60</v>
      </c>
      <c r="C47" s="2" t="s">
        <v>12</v>
      </c>
      <c r="D47" s="41"/>
      <c r="E47" s="2"/>
      <c r="F47" s="2">
        <v>134</v>
      </c>
      <c r="G47" s="2">
        <v>1</v>
      </c>
      <c r="H47" s="2">
        <v>254</v>
      </c>
      <c r="I47" s="2">
        <v>2</v>
      </c>
      <c r="J47" s="2">
        <v>196</v>
      </c>
      <c r="K47" s="2">
        <v>2</v>
      </c>
    </row>
    <row r="48" spans="1:11">
      <c r="A48" s="2">
        <v>47</v>
      </c>
      <c r="B48" s="40" t="s">
        <v>61</v>
      </c>
      <c r="C48" s="2" t="s">
        <v>12</v>
      </c>
      <c r="D48" s="41"/>
      <c r="E48" s="2"/>
      <c r="F48" s="2"/>
      <c r="G48" s="2"/>
      <c r="H48" s="2">
        <v>162</v>
      </c>
      <c r="I48" s="2">
        <v>1</v>
      </c>
      <c r="J48" s="2">
        <v>661</v>
      </c>
      <c r="K48" s="2">
        <v>5</v>
      </c>
    </row>
    <row r="49" spans="1:11">
      <c r="A49" s="2">
        <v>48</v>
      </c>
      <c r="B49" s="40" t="s">
        <v>62</v>
      </c>
      <c r="C49" s="2" t="s">
        <v>12</v>
      </c>
      <c r="D49" s="41"/>
      <c r="E49" s="2"/>
      <c r="F49" s="2"/>
      <c r="G49" s="2"/>
      <c r="H49" s="2">
        <v>345</v>
      </c>
      <c r="I49" s="2">
        <v>2</v>
      </c>
      <c r="J49" s="2">
        <v>228</v>
      </c>
      <c r="K49" s="2">
        <v>1</v>
      </c>
    </row>
    <row r="50" spans="1:11">
      <c r="A50" s="2">
        <v>49</v>
      </c>
      <c r="B50" t="s">
        <v>63</v>
      </c>
      <c r="C50" t="s">
        <v>12</v>
      </c>
      <c r="D50" s="41"/>
      <c r="E50" s="2"/>
      <c r="F50" s="2">
        <v>178</v>
      </c>
      <c r="G50" s="2">
        <v>1</v>
      </c>
      <c r="H50" s="2">
        <v>201</v>
      </c>
      <c r="I50" s="2">
        <v>1</v>
      </c>
      <c r="J50" s="2">
        <v>157</v>
      </c>
      <c r="K50" s="2">
        <v>1</v>
      </c>
    </row>
    <row r="51" spans="1:11">
      <c r="A51">
        <v>50</v>
      </c>
      <c r="B51" t="s">
        <v>64</v>
      </c>
      <c r="C51" t="s">
        <v>12</v>
      </c>
      <c r="D51" s="41"/>
      <c r="E51" s="2"/>
      <c r="F51" s="2"/>
      <c r="G51" s="2"/>
      <c r="H51" s="2"/>
      <c r="I51" s="2"/>
      <c r="J51" s="2"/>
      <c r="K51" s="2"/>
    </row>
  </sheetData>
  <phoneticPr fontId="8" alignment="cen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22D33-5F47-DD46-835B-34D3C03E5D8F}">
  <dimension ref="A1:K51"/>
  <sheetViews>
    <sheetView zoomScaleNormal="150" zoomScaleSheetLayoutView="100" workbookViewId="0">
      <selection activeCell="B1" sqref="B1"/>
    </sheetView>
  </sheetViews>
  <sheetFormatPr defaultRowHeight="16.5"/>
  <cols>
    <col min="1" max="1" width="13.125" customWidth="1"/>
    <col min="2" max="2" width="16.125" customWidth="1"/>
    <col min="3" max="3" width="16.375" customWidth="1"/>
    <col min="6" max="6" width="15" customWidth="1"/>
    <col min="7" max="7" width="13.5" customWidth="1"/>
    <col min="8" max="8" width="14.25" customWidth="1"/>
    <col min="9" max="9" width="13.625" customWidth="1"/>
    <col min="10" max="10" width="14.875" customWidth="1"/>
    <col min="11" max="11" width="13.5" customWidth="1"/>
  </cols>
  <sheetData>
    <row r="1" spans="1:11" ht="45">
      <c r="A1" s="25" t="s">
        <v>0</v>
      </c>
      <c r="B1" s="25" t="s">
        <v>1</v>
      </c>
      <c r="C1" s="25" t="s">
        <v>2</v>
      </c>
      <c r="D1" s="25" t="s">
        <v>3</v>
      </c>
      <c r="E1" s="25" t="s">
        <v>4</v>
      </c>
      <c r="F1" s="25" t="s">
        <v>5</v>
      </c>
      <c r="G1" s="25" t="s">
        <v>6</v>
      </c>
      <c r="H1" s="25" t="s">
        <v>7</v>
      </c>
      <c r="I1" s="25" t="s">
        <v>8</v>
      </c>
      <c r="J1" s="25" t="s">
        <v>9</v>
      </c>
      <c r="K1" s="25" t="s">
        <v>10</v>
      </c>
    </row>
    <row r="2" spans="1:11">
      <c r="A2" s="2">
        <v>1</v>
      </c>
      <c r="B2" s="40" t="s">
        <v>11</v>
      </c>
      <c r="C2" s="2" t="s">
        <v>12</v>
      </c>
      <c r="D2" s="41"/>
      <c r="E2" s="2"/>
      <c r="F2" s="2">
        <v>503</v>
      </c>
      <c r="G2" s="2">
        <v>49</v>
      </c>
      <c r="H2" s="2">
        <v>163</v>
      </c>
      <c r="I2" s="2">
        <v>17</v>
      </c>
      <c r="J2" s="2">
        <v>59</v>
      </c>
      <c r="K2" s="2">
        <v>10</v>
      </c>
    </row>
    <row r="3" spans="1:11">
      <c r="A3" s="2">
        <v>2</v>
      </c>
      <c r="B3" s="40" t="s">
        <v>14</v>
      </c>
      <c r="C3" s="2" t="s">
        <v>12</v>
      </c>
      <c r="D3" s="41"/>
      <c r="E3" s="2"/>
      <c r="F3" s="2">
        <v>1198</v>
      </c>
      <c r="G3" s="2">
        <v>64</v>
      </c>
      <c r="H3" s="2">
        <v>153</v>
      </c>
      <c r="I3" s="2">
        <v>10</v>
      </c>
      <c r="J3" s="2">
        <v>484</v>
      </c>
      <c r="K3" s="2">
        <v>49</v>
      </c>
    </row>
    <row r="4" spans="1:11">
      <c r="A4" s="2">
        <v>3</v>
      </c>
      <c r="B4" s="40" t="s">
        <v>15</v>
      </c>
      <c r="C4" s="2" t="s">
        <v>12</v>
      </c>
      <c r="D4" s="41"/>
      <c r="E4" s="2"/>
      <c r="F4" s="2">
        <v>792</v>
      </c>
      <c r="G4" s="2">
        <v>71</v>
      </c>
      <c r="H4" s="2">
        <v>191</v>
      </c>
      <c r="I4" s="2">
        <v>22</v>
      </c>
      <c r="J4" s="2">
        <v>299</v>
      </c>
      <c r="K4" s="2">
        <v>42</v>
      </c>
    </row>
    <row r="5" spans="1:11">
      <c r="A5" s="2">
        <v>4</v>
      </c>
      <c r="B5" s="40" t="s">
        <v>16</v>
      </c>
      <c r="C5" s="2" t="s">
        <v>12</v>
      </c>
      <c r="D5" s="41"/>
      <c r="E5" s="2"/>
      <c r="F5" s="2">
        <v>408</v>
      </c>
      <c r="G5" s="2">
        <v>28</v>
      </c>
      <c r="H5" s="2">
        <v>201</v>
      </c>
      <c r="I5" s="2">
        <v>16</v>
      </c>
      <c r="J5" s="2">
        <v>82</v>
      </c>
      <c r="K5" s="2">
        <v>9</v>
      </c>
    </row>
    <row r="6" spans="1:11">
      <c r="A6" s="2">
        <v>5</v>
      </c>
      <c r="B6" s="40" t="s">
        <v>17</v>
      </c>
      <c r="C6" s="2" t="s">
        <v>12</v>
      </c>
      <c r="D6" s="41"/>
      <c r="E6" s="2"/>
      <c r="F6" s="2">
        <v>297</v>
      </c>
      <c r="G6" s="2">
        <v>20</v>
      </c>
      <c r="H6" s="2">
        <v>172</v>
      </c>
      <c r="I6" s="2">
        <v>17</v>
      </c>
      <c r="J6" s="2">
        <v>273</v>
      </c>
      <c r="K6" s="2">
        <v>35</v>
      </c>
    </row>
    <row r="7" spans="1:11">
      <c r="A7" s="2">
        <v>6</v>
      </c>
      <c r="B7" s="40" t="s">
        <v>18</v>
      </c>
      <c r="C7" s="2" t="s">
        <v>12</v>
      </c>
      <c r="D7" s="41"/>
      <c r="E7" s="2"/>
      <c r="F7" s="2">
        <v>679</v>
      </c>
      <c r="G7" s="2">
        <v>32</v>
      </c>
      <c r="H7" s="2">
        <v>156</v>
      </c>
      <c r="I7" s="2">
        <v>11</v>
      </c>
      <c r="J7" s="2">
        <v>92</v>
      </c>
      <c r="K7" s="2">
        <v>9</v>
      </c>
    </row>
    <row r="8" spans="1:11">
      <c r="A8" s="2">
        <v>7</v>
      </c>
      <c r="B8" s="40" t="s">
        <v>19</v>
      </c>
      <c r="C8" s="2" t="s">
        <v>12</v>
      </c>
      <c r="D8" s="41"/>
      <c r="E8" s="2"/>
      <c r="F8" s="2">
        <v>480</v>
      </c>
      <c r="G8" s="2">
        <v>27</v>
      </c>
      <c r="H8" s="2"/>
      <c r="I8" s="2"/>
      <c r="J8" s="2">
        <v>283</v>
      </c>
      <c r="K8" s="2">
        <v>25</v>
      </c>
    </row>
    <row r="9" spans="1:11">
      <c r="A9" s="2">
        <v>8</v>
      </c>
      <c r="B9" s="40" t="s">
        <v>20</v>
      </c>
      <c r="C9" s="2" t="s">
        <v>12</v>
      </c>
      <c r="D9" s="41"/>
      <c r="E9" s="2"/>
      <c r="F9" s="2">
        <v>654</v>
      </c>
      <c r="G9" s="2">
        <v>40</v>
      </c>
      <c r="H9" s="2">
        <v>85</v>
      </c>
      <c r="I9" s="2">
        <v>6</v>
      </c>
      <c r="J9" s="2">
        <v>390</v>
      </c>
      <c r="K9" s="2">
        <v>36</v>
      </c>
    </row>
    <row r="10" spans="1:11">
      <c r="A10" s="2">
        <v>9</v>
      </c>
      <c r="B10" s="40" t="s">
        <v>21</v>
      </c>
      <c r="C10" s="2" t="s">
        <v>12</v>
      </c>
      <c r="D10" s="41"/>
      <c r="E10" s="2"/>
      <c r="F10" s="2">
        <v>227</v>
      </c>
      <c r="G10" s="2">
        <v>16</v>
      </c>
      <c r="H10" s="2">
        <v>123</v>
      </c>
      <c r="I10" s="2">
        <v>9</v>
      </c>
      <c r="J10" s="2">
        <v>105</v>
      </c>
      <c r="K10" s="2">
        <v>12</v>
      </c>
    </row>
    <row r="11" spans="1:11">
      <c r="A11" s="2">
        <v>10</v>
      </c>
      <c r="B11" s="40" t="s">
        <v>22</v>
      </c>
      <c r="C11" s="2" t="s">
        <v>12</v>
      </c>
      <c r="D11" s="41"/>
      <c r="E11" s="2"/>
      <c r="F11" s="2">
        <v>869</v>
      </c>
      <c r="G11" s="2">
        <v>61</v>
      </c>
      <c r="H11" s="2">
        <v>339</v>
      </c>
      <c r="I11" s="2">
        <v>29</v>
      </c>
      <c r="J11" s="2">
        <v>385</v>
      </c>
      <c r="K11" s="2">
        <v>62</v>
      </c>
    </row>
    <row r="12" spans="1:11">
      <c r="A12" s="2">
        <v>11</v>
      </c>
      <c r="B12" s="40" t="s">
        <v>23</v>
      </c>
      <c r="C12" s="2" t="s">
        <v>12</v>
      </c>
      <c r="D12" s="41"/>
      <c r="E12" s="2"/>
      <c r="F12" s="2">
        <v>635</v>
      </c>
      <c r="G12" s="2">
        <v>43</v>
      </c>
      <c r="H12" s="2">
        <v>141</v>
      </c>
      <c r="I12" s="2">
        <v>11</v>
      </c>
      <c r="J12" s="2">
        <v>306</v>
      </c>
      <c r="K12" s="2">
        <v>42</v>
      </c>
    </row>
    <row r="13" spans="1:11">
      <c r="A13" s="2">
        <v>12</v>
      </c>
      <c r="B13" s="40" t="s">
        <v>24</v>
      </c>
      <c r="C13" s="2" t="s">
        <v>12</v>
      </c>
      <c r="D13" s="41"/>
      <c r="E13" s="2"/>
      <c r="F13" s="2">
        <v>570</v>
      </c>
      <c r="G13" s="2">
        <v>44</v>
      </c>
      <c r="H13" s="2">
        <v>244</v>
      </c>
      <c r="I13" s="2">
        <v>22</v>
      </c>
      <c r="J13" s="2">
        <v>212</v>
      </c>
      <c r="K13" s="2"/>
    </row>
    <row r="14" spans="1:11">
      <c r="A14" s="2">
        <v>13</v>
      </c>
      <c r="B14" s="40" t="s">
        <v>25</v>
      </c>
      <c r="C14" s="2" t="s">
        <v>12</v>
      </c>
      <c r="D14" s="41"/>
      <c r="E14" s="2"/>
      <c r="F14" s="2">
        <v>408</v>
      </c>
      <c r="G14" s="2">
        <v>30</v>
      </c>
      <c r="H14" s="2">
        <v>29</v>
      </c>
      <c r="I14" s="2">
        <v>3</v>
      </c>
      <c r="J14" s="2">
        <v>98</v>
      </c>
      <c r="K14" s="2">
        <v>9</v>
      </c>
    </row>
    <row r="15" spans="1:11">
      <c r="A15" s="2">
        <v>14</v>
      </c>
      <c r="B15" s="40" t="s">
        <v>26</v>
      </c>
      <c r="C15" s="2" t="s">
        <v>12</v>
      </c>
      <c r="D15" s="41"/>
      <c r="E15" s="2"/>
      <c r="F15" s="2">
        <v>474</v>
      </c>
      <c r="G15" s="2">
        <v>39</v>
      </c>
      <c r="H15" s="2">
        <v>88</v>
      </c>
      <c r="I15" s="2">
        <v>21</v>
      </c>
      <c r="J15" s="2">
        <v>178</v>
      </c>
      <c r="K15" s="2">
        <v>21</v>
      </c>
    </row>
    <row r="16" spans="1:11">
      <c r="A16" s="2">
        <v>15</v>
      </c>
      <c r="B16" s="40" t="s">
        <v>37</v>
      </c>
      <c r="C16" s="2" t="s">
        <v>12</v>
      </c>
      <c r="D16" s="41"/>
      <c r="E16" s="2"/>
      <c r="F16" s="2">
        <v>605</v>
      </c>
      <c r="G16" s="2">
        <v>34</v>
      </c>
      <c r="H16" s="2">
        <v>131</v>
      </c>
      <c r="I16" s="2">
        <v>10</v>
      </c>
      <c r="J16" s="2">
        <v>84</v>
      </c>
      <c r="K16" s="2">
        <v>10</v>
      </c>
    </row>
    <row r="17" spans="1:11">
      <c r="A17" s="2">
        <v>16</v>
      </c>
      <c r="B17" s="40" t="s">
        <v>38</v>
      </c>
      <c r="C17" s="2" t="s">
        <v>12</v>
      </c>
      <c r="D17" s="41"/>
      <c r="E17" s="2"/>
      <c r="F17" s="2">
        <v>334</v>
      </c>
      <c r="G17" s="2">
        <v>41</v>
      </c>
      <c r="H17" s="2">
        <v>56</v>
      </c>
      <c r="I17" s="2">
        <v>8</v>
      </c>
      <c r="J17" s="2">
        <v>44</v>
      </c>
      <c r="K17" s="2">
        <v>13</v>
      </c>
    </row>
    <row r="18" spans="1:11">
      <c r="A18" s="2">
        <v>17</v>
      </c>
      <c r="B18" s="40" t="s">
        <v>27</v>
      </c>
      <c r="C18" s="2" t="s">
        <v>12</v>
      </c>
      <c r="D18" s="41"/>
      <c r="E18" s="2"/>
      <c r="F18" s="2">
        <v>800</v>
      </c>
      <c r="G18" s="2">
        <v>48</v>
      </c>
      <c r="H18" s="2">
        <v>156</v>
      </c>
      <c r="I18" s="2">
        <v>10</v>
      </c>
      <c r="J18" s="2">
        <v>529</v>
      </c>
      <c r="K18" s="2">
        <v>59</v>
      </c>
    </row>
    <row r="19" spans="1:11">
      <c r="A19" s="2">
        <v>18</v>
      </c>
      <c r="B19" s="40" t="s">
        <v>33</v>
      </c>
      <c r="C19" s="2" t="s">
        <v>12</v>
      </c>
      <c r="D19" s="41"/>
      <c r="E19" s="2"/>
      <c r="F19" s="2">
        <v>310</v>
      </c>
      <c r="G19" s="2">
        <v>3</v>
      </c>
      <c r="H19" s="2">
        <v>466</v>
      </c>
      <c r="I19" s="2">
        <v>5</v>
      </c>
      <c r="J19" s="2">
        <v>500</v>
      </c>
      <c r="K19" s="2">
        <v>11</v>
      </c>
    </row>
    <row r="20" spans="1:11">
      <c r="A20" s="2">
        <v>19</v>
      </c>
      <c r="B20" s="40" t="s">
        <v>28</v>
      </c>
      <c r="C20" s="2" t="s">
        <v>12</v>
      </c>
      <c r="D20" s="41"/>
      <c r="E20" s="2"/>
      <c r="F20" s="2">
        <v>294</v>
      </c>
      <c r="G20" s="2">
        <v>20</v>
      </c>
      <c r="H20" s="2">
        <v>265</v>
      </c>
      <c r="I20" s="2">
        <v>21</v>
      </c>
      <c r="J20" s="2">
        <v>288</v>
      </c>
      <c r="K20" s="2">
        <v>35</v>
      </c>
    </row>
    <row r="21" spans="1:11">
      <c r="A21" s="2">
        <v>20</v>
      </c>
      <c r="B21" s="40" t="s">
        <v>34</v>
      </c>
      <c r="C21" s="2" t="s">
        <v>12</v>
      </c>
      <c r="D21" s="41"/>
      <c r="E21" s="2"/>
      <c r="F21" s="2"/>
      <c r="G21" s="2"/>
      <c r="H21" s="2"/>
      <c r="I21" s="2"/>
      <c r="J21" s="2"/>
      <c r="K21" s="2"/>
    </row>
    <row r="22" spans="1:11">
      <c r="A22" s="2">
        <v>21</v>
      </c>
      <c r="B22" s="40" t="s">
        <v>39</v>
      </c>
      <c r="C22" s="2" t="s">
        <v>12</v>
      </c>
      <c r="D22" s="41"/>
      <c r="E22" s="2"/>
      <c r="F22" s="2"/>
      <c r="G22" s="2"/>
      <c r="H22" s="2"/>
      <c r="I22" s="2"/>
      <c r="J22" s="2"/>
      <c r="K22" s="2"/>
    </row>
    <row r="23" spans="1:11">
      <c r="A23" s="2">
        <v>22</v>
      </c>
      <c r="B23" s="40" t="s">
        <v>40</v>
      </c>
      <c r="C23" s="2" t="s">
        <v>12</v>
      </c>
      <c r="D23" s="41"/>
      <c r="E23" s="2"/>
      <c r="F23" s="2"/>
      <c r="G23" s="2"/>
      <c r="H23" s="2"/>
      <c r="I23" s="2"/>
      <c r="J23" s="2"/>
      <c r="K23" s="2"/>
    </row>
    <row r="24" spans="1:11">
      <c r="A24" s="2">
        <v>23</v>
      </c>
      <c r="B24" s="40" t="s">
        <v>35</v>
      </c>
      <c r="C24" s="2" t="s">
        <v>12</v>
      </c>
      <c r="D24" s="41"/>
      <c r="E24" s="2"/>
      <c r="F24" s="2"/>
      <c r="G24" s="2"/>
      <c r="H24" s="2"/>
      <c r="I24" s="2"/>
      <c r="J24" s="2"/>
      <c r="K24" s="2"/>
    </row>
    <row r="25" spans="1:11">
      <c r="A25" s="2">
        <v>24</v>
      </c>
      <c r="B25" s="40" t="s">
        <v>29</v>
      </c>
      <c r="C25" s="2" t="s">
        <v>12</v>
      </c>
      <c r="D25" s="41"/>
      <c r="E25" s="2"/>
      <c r="F25" s="2">
        <v>768</v>
      </c>
      <c r="G25" s="2">
        <v>2</v>
      </c>
      <c r="H25" s="2">
        <v>218</v>
      </c>
      <c r="I25" s="2">
        <v>2</v>
      </c>
      <c r="J25" s="2">
        <v>437</v>
      </c>
      <c r="K25" s="2">
        <v>3</v>
      </c>
    </row>
    <row r="26" spans="1:11">
      <c r="A26" s="2">
        <v>25</v>
      </c>
      <c r="B26" s="40" t="s">
        <v>41</v>
      </c>
      <c r="C26" s="2" t="s">
        <v>12</v>
      </c>
      <c r="D26" s="41"/>
      <c r="E26" s="2"/>
      <c r="F26" s="2"/>
      <c r="G26" s="2"/>
      <c r="H26" s="2"/>
      <c r="I26" s="2"/>
      <c r="J26" s="2"/>
      <c r="K26" s="2"/>
    </row>
    <row r="27" spans="1:11">
      <c r="A27" s="2">
        <v>26</v>
      </c>
      <c r="B27" s="40" t="s">
        <v>42</v>
      </c>
      <c r="C27" s="2" t="s">
        <v>12</v>
      </c>
      <c r="D27" s="41"/>
      <c r="E27" s="2"/>
      <c r="F27" s="2"/>
      <c r="G27" s="2"/>
      <c r="H27" s="2"/>
      <c r="I27" s="2"/>
      <c r="J27" s="2"/>
      <c r="K27" s="2"/>
    </row>
    <row r="28" spans="1:11">
      <c r="A28" s="2">
        <v>27</v>
      </c>
      <c r="B28" s="40" t="s">
        <v>43</v>
      </c>
      <c r="C28" s="2" t="s">
        <v>12</v>
      </c>
      <c r="D28" s="41"/>
      <c r="E28" s="2"/>
      <c r="F28" s="2"/>
      <c r="G28" s="2"/>
      <c r="H28" s="2"/>
      <c r="I28" s="2"/>
      <c r="J28" s="2"/>
      <c r="K28" s="2"/>
    </row>
    <row r="29" spans="1:11">
      <c r="A29" s="2">
        <v>28</v>
      </c>
      <c r="B29" s="40" t="s">
        <v>44</v>
      </c>
      <c r="C29" s="2" t="s">
        <v>12</v>
      </c>
      <c r="D29" s="41"/>
      <c r="E29" s="2"/>
      <c r="F29" s="2"/>
      <c r="G29" s="2"/>
      <c r="H29" s="2"/>
      <c r="I29" s="2"/>
      <c r="J29" s="2"/>
      <c r="K29" s="2"/>
    </row>
    <row r="30" spans="1:11">
      <c r="A30" s="2">
        <v>29</v>
      </c>
      <c r="B30" s="40" t="s">
        <v>45</v>
      </c>
      <c r="C30" s="2" t="s">
        <v>12</v>
      </c>
      <c r="D30" s="41"/>
      <c r="E30" s="2"/>
      <c r="F30" s="2"/>
      <c r="G30" s="2"/>
      <c r="H30" s="2"/>
      <c r="I30" s="2"/>
      <c r="J30" s="2"/>
      <c r="K30" s="2"/>
    </row>
    <row r="31" spans="1:11">
      <c r="A31" s="2">
        <v>30</v>
      </c>
      <c r="B31" s="40" t="s">
        <v>46</v>
      </c>
      <c r="C31" s="2" t="s">
        <v>12</v>
      </c>
      <c r="D31" s="41"/>
      <c r="E31" s="2"/>
      <c r="F31" s="2"/>
      <c r="G31" s="2"/>
      <c r="H31" s="2"/>
      <c r="I31" s="2"/>
      <c r="J31" s="2"/>
      <c r="K31" s="2"/>
    </row>
    <row r="32" spans="1:11">
      <c r="A32" s="2">
        <v>31</v>
      </c>
      <c r="B32" s="40" t="s">
        <v>47</v>
      </c>
      <c r="C32" s="2" t="s">
        <v>12</v>
      </c>
      <c r="D32" s="41"/>
      <c r="E32" s="2"/>
      <c r="F32" s="2"/>
      <c r="G32" s="2"/>
      <c r="H32" s="2"/>
      <c r="I32" s="2"/>
      <c r="J32" s="2"/>
      <c r="K32" s="2"/>
    </row>
    <row r="33" spans="1:11">
      <c r="A33" s="2">
        <v>32</v>
      </c>
      <c r="B33" s="40" t="s">
        <v>48</v>
      </c>
      <c r="C33" s="2" t="s">
        <v>12</v>
      </c>
      <c r="D33" s="41"/>
      <c r="E33" s="2"/>
      <c r="F33" s="2"/>
      <c r="G33" s="2"/>
      <c r="H33" s="2"/>
      <c r="I33" s="2"/>
      <c r="J33" s="2"/>
      <c r="K33" s="2"/>
    </row>
    <row r="34" spans="1:11">
      <c r="A34" s="2">
        <v>33</v>
      </c>
      <c r="B34" s="40" t="s">
        <v>49</v>
      </c>
      <c r="C34" s="2" t="s">
        <v>12</v>
      </c>
      <c r="D34" s="41"/>
      <c r="E34" s="2"/>
      <c r="F34" s="2"/>
      <c r="G34" s="2"/>
      <c r="H34" s="2"/>
      <c r="I34" s="2"/>
      <c r="J34" s="2"/>
      <c r="K34" s="2"/>
    </row>
    <row r="35" spans="1:11">
      <c r="A35" s="2">
        <v>34</v>
      </c>
      <c r="B35" s="40" t="s">
        <v>50</v>
      </c>
      <c r="C35" s="2" t="s">
        <v>12</v>
      </c>
      <c r="D35" s="41"/>
      <c r="E35" s="2"/>
      <c r="F35" s="2"/>
      <c r="G35" s="2"/>
      <c r="H35" s="2"/>
      <c r="I35" s="2"/>
      <c r="J35" s="2"/>
      <c r="K35" s="2"/>
    </row>
    <row r="36" spans="1:11">
      <c r="A36" s="2">
        <v>35</v>
      </c>
      <c r="B36" s="40" t="s">
        <v>51</v>
      </c>
      <c r="C36" s="2" t="s">
        <v>12</v>
      </c>
      <c r="D36" s="41"/>
      <c r="E36" s="2"/>
      <c r="F36" s="2"/>
      <c r="G36" s="2"/>
      <c r="H36" s="2"/>
      <c r="I36" s="2"/>
      <c r="J36" s="2"/>
      <c r="K36" s="2"/>
    </row>
    <row r="37" spans="1:11">
      <c r="A37" s="2">
        <v>36</v>
      </c>
      <c r="B37" s="40" t="s">
        <v>52</v>
      </c>
      <c r="C37" s="2" t="s">
        <v>12</v>
      </c>
      <c r="D37" s="41"/>
      <c r="E37" s="2"/>
      <c r="F37" s="2"/>
      <c r="G37" s="2"/>
      <c r="H37" s="2"/>
      <c r="I37" s="2"/>
      <c r="J37" s="2"/>
      <c r="K37" s="2"/>
    </row>
    <row r="38" spans="1:11">
      <c r="A38" s="2">
        <v>37</v>
      </c>
      <c r="B38" s="40" t="s">
        <v>53</v>
      </c>
      <c r="C38" s="2" t="s">
        <v>12</v>
      </c>
      <c r="D38" s="41"/>
      <c r="E38" s="2"/>
      <c r="F38" s="2"/>
      <c r="G38" s="2"/>
      <c r="H38" s="2"/>
      <c r="I38" s="2"/>
      <c r="J38" s="2"/>
      <c r="K38" s="2"/>
    </row>
    <row r="39" spans="1:11">
      <c r="A39" s="2">
        <v>38</v>
      </c>
      <c r="B39" s="40" t="s">
        <v>54</v>
      </c>
      <c r="C39" s="2" t="s">
        <v>12</v>
      </c>
      <c r="D39" s="41"/>
      <c r="E39" s="2"/>
      <c r="F39" s="2"/>
      <c r="G39" s="2"/>
      <c r="H39" s="2"/>
      <c r="I39" s="2"/>
      <c r="J39" s="2"/>
      <c r="K39" s="2"/>
    </row>
    <row r="40" spans="1:11">
      <c r="A40" s="2">
        <v>39</v>
      </c>
      <c r="B40" s="40" t="s">
        <v>55</v>
      </c>
      <c r="C40" s="2" t="s">
        <v>12</v>
      </c>
      <c r="D40" s="41"/>
      <c r="E40" s="2"/>
      <c r="F40" s="2"/>
      <c r="G40" s="2"/>
      <c r="H40" s="2"/>
      <c r="I40" s="2"/>
      <c r="J40" s="2"/>
      <c r="K40" s="2"/>
    </row>
    <row r="41" spans="1:11">
      <c r="A41" s="2">
        <v>40</v>
      </c>
      <c r="B41" s="40" t="s">
        <v>56</v>
      </c>
      <c r="C41" s="2" t="s">
        <v>12</v>
      </c>
      <c r="D41" s="41"/>
      <c r="E41" s="2"/>
      <c r="F41" s="2"/>
      <c r="G41" s="2"/>
      <c r="H41" s="2"/>
      <c r="I41" s="2"/>
      <c r="J41" s="2"/>
      <c r="K41" s="2"/>
    </row>
    <row r="42" spans="1:11">
      <c r="A42" s="2">
        <v>41</v>
      </c>
      <c r="B42" s="40" t="s">
        <v>57</v>
      </c>
      <c r="C42" s="2" t="s">
        <v>12</v>
      </c>
      <c r="D42" s="41"/>
      <c r="E42" s="2"/>
      <c r="F42" s="2"/>
      <c r="G42" s="2"/>
      <c r="H42" s="2"/>
      <c r="I42" s="2"/>
      <c r="J42" s="2"/>
      <c r="K42" s="2"/>
    </row>
    <row r="43" spans="1:11">
      <c r="A43" s="2">
        <v>42</v>
      </c>
      <c r="B43" s="40" t="s">
        <v>30</v>
      </c>
      <c r="C43" s="2" t="s">
        <v>12</v>
      </c>
      <c r="D43" s="41"/>
      <c r="E43" s="2"/>
      <c r="F43" s="2"/>
      <c r="G43" s="2"/>
      <c r="H43" s="2"/>
      <c r="I43" s="2"/>
      <c r="J43" s="2"/>
      <c r="K43" s="2"/>
    </row>
    <row r="44" spans="1:11">
      <c r="A44" s="2">
        <v>43</v>
      </c>
      <c r="B44" s="40" t="s">
        <v>58</v>
      </c>
      <c r="C44" s="2" t="s">
        <v>12</v>
      </c>
      <c r="D44" s="41"/>
      <c r="E44" s="2"/>
      <c r="F44" s="2"/>
      <c r="G44" s="2"/>
      <c r="H44" s="2"/>
      <c r="I44" s="2"/>
      <c r="J44" s="2"/>
      <c r="K44" s="2"/>
    </row>
    <row r="45" spans="1:11">
      <c r="A45" s="2">
        <v>44</v>
      </c>
      <c r="B45" s="40" t="s">
        <v>59</v>
      </c>
      <c r="C45" s="2" t="s">
        <v>12</v>
      </c>
      <c r="D45" s="41"/>
      <c r="E45" s="2"/>
      <c r="F45" s="2"/>
      <c r="G45" s="2"/>
      <c r="H45" s="2"/>
      <c r="I45" s="2"/>
      <c r="J45" s="2"/>
      <c r="K45" s="2"/>
    </row>
    <row r="46" spans="1:11">
      <c r="A46" s="2">
        <v>45</v>
      </c>
      <c r="B46" s="40" t="s">
        <v>31</v>
      </c>
      <c r="C46" s="2" t="s">
        <v>12</v>
      </c>
      <c r="D46" s="41"/>
      <c r="E46" s="2"/>
      <c r="F46" s="2"/>
      <c r="G46" s="2"/>
      <c r="H46" s="2"/>
      <c r="I46" s="2"/>
      <c r="J46" s="2"/>
      <c r="K46" s="2"/>
    </row>
    <row r="47" spans="1:11">
      <c r="A47" s="2">
        <v>46</v>
      </c>
      <c r="B47" s="40" t="s">
        <v>60</v>
      </c>
      <c r="C47" s="2" t="s">
        <v>12</v>
      </c>
      <c r="D47" s="41"/>
      <c r="E47" s="2"/>
      <c r="F47" s="2"/>
      <c r="G47" s="2"/>
      <c r="H47" s="2"/>
      <c r="I47" s="2"/>
      <c r="J47" s="2"/>
      <c r="K47" s="2"/>
    </row>
    <row r="48" spans="1:11">
      <c r="A48" s="2">
        <v>47</v>
      </c>
      <c r="B48" s="40" t="s">
        <v>61</v>
      </c>
      <c r="C48" s="2" t="s">
        <v>12</v>
      </c>
      <c r="D48" s="41"/>
      <c r="E48" s="2"/>
      <c r="F48" s="2"/>
      <c r="G48" s="2"/>
      <c r="H48" s="2"/>
      <c r="I48" s="2"/>
      <c r="J48" s="2"/>
      <c r="K48" s="2"/>
    </row>
    <row r="49" spans="1:11">
      <c r="A49" s="2">
        <v>48</v>
      </c>
      <c r="B49" s="40" t="s">
        <v>62</v>
      </c>
      <c r="C49" s="2" t="s">
        <v>12</v>
      </c>
      <c r="D49" s="41"/>
      <c r="E49" s="2"/>
      <c r="F49" s="2"/>
      <c r="G49" s="2"/>
      <c r="H49" s="2"/>
      <c r="I49" s="2"/>
      <c r="J49" s="2"/>
      <c r="K49" s="2"/>
    </row>
    <row r="50" spans="1:11">
      <c r="A50" s="2">
        <v>49</v>
      </c>
      <c r="B50" t="s">
        <v>63</v>
      </c>
      <c r="C50" t="s">
        <v>12</v>
      </c>
      <c r="D50" s="41"/>
      <c r="E50" s="2"/>
      <c r="F50" s="2">
        <v>1044</v>
      </c>
      <c r="G50" s="2">
        <v>4</v>
      </c>
      <c r="H50" s="2">
        <v>1038</v>
      </c>
      <c r="I50" s="2">
        <v>5</v>
      </c>
      <c r="J50" s="2">
        <v>358</v>
      </c>
      <c r="K50" s="2">
        <v>2</v>
      </c>
    </row>
    <row r="51" spans="1:11">
      <c r="A51">
        <v>50</v>
      </c>
      <c r="B51" t="s">
        <v>64</v>
      </c>
      <c r="C51" t="s">
        <v>12</v>
      </c>
      <c r="D51" s="41"/>
      <c r="E51" s="2"/>
      <c r="F51" s="2"/>
      <c r="G51" s="2"/>
      <c r="H51" s="2"/>
      <c r="I51" s="2"/>
      <c r="J51" s="2"/>
      <c r="K51"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93620-EA72-4E0E-8B41-577DB5728DAB}">
  <dimension ref="A1:J242"/>
  <sheetViews>
    <sheetView zoomScaleNormal="150" zoomScaleSheetLayoutView="100" workbookViewId="0">
      <pane ySplit="2" topLeftCell="A239" activePane="bottomLeft" state="frozen"/>
      <selection pane="bottomLeft" activeCell="C243" sqref="C243:E246"/>
    </sheetView>
  </sheetViews>
  <sheetFormatPr defaultRowHeight="16.5"/>
  <cols>
    <col min="2" max="2" width="12.25" customWidth="1"/>
    <col min="3" max="3" width="11.5" customWidth="1"/>
  </cols>
  <sheetData>
    <row r="1" spans="1:10">
      <c r="A1" s="4"/>
      <c r="B1" s="4"/>
      <c r="C1" s="4"/>
      <c r="D1" s="4"/>
      <c r="E1" s="4"/>
      <c r="F1" s="51" t="s">
        <v>65</v>
      </c>
      <c r="G1" s="51"/>
      <c r="H1" s="51"/>
    </row>
    <row r="2" spans="1:10" ht="30">
      <c r="A2" s="5" t="s">
        <v>0</v>
      </c>
      <c r="B2" s="6" t="s">
        <v>1</v>
      </c>
      <c r="C2" s="5" t="s">
        <v>2</v>
      </c>
      <c r="D2" s="5" t="s">
        <v>3</v>
      </c>
      <c r="E2" s="5" t="s">
        <v>4</v>
      </c>
      <c r="F2" s="4" t="s">
        <v>66</v>
      </c>
      <c r="G2" s="4" t="s">
        <v>67</v>
      </c>
      <c r="H2" s="4" t="s">
        <v>68</v>
      </c>
      <c r="I2" t="s">
        <v>69</v>
      </c>
      <c r="J2" t="s">
        <v>70</v>
      </c>
    </row>
    <row r="3" spans="1:10">
      <c r="A3" s="4"/>
      <c r="B3" s="4" t="s">
        <v>71</v>
      </c>
      <c r="C3" s="4" t="s">
        <v>72</v>
      </c>
      <c r="D3" s="7">
        <v>46216</v>
      </c>
      <c r="E3" s="4" t="s">
        <v>73</v>
      </c>
      <c r="F3" s="4">
        <v>1.0229999999999999</v>
      </c>
      <c r="G3" s="4">
        <v>1.022</v>
      </c>
      <c r="H3" s="4">
        <v>1.022</v>
      </c>
      <c r="I3" s="10">
        <f>AVERAGE(F3,G3,H3)</f>
        <v>1.0223333333333333</v>
      </c>
      <c r="J3" s="10">
        <f>(143.254*(I3^3))-(648.67*(I3^2))+(1125.805*(I3))-620.389</f>
        <v>5.6594789802519472</v>
      </c>
    </row>
    <row r="4" spans="1:10">
      <c r="A4" s="4"/>
      <c r="B4" s="4" t="s">
        <v>74</v>
      </c>
      <c r="C4" s="4" t="s">
        <v>72</v>
      </c>
      <c r="D4" s="7">
        <v>46216</v>
      </c>
      <c r="E4" s="4" t="s">
        <v>73</v>
      </c>
      <c r="F4" s="4">
        <v>1.026</v>
      </c>
      <c r="G4" s="4">
        <v>1.026</v>
      </c>
      <c r="H4" s="4">
        <v>1.024</v>
      </c>
      <c r="I4" s="10">
        <f>AVERAGE(F4,G4,H4)</f>
        <v>1.0253333333333334</v>
      </c>
      <c r="J4" s="10">
        <f>(143.254*(I4^3))-(648.67*(I4^2))+(1125.805*(I4))-620.389</f>
        <v>6.4035894534780482</v>
      </c>
    </row>
    <row r="5" spans="1:10">
      <c r="A5" s="4"/>
      <c r="B5" s="4" t="s">
        <v>75</v>
      </c>
      <c r="C5" s="4" t="s">
        <v>72</v>
      </c>
      <c r="D5" s="7">
        <v>46216</v>
      </c>
      <c r="E5" s="4" t="s">
        <v>73</v>
      </c>
      <c r="F5" s="4">
        <v>1.026</v>
      </c>
      <c r="G5" s="4">
        <v>1.0229999999999999</v>
      </c>
      <c r="H5" s="4">
        <v>1.0229999999999999</v>
      </c>
      <c r="I5" s="10">
        <f>AVERAGE(F5,G5,H5)</f>
        <v>1.024</v>
      </c>
      <c r="J5" s="10">
        <f>(143.254*(I5^3))-(648.67*(I5^2))+(1125.805*(I5))-620.389</f>
        <v>6.0733373352961735</v>
      </c>
    </row>
    <row r="6" spans="1:10">
      <c r="A6" s="4"/>
      <c r="B6" s="4" t="s">
        <v>76</v>
      </c>
      <c r="C6" s="4" t="s">
        <v>72</v>
      </c>
      <c r="D6" s="7">
        <v>46216</v>
      </c>
      <c r="E6" s="4" t="s">
        <v>73</v>
      </c>
      <c r="F6" s="4">
        <v>1.0229999999999999</v>
      </c>
      <c r="G6" s="4">
        <v>1.0229999999999999</v>
      </c>
      <c r="H6" s="4">
        <v>1.0229999999999999</v>
      </c>
      <c r="I6" s="10">
        <f>AVERAGE(F6,G6,H6)</f>
        <v>1.0229999999999999</v>
      </c>
      <c r="J6" s="10">
        <f>(143.254*(I6^3))-(648.67*(I6^2))+(1125.805*(I6))-620.389</f>
        <v>5.8251616394181838</v>
      </c>
    </row>
    <row r="7" spans="1:10">
      <c r="A7" s="4"/>
      <c r="B7" s="4" t="s">
        <v>77</v>
      </c>
      <c r="C7" s="4" t="s">
        <v>72</v>
      </c>
      <c r="D7" s="7">
        <v>46216</v>
      </c>
      <c r="E7" s="4" t="s">
        <v>73</v>
      </c>
      <c r="F7" s="4">
        <v>1.0209999999999999</v>
      </c>
      <c r="G7" s="4">
        <v>1.0229999999999999</v>
      </c>
      <c r="H7" s="4">
        <v>1.0209999999999999</v>
      </c>
      <c r="I7" s="10">
        <f>AVERAGE(F7,G7,H7)</f>
        <v>1.0216666666666665</v>
      </c>
      <c r="J7" s="10">
        <f>(143.254*(I7^3))-(648.67*(I7^2))+(1125.805*(I7))-620.389</f>
        <v>5.4936102677685312</v>
      </c>
    </row>
    <row r="8" spans="1:10">
      <c r="A8" s="4"/>
      <c r="B8" s="4" t="s">
        <v>78</v>
      </c>
      <c r="C8" s="4" t="s">
        <v>72</v>
      </c>
      <c r="D8" s="7">
        <v>46216</v>
      </c>
      <c r="E8" s="4" t="s">
        <v>73</v>
      </c>
      <c r="F8" s="4">
        <v>1.024</v>
      </c>
      <c r="G8" s="4">
        <v>1.0229999999999999</v>
      </c>
      <c r="H8" s="4">
        <v>1.0209999999999999</v>
      </c>
      <c r="I8" s="10">
        <f>AVERAGE(F8,G8,H8)</f>
        <v>1.0226666666666666</v>
      </c>
      <c r="J8" s="10">
        <f>(143.254*(I8^3))-(648.67*(I8^2))+(1125.805*(I8))-620.389</f>
        <v>5.7423435505825182</v>
      </c>
    </row>
    <row r="9" spans="1:10">
      <c r="A9" s="4"/>
      <c r="B9" s="4" t="s">
        <v>79</v>
      </c>
      <c r="C9" s="4" t="s">
        <v>72</v>
      </c>
      <c r="D9" s="7">
        <v>46216</v>
      </c>
      <c r="E9" s="4" t="s">
        <v>73</v>
      </c>
      <c r="F9" s="4">
        <v>1.0209999999999999</v>
      </c>
      <c r="G9" s="4">
        <v>1.0249999999999999</v>
      </c>
      <c r="H9" s="4">
        <v>1.0249999999999999</v>
      </c>
      <c r="I9" s="10">
        <f>AVERAGE(F9,G9,H9)</f>
        <v>1.0236666666666665</v>
      </c>
      <c r="J9" s="10">
        <f>(143.254*(I9^3))-(648.67*(I9^2))+(1125.805*(I9))-620.389</f>
        <v>5.9906584999405368</v>
      </c>
    </row>
    <row r="10" spans="1:10">
      <c r="A10" s="4"/>
      <c r="B10" s="4" t="s">
        <v>80</v>
      </c>
      <c r="C10" s="4" t="s">
        <v>72</v>
      </c>
      <c r="D10" s="7">
        <v>46216</v>
      </c>
      <c r="E10" s="4" t="s">
        <v>73</v>
      </c>
      <c r="F10" s="4">
        <v>1.02</v>
      </c>
      <c r="G10" s="4">
        <v>1.0229999999999999</v>
      </c>
      <c r="H10" s="4">
        <v>1.028</v>
      </c>
      <c r="I10" s="10">
        <f>AVERAGE(F10,G10,H10)</f>
        <v>1.0236666666666667</v>
      </c>
      <c r="J10" s="10">
        <f>(143.254*(I10^3))-(648.67*(I10^2))+(1125.805*(I10))-620.389</f>
        <v>5.9906584999406505</v>
      </c>
    </row>
    <row r="11" spans="1:10">
      <c r="A11" s="4"/>
      <c r="B11" s="4" t="s">
        <v>81</v>
      </c>
      <c r="C11" s="4" t="s">
        <v>72</v>
      </c>
      <c r="D11" s="7">
        <v>46216</v>
      </c>
      <c r="E11" s="4" t="s">
        <v>73</v>
      </c>
      <c r="F11" s="4">
        <v>1.0209999999999999</v>
      </c>
      <c r="G11" s="4">
        <v>1.0229999999999999</v>
      </c>
      <c r="H11" s="4">
        <v>1.022</v>
      </c>
      <c r="I11" s="10">
        <f>AVERAGE(F11,G11,H11)</f>
        <v>1.022</v>
      </c>
      <c r="J11" s="10">
        <f>(143.254*(I11^3))-(648.67*(I11^2))+(1125.805*(I11))-620.389</f>
        <v>5.5765678965922234</v>
      </c>
    </row>
    <row r="12" spans="1:10">
      <c r="A12" s="4"/>
      <c r="B12" s="4" t="s">
        <v>82</v>
      </c>
      <c r="C12" s="4" t="s">
        <v>72</v>
      </c>
      <c r="D12" s="7">
        <v>46216</v>
      </c>
      <c r="E12" s="4" t="s">
        <v>73</v>
      </c>
      <c r="F12" s="4">
        <v>1.026</v>
      </c>
      <c r="G12" s="4">
        <v>1.026</v>
      </c>
      <c r="H12" s="4">
        <v>1.0269999999999999</v>
      </c>
      <c r="I12" s="10">
        <f>AVERAGE(F12,G12,H12)</f>
        <v>1.0263333333333333</v>
      </c>
      <c r="J12" s="10">
        <f>(143.254*(I12^3))-(648.67*(I12^2))+(1125.805*(I12))-620.389</f>
        <v>6.6507930490707849</v>
      </c>
    </row>
    <row r="13" spans="1:10">
      <c r="A13" s="4"/>
      <c r="B13" s="4" t="s">
        <v>83</v>
      </c>
      <c r="C13" s="4" t="s">
        <v>72</v>
      </c>
      <c r="D13" s="7">
        <v>46216</v>
      </c>
      <c r="E13" s="4" t="s">
        <v>73</v>
      </c>
      <c r="F13" s="4">
        <v>1.026</v>
      </c>
      <c r="G13" s="4">
        <v>1.026</v>
      </c>
      <c r="H13" s="4">
        <v>1.026</v>
      </c>
      <c r="I13" s="10">
        <f>AVERAGE(F13,G13,H13)</f>
        <v>1.026</v>
      </c>
      <c r="J13" s="10">
        <f>(143.254*(I13^3))-(648.67*(I13^2))+(1125.805*(I13))-620.389</f>
        <v>6.5684380243043279</v>
      </c>
    </row>
    <row r="14" spans="1:10">
      <c r="A14" s="4"/>
      <c r="B14" s="4" t="s">
        <v>84</v>
      </c>
      <c r="C14" s="4" t="s">
        <v>72</v>
      </c>
      <c r="D14" s="7">
        <v>46216</v>
      </c>
      <c r="E14" s="4" t="s">
        <v>73</v>
      </c>
      <c r="F14" s="4">
        <v>1.028</v>
      </c>
      <c r="G14" s="4">
        <v>1.028</v>
      </c>
      <c r="H14" s="4">
        <v>1.026</v>
      </c>
      <c r="I14" s="10">
        <f>AVERAGE(F14,G14,H14)</f>
        <v>1.0273333333333332</v>
      </c>
      <c r="J14" s="10">
        <f>(143.254*(I14^3))-(648.67*(I14^2))+(1125.805*(I14))-620.389</f>
        <v>6.8975814627954151</v>
      </c>
    </row>
    <row r="15" spans="1:10">
      <c r="A15" s="4"/>
      <c r="B15" s="4" t="s">
        <v>85</v>
      </c>
      <c r="C15" s="4" t="s">
        <v>72</v>
      </c>
      <c r="D15" s="7">
        <v>46216</v>
      </c>
      <c r="E15" s="4" t="s">
        <v>73</v>
      </c>
      <c r="F15" s="4">
        <v>1.0269999999999999</v>
      </c>
      <c r="G15" s="4">
        <v>1.026</v>
      </c>
      <c r="H15" s="4">
        <v>1.0269999999999999</v>
      </c>
      <c r="I15" s="10">
        <f>AVERAGE(F15,G15,H15)</f>
        <v>1.0266666666666666</v>
      </c>
      <c r="J15" s="10">
        <f>(143.254*(I15^3))-(648.67*(I15^2))+(1125.805*(I15))-620.389</f>
        <v>6.7331019425186014</v>
      </c>
    </row>
    <row r="16" spans="1:10">
      <c r="A16" s="4"/>
      <c r="B16" s="4" t="s">
        <v>86</v>
      </c>
      <c r="C16" s="4" t="s">
        <v>72</v>
      </c>
      <c r="D16" s="7">
        <v>46216</v>
      </c>
      <c r="E16" s="4" t="s">
        <v>73</v>
      </c>
      <c r="F16" s="4">
        <v>1.026</v>
      </c>
      <c r="G16" s="4">
        <v>1.03</v>
      </c>
      <c r="H16" s="4">
        <v>1.028</v>
      </c>
      <c r="I16" s="10">
        <f>AVERAGE(F16,G16,H16)</f>
        <v>1.028</v>
      </c>
      <c r="J16" s="10">
        <f>(143.254*(I16^3))-(648.67*(I16^2))+(1125.805*(I16))-620.389</f>
        <v>7.0618768398080647</v>
      </c>
    </row>
    <row r="17" spans="1:10">
      <c r="A17" s="4"/>
      <c r="B17" s="4" t="s">
        <v>87</v>
      </c>
      <c r="C17" s="4" t="s">
        <v>72</v>
      </c>
      <c r="D17" s="7">
        <v>46216</v>
      </c>
      <c r="E17" s="4" t="s">
        <v>73</v>
      </c>
      <c r="F17" s="4">
        <v>1.0309999999999999</v>
      </c>
      <c r="G17" s="4">
        <v>1.026</v>
      </c>
      <c r="H17" s="4">
        <v>1.0269999999999999</v>
      </c>
      <c r="I17" s="10">
        <f>AVERAGE(F17,G17,H17)</f>
        <v>1.0279999999999998</v>
      </c>
      <c r="J17" s="10">
        <f>(143.254*(I17^3))-(648.67*(I17^2))+(1125.805*(I17))-620.389</f>
        <v>7.0618768398080647</v>
      </c>
    </row>
    <row r="18" spans="1:10">
      <c r="A18" s="4"/>
      <c r="B18" s="4" t="s">
        <v>88</v>
      </c>
      <c r="C18" s="4" t="s">
        <v>72</v>
      </c>
      <c r="D18" s="7">
        <v>46216</v>
      </c>
      <c r="E18" s="4" t="s">
        <v>73</v>
      </c>
      <c r="F18" s="4">
        <v>1.024</v>
      </c>
      <c r="G18" s="4">
        <v>1.024</v>
      </c>
      <c r="H18" s="4">
        <v>1.0229999999999999</v>
      </c>
      <c r="I18" s="10">
        <f>AVERAGE(F18,G18,H18)</f>
        <v>1.0236666666666665</v>
      </c>
      <c r="J18" s="10">
        <f>(143.254*(I18^3))-(648.67*(I18^2))+(1125.805*(I18))-620.389</f>
        <v>5.9906584999405368</v>
      </c>
    </row>
    <row r="19" spans="1:10">
      <c r="A19" s="4"/>
      <c r="B19" s="4" t="s">
        <v>71</v>
      </c>
      <c r="C19" s="4" t="s">
        <v>72</v>
      </c>
      <c r="D19" s="7">
        <v>46223</v>
      </c>
      <c r="E19" s="4" t="s">
        <v>89</v>
      </c>
      <c r="F19" s="4">
        <v>1.028</v>
      </c>
      <c r="G19" s="4">
        <v>1.0329999999999999</v>
      </c>
      <c r="H19" s="4">
        <v>1.0269999999999999</v>
      </c>
      <c r="I19" s="10">
        <f>AVERAGE(F19,G19,H19)</f>
        <v>1.0293333333333334</v>
      </c>
      <c r="J19" s="10">
        <f>(143.254*(I19^3))-(648.67*(I19^2))+(1125.805*(I19))-620.389</f>
        <v>7.3899161827367834</v>
      </c>
    </row>
    <row r="20" spans="1:10">
      <c r="A20" s="4"/>
      <c r="B20" s="4" t="s">
        <v>74</v>
      </c>
      <c r="C20" s="4" t="s">
        <v>72</v>
      </c>
      <c r="D20" s="7">
        <v>46223</v>
      </c>
      <c r="E20" s="4" t="s">
        <v>89</v>
      </c>
      <c r="F20" s="4">
        <v>1.024</v>
      </c>
      <c r="G20" s="4">
        <v>1.0249999999999999</v>
      </c>
      <c r="H20" s="4">
        <v>1.0189999999999999</v>
      </c>
      <c r="I20" s="10">
        <f>AVERAGE(F20,G20,H20)</f>
        <v>1.0226666666666666</v>
      </c>
      <c r="J20" s="10">
        <f>(143.254*(I20^3))-(648.67*(I20^2))+(1125.805*(I20))-620.389</f>
        <v>5.7423435505825182</v>
      </c>
    </row>
    <row r="21" spans="1:10">
      <c r="A21" s="4"/>
      <c r="B21" s="4" t="s">
        <v>75</v>
      </c>
      <c r="C21" s="4" t="s">
        <v>72</v>
      </c>
      <c r="D21" s="7">
        <v>46223</v>
      </c>
      <c r="E21" s="4" t="s">
        <v>89</v>
      </c>
      <c r="F21" s="4">
        <v>1.0269999999999999</v>
      </c>
      <c r="G21" s="4">
        <v>1.0249999999999999</v>
      </c>
      <c r="H21" s="4">
        <v>1.0289999999999999</v>
      </c>
      <c r="I21" s="10">
        <f>AVERAGE(F21,G21,H21)</f>
        <v>1.0269999999999999</v>
      </c>
      <c r="J21" s="10">
        <f>(143.254*(I21^3))-(648.67*(I21^2))+(1125.805*(I21))-620.389</f>
        <v>6.8153647364820245</v>
      </c>
    </row>
    <row r="22" spans="1:10">
      <c r="A22" s="4"/>
      <c r="B22" s="4" t="s">
        <v>76</v>
      </c>
      <c r="C22" s="4" t="s">
        <v>72</v>
      </c>
      <c r="D22" s="7">
        <v>46223</v>
      </c>
      <c r="E22" s="4" t="s">
        <v>89</v>
      </c>
      <c r="F22" s="4">
        <v>1.022</v>
      </c>
      <c r="G22" s="4">
        <v>1.0249999999999999</v>
      </c>
      <c r="H22" s="4">
        <v>1.0229999999999999</v>
      </c>
      <c r="I22" s="10">
        <f>AVERAGE(F22,G22,H22)</f>
        <v>1.0233333333333332</v>
      </c>
      <c r="J22" s="10">
        <f>(143.254*(I22^3))-(648.67*(I22^2))+(1125.805*(I22))-620.389</f>
        <v>5.9079332785926226</v>
      </c>
    </row>
    <row r="23" spans="1:10">
      <c r="A23" s="4"/>
      <c r="B23" s="4" t="s">
        <v>90</v>
      </c>
      <c r="C23" s="4" t="s">
        <v>72</v>
      </c>
      <c r="D23" s="7">
        <v>46223</v>
      </c>
      <c r="E23" s="4" t="s">
        <v>89</v>
      </c>
      <c r="F23" s="4">
        <v>1.024</v>
      </c>
      <c r="G23" s="4">
        <v>1.0229999999999999</v>
      </c>
      <c r="H23" s="4">
        <v>1.022</v>
      </c>
      <c r="I23" s="10">
        <f>AVERAGE(F23,G23,H23)</f>
        <v>1.0229999999999999</v>
      </c>
      <c r="J23" s="10">
        <f>(143.254*(I23^3))-(648.67*(I23^2))+(1125.805*(I23))-620.389</f>
        <v>5.8251616394181838</v>
      </c>
    </row>
    <row r="24" spans="1:10">
      <c r="A24" s="4"/>
      <c r="B24" s="4" t="s">
        <v>77</v>
      </c>
      <c r="C24" s="4" t="s">
        <v>72</v>
      </c>
      <c r="D24" s="7">
        <v>46223</v>
      </c>
      <c r="E24" s="4" t="s">
        <v>89</v>
      </c>
      <c r="F24" s="4">
        <v>1.0229999999999999</v>
      </c>
      <c r="G24" s="4">
        <v>1.0209999999999999</v>
      </c>
      <c r="H24" s="4">
        <v>1.02</v>
      </c>
      <c r="I24" s="10">
        <f>AVERAGE(F24,G24,H24)</f>
        <v>1.0213333333333332</v>
      </c>
      <c r="J24" s="10">
        <f>(143.254*(I24^3))-(648.67*(I24^2))+(1125.805*(I24))-620.389</f>
        <v>5.4106060619473055</v>
      </c>
    </row>
    <row r="25" spans="1:10">
      <c r="A25" s="4"/>
      <c r="B25" s="4" t="s">
        <v>78</v>
      </c>
      <c r="C25" s="4" t="s">
        <v>72</v>
      </c>
      <c r="D25" s="7">
        <v>46223</v>
      </c>
      <c r="E25" s="4" t="s">
        <v>89</v>
      </c>
      <c r="F25" s="4">
        <v>1.0229999999999999</v>
      </c>
      <c r="G25" s="4">
        <v>1.026</v>
      </c>
      <c r="H25" s="4">
        <v>1.0249999999999999</v>
      </c>
      <c r="I25" s="10">
        <f>AVERAGE(F25,G25,H25)</f>
        <v>1.0246666666666666</v>
      </c>
      <c r="J25" s="10">
        <f>(143.254*(I25^3))-(648.67*(I25^2))+(1125.805*(I25))-620.389</f>
        <v>6.2385559753664666</v>
      </c>
    </row>
    <row r="26" spans="1:10">
      <c r="A26" s="4"/>
      <c r="B26" s="4" t="s">
        <v>79</v>
      </c>
      <c r="C26" s="4" t="s">
        <v>72</v>
      </c>
      <c r="D26" s="7">
        <v>46223</v>
      </c>
      <c r="E26" s="4" t="s">
        <v>89</v>
      </c>
      <c r="F26" s="4">
        <v>1.0269999999999999</v>
      </c>
      <c r="G26" s="4">
        <v>1.026</v>
      </c>
      <c r="H26" s="4">
        <v>1.024</v>
      </c>
      <c r="I26" s="10">
        <f>AVERAGE(F26,G26,H26)</f>
        <v>1.0256666666666667</v>
      </c>
      <c r="J26" s="10">
        <f>(143.254*(I26^3))-(648.67*(I26^2))+(1125.805*(I26))-620.389</f>
        <v>6.4860368363846419</v>
      </c>
    </row>
    <row r="27" spans="1:10">
      <c r="A27" s="4"/>
      <c r="B27" s="4" t="s">
        <v>80</v>
      </c>
      <c r="C27" s="4" t="s">
        <v>72</v>
      </c>
      <c r="D27" s="7">
        <v>46223</v>
      </c>
      <c r="E27" s="4" t="s">
        <v>89</v>
      </c>
      <c r="F27" s="4">
        <v>1.0209999999999999</v>
      </c>
      <c r="G27" s="4">
        <v>1.02</v>
      </c>
      <c r="H27" s="4">
        <v>1.018</v>
      </c>
      <c r="I27" s="10">
        <f>AVERAGE(F27,G27,H27)</f>
        <v>1.0196666666666667</v>
      </c>
      <c r="J27" s="10">
        <f>(143.254*(I27^3))-(648.67*(I27^2))+(1125.805*(I27))-620.389</f>
        <v>4.9948852636767924</v>
      </c>
    </row>
    <row r="28" spans="1:10">
      <c r="A28" s="4"/>
      <c r="B28" s="4" t="s">
        <v>81</v>
      </c>
      <c r="C28" s="4" t="s">
        <v>72</v>
      </c>
      <c r="D28" s="7">
        <v>46223</v>
      </c>
      <c r="E28" s="4" t="s">
        <v>89</v>
      </c>
      <c r="F28" s="4">
        <v>1.0269999999999999</v>
      </c>
      <c r="G28" s="4">
        <v>1.02</v>
      </c>
      <c r="H28" s="4">
        <v>1.02</v>
      </c>
      <c r="I28" s="10">
        <f>AVERAGE(F28,G28,H28)</f>
        <v>1.0223333333333333</v>
      </c>
      <c r="J28" s="10">
        <f>(143.254*(I28^3))-(648.67*(I28^2))+(1125.805*(I28))-620.389</f>
        <v>5.6594789802519472</v>
      </c>
    </row>
    <row r="29" spans="1:10">
      <c r="B29" s="4" t="s">
        <v>82</v>
      </c>
      <c r="C29" s="4" t="s">
        <v>72</v>
      </c>
      <c r="D29" s="8">
        <v>46223</v>
      </c>
      <c r="E29" s="4" t="s">
        <v>89</v>
      </c>
      <c r="F29">
        <v>1.02</v>
      </c>
      <c r="G29">
        <v>1.026</v>
      </c>
      <c r="H29">
        <v>1.0229999999999999</v>
      </c>
      <c r="I29" s="10">
        <f>AVERAGE(F29,G29,H29)</f>
        <v>1.0229999999999999</v>
      </c>
      <c r="J29" s="10">
        <f>(143.254*(I29^3))-(648.67*(I29^2))+(1125.805*(I29))-620.389</f>
        <v>5.8251616394181838</v>
      </c>
    </row>
    <row r="30" spans="1:10">
      <c r="B30" t="s">
        <v>83</v>
      </c>
      <c r="C30" s="4" t="s">
        <v>72</v>
      </c>
      <c r="D30" s="8">
        <v>46223</v>
      </c>
      <c r="E30" s="4" t="s">
        <v>89</v>
      </c>
      <c r="F30">
        <v>1.026</v>
      </c>
      <c r="G30">
        <v>1.026</v>
      </c>
      <c r="H30">
        <v>1.0269999999999999</v>
      </c>
      <c r="I30" s="10">
        <f>AVERAGE(F30,G30,H30)</f>
        <v>1.0263333333333333</v>
      </c>
      <c r="J30" s="10">
        <f>(143.254*(I30^3))-(648.67*(I30^2))+(1125.805*(I30))-620.389</f>
        <v>6.6507930490707849</v>
      </c>
    </row>
    <row r="31" spans="1:10">
      <c r="A31" s="4"/>
      <c r="B31" s="4" t="s">
        <v>84</v>
      </c>
      <c r="C31" s="4" t="s">
        <v>72</v>
      </c>
      <c r="D31" s="7">
        <v>46223</v>
      </c>
      <c r="E31" s="4" t="s">
        <v>89</v>
      </c>
      <c r="F31" s="4">
        <v>1.0109999999999999</v>
      </c>
      <c r="G31" s="4">
        <v>1.0169999999999999</v>
      </c>
      <c r="H31" s="4" t="s">
        <v>91</v>
      </c>
      <c r="I31" s="10">
        <f>AVERAGE(F31,G31,H31)</f>
        <v>1.0139999999999998</v>
      </c>
      <c r="J31" s="10">
        <f>(143.254*(I31^3))-(648.67*(I31^2))+(1125.805*(I31))-620.389</f>
        <v>3.5726651209760121</v>
      </c>
    </row>
    <row r="32" spans="1:10">
      <c r="B32" t="s">
        <v>85</v>
      </c>
      <c r="C32" s="4" t="s">
        <v>72</v>
      </c>
      <c r="D32" s="8">
        <v>46223</v>
      </c>
      <c r="E32" s="4" t="s">
        <v>89</v>
      </c>
      <c r="F32">
        <v>1.028</v>
      </c>
      <c r="G32">
        <v>1.0249999999999999</v>
      </c>
      <c r="H32">
        <v>1.026</v>
      </c>
      <c r="I32" s="10">
        <f>AVERAGE(F32,G32,H32)</f>
        <v>1.0263333333333333</v>
      </c>
      <c r="J32" s="10">
        <f>(143.254*(I32^3))-(648.67*(I32^2))+(1125.805*(I32))-620.389</f>
        <v>6.6507930490707849</v>
      </c>
    </row>
    <row r="33" spans="2:10">
      <c r="B33" t="s">
        <v>87</v>
      </c>
      <c r="C33" s="4" t="s">
        <v>72</v>
      </c>
      <c r="D33" s="8">
        <v>46223</v>
      </c>
      <c r="E33" s="4" t="s">
        <v>89</v>
      </c>
      <c r="F33">
        <v>1.022</v>
      </c>
      <c r="G33">
        <v>1.0209999999999999</v>
      </c>
      <c r="H33">
        <v>1.0189999999999999</v>
      </c>
      <c r="I33" s="10">
        <f>AVERAGE(F33,G33,H33)</f>
        <v>1.0206666666666668</v>
      </c>
      <c r="J33" s="10">
        <f>(143.254*(I33^3))-(648.67*(I33^2))+(1125.805*(I33))-620.389</f>
        <v>5.2444577919746962</v>
      </c>
    </row>
    <row r="34" spans="2:10">
      <c r="B34" t="s">
        <v>92</v>
      </c>
      <c r="C34" s="4" t="s">
        <v>72</v>
      </c>
      <c r="D34" s="8">
        <v>46223</v>
      </c>
      <c r="E34" s="4" t="s">
        <v>89</v>
      </c>
      <c r="F34">
        <v>1.016</v>
      </c>
      <c r="G34">
        <v>1.0169999999999999</v>
      </c>
      <c r="H34">
        <v>1.016</v>
      </c>
      <c r="I34" s="10">
        <f>AVERAGE(F34,G34,H34)</f>
        <v>1.0163333333333333</v>
      </c>
      <c r="J34" s="10">
        <f>(143.254*(I34^3))-(648.67*(I34^2))+(1125.805*(I34))-620.389</f>
        <v>4.159932087623929</v>
      </c>
    </row>
    <row r="35" spans="2:10">
      <c r="B35" t="s">
        <v>88</v>
      </c>
      <c r="C35" s="4" t="s">
        <v>72</v>
      </c>
      <c r="D35" s="8">
        <v>46223</v>
      </c>
      <c r="E35" s="4" t="s">
        <v>89</v>
      </c>
      <c r="F35">
        <v>1.0269999999999999</v>
      </c>
      <c r="G35">
        <v>1.0249999999999999</v>
      </c>
      <c r="H35">
        <v>1.0269999999999999</v>
      </c>
      <c r="I35" s="10">
        <f>AVERAGE(F35,G35,H35)</f>
        <v>1.0263333333333333</v>
      </c>
      <c r="J35" s="10">
        <f>(143.254*(I35^3))-(648.67*(I35^2))+(1125.805*(I35))-620.389</f>
        <v>6.6507930490707849</v>
      </c>
    </row>
    <row r="36" spans="2:10">
      <c r="B36" t="s">
        <v>93</v>
      </c>
      <c r="C36" s="4" t="s">
        <v>72</v>
      </c>
      <c r="D36" s="8">
        <v>46223</v>
      </c>
      <c r="E36" s="4" t="s">
        <v>89</v>
      </c>
      <c r="F36">
        <v>1.0229999999999999</v>
      </c>
      <c r="G36">
        <v>1.022</v>
      </c>
      <c r="H36">
        <v>1.0229999999999999</v>
      </c>
      <c r="I36" s="10">
        <f>AVERAGE(F36,G36,H36)</f>
        <v>1.0226666666666666</v>
      </c>
      <c r="J36" s="10">
        <f>(143.254*(I36^3))-(648.67*(I36^2))+(1125.805*(I36))-620.389</f>
        <v>5.7423435505825182</v>
      </c>
    </row>
    <row r="37" spans="2:10">
      <c r="B37" t="s">
        <v>94</v>
      </c>
      <c r="C37" s="4" t="s">
        <v>72</v>
      </c>
      <c r="D37" s="8">
        <v>46223</v>
      </c>
      <c r="E37" s="4" t="s">
        <v>89</v>
      </c>
      <c r="F37">
        <v>1.0229999999999999</v>
      </c>
      <c r="G37">
        <v>1.0229999999999999</v>
      </c>
      <c r="H37">
        <v>1.0229999999999999</v>
      </c>
      <c r="I37" s="10">
        <f>AVERAGE(F37,G37,H37)</f>
        <v>1.0229999999999999</v>
      </c>
      <c r="J37" s="10">
        <f>(143.254*(I37^3))-(648.67*(I37^2))+(1125.805*(I37))-620.389</f>
        <v>5.8251616394181838</v>
      </c>
    </row>
    <row r="38" spans="2:10">
      <c r="B38" t="s">
        <v>74</v>
      </c>
      <c r="C38" s="4" t="s">
        <v>12</v>
      </c>
      <c r="D38" s="8">
        <v>46230</v>
      </c>
      <c r="E38" t="s">
        <v>36</v>
      </c>
      <c r="F38">
        <v>1.0209999999999999</v>
      </c>
      <c r="G38">
        <v>1.0209999999999999</v>
      </c>
      <c r="H38">
        <v>1.0209999999999999</v>
      </c>
      <c r="I38" s="10">
        <f>AVERAGE(F38,G38,H38)</f>
        <v>1.0209999999999999</v>
      </c>
      <c r="J38" s="10">
        <f>(143.254*(I38^3))-(648.67*(I38^2))+(1125.805*(I38))-620.389</f>
        <v>5.3275552472941854</v>
      </c>
    </row>
    <row r="39" spans="2:10">
      <c r="B39" t="s">
        <v>75</v>
      </c>
      <c r="C39" s="4" t="s">
        <v>12</v>
      </c>
      <c r="D39" s="8">
        <v>46230</v>
      </c>
      <c r="E39" t="s">
        <v>36</v>
      </c>
      <c r="F39">
        <v>1.03</v>
      </c>
      <c r="G39">
        <v>1.03</v>
      </c>
      <c r="H39">
        <v>1.0309999999999999</v>
      </c>
      <c r="I39" s="10">
        <f>AVERAGE(F39,G39,H39)</f>
        <v>1.0303333333333333</v>
      </c>
      <c r="J39" s="10">
        <f>(143.254*(I39^3))-(648.67*(I39^2))+(1125.805*(I39))-620.389</f>
        <v>7.6354642080015083</v>
      </c>
    </row>
    <row r="40" spans="2:10">
      <c r="B40" t="s">
        <v>76</v>
      </c>
      <c r="C40" s="4" t="s">
        <v>12</v>
      </c>
      <c r="D40" s="8">
        <v>46230</v>
      </c>
      <c r="E40" t="s">
        <v>36</v>
      </c>
      <c r="F40">
        <v>1.026</v>
      </c>
      <c r="G40">
        <v>1.0269999999999999</v>
      </c>
      <c r="H40">
        <v>1.028</v>
      </c>
      <c r="I40" s="10">
        <f>AVERAGE(F40,G40,H40)</f>
        <v>1.0269999999999999</v>
      </c>
      <c r="J40" s="10">
        <f>(143.254*(I40^3))-(648.67*(I40^2))+(1125.805*(I40))-620.389</f>
        <v>6.8153647364820245</v>
      </c>
    </row>
    <row r="41" spans="2:10">
      <c r="B41" t="s">
        <v>90</v>
      </c>
      <c r="C41" s="4" t="s">
        <v>12</v>
      </c>
      <c r="D41" s="8">
        <v>46230</v>
      </c>
      <c r="E41" t="s">
        <v>36</v>
      </c>
      <c r="F41">
        <v>1.03</v>
      </c>
      <c r="G41">
        <v>1.0309999999999999</v>
      </c>
      <c r="H41">
        <v>1.032</v>
      </c>
      <c r="I41" s="10">
        <f>AVERAGE(F41,G41,H41)</f>
        <v>1.0309999999999999</v>
      </c>
      <c r="J41" s="10">
        <f>(143.254*(I41^3))-(648.67*(I41^2))+(1125.805*(I41))-620.389</f>
        <v>7.7989340919140204</v>
      </c>
    </row>
    <row r="42" spans="2:10">
      <c r="B42" t="s">
        <v>77</v>
      </c>
      <c r="C42" s="4" t="s">
        <v>12</v>
      </c>
      <c r="D42" s="8">
        <v>46230</v>
      </c>
      <c r="E42" t="s">
        <v>36</v>
      </c>
      <c r="F42">
        <v>1.0209999999999999</v>
      </c>
      <c r="G42">
        <v>1.0209999999999999</v>
      </c>
      <c r="H42">
        <v>1.028</v>
      </c>
      <c r="I42" s="10">
        <f>AVERAGE(F42,G42,H42)</f>
        <v>1.0233333333333332</v>
      </c>
      <c r="J42" s="10">
        <f>(143.254*(I42^3))-(648.67*(I42^2))+(1125.805*(I42))-620.389</f>
        <v>5.9079332785926226</v>
      </c>
    </row>
    <row r="43" spans="2:10">
      <c r="B43" t="s">
        <v>78</v>
      </c>
      <c r="C43" s="4"/>
      <c r="D43" s="8">
        <v>46230</v>
      </c>
      <c r="F43">
        <v>1.0229999999999999</v>
      </c>
      <c r="G43">
        <v>1.0229999999999999</v>
      </c>
      <c r="H43">
        <v>1.022</v>
      </c>
      <c r="I43" s="10">
        <f t="shared" ref="I43:I53" si="0">AVERAGE(F43,G43,H43)</f>
        <v>1.0226666666666666</v>
      </c>
      <c r="J43" s="10">
        <f t="shared" ref="J43:J53" si="1">(143.254*(I43^3))-(648.67*(I43^2))+(1125.805*(I43))-620.389</f>
        <v>5.7423435505825182</v>
      </c>
    </row>
    <row r="44" spans="2:10">
      <c r="B44" t="s">
        <v>79</v>
      </c>
      <c r="C44" s="4" t="s">
        <v>12</v>
      </c>
      <c r="D44" s="8">
        <v>46230</v>
      </c>
      <c r="E44" t="s">
        <v>36</v>
      </c>
      <c r="F44">
        <v>1.0309999999999999</v>
      </c>
      <c r="G44">
        <v>1.032</v>
      </c>
      <c r="H44">
        <v>1.0309999999999999</v>
      </c>
      <c r="I44" s="10">
        <f t="shared" si="0"/>
        <v>1.0313333333333332</v>
      </c>
      <c r="J44" s="10">
        <f t="shared" si="1"/>
        <v>7.8806004894937587</v>
      </c>
    </row>
    <row r="45" spans="2:10">
      <c r="B45" t="s">
        <v>80</v>
      </c>
      <c r="C45" s="4"/>
      <c r="D45" s="8">
        <v>46230</v>
      </c>
      <c r="F45">
        <v>1.02</v>
      </c>
      <c r="G45">
        <v>1.02</v>
      </c>
      <c r="H45">
        <v>1.02</v>
      </c>
      <c r="I45" s="10">
        <f t="shared" si="0"/>
        <v>1.02</v>
      </c>
      <c r="J45" s="10">
        <f t="shared" si="1"/>
        <v>5.0781228320000764</v>
      </c>
    </row>
    <row r="46" spans="2:10">
      <c r="B46" t="s">
        <v>81</v>
      </c>
      <c r="C46" s="4" t="s">
        <v>12</v>
      </c>
      <c r="D46" s="8">
        <v>46230</v>
      </c>
      <c r="E46" t="s">
        <v>36</v>
      </c>
      <c r="F46">
        <v>1.026</v>
      </c>
      <c r="G46">
        <v>1.0249999999999999</v>
      </c>
      <c r="H46">
        <v>1.024</v>
      </c>
      <c r="I46" s="10">
        <f t="shared" si="0"/>
        <v>1.0250000000000001</v>
      </c>
      <c r="J46" s="10">
        <f t="shared" si="1"/>
        <v>6.3210958437500722</v>
      </c>
    </row>
    <row r="47" spans="2:10">
      <c r="B47" t="s">
        <v>82</v>
      </c>
      <c r="C47" s="4" t="s">
        <v>12</v>
      </c>
      <c r="D47" s="8">
        <v>46230</v>
      </c>
      <c r="E47" t="s">
        <v>36</v>
      </c>
      <c r="F47">
        <v>1.0289999999999999</v>
      </c>
      <c r="G47">
        <v>1.03</v>
      </c>
      <c r="H47">
        <v>1.024</v>
      </c>
      <c r="I47" s="10">
        <f t="shared" si="0"/>
        <v>1.0276666666666667</v>
      </c>
      <c r="J47" s="10">
        <f t="shared" si="1"/>
        <v>6.9797521532925657</v>
      </c>
    </row>
    <row r="48" spans="2:10">
      <c r="B48" t="s">
        <v>83</v>
      </c>
      <c r="C48" s="4"/>
      <c r="D48" s="8"/>
      <c r="F48">
        <v>1.0269999999999999</v>
      </c>
      <c r="G48">
        <v>1.026</v>
      </c>
      <c r="H48">
        <v>1.0269999999999999</v>
      </c>
      <c r="I48" s="10">
        <f t="shared" si="0"/>
        <v>1.0266666666666666</v>
      </c>
      <c r="J48" s="10">
        <f t="shared" si="1"/>
        <v>6.7331019425186014</v>
      </c>
    </row>
    <row r="49" spans="2:10">
      <c r="B49" t="s">
        <v>84</v>
      </c>
      <c r="C49" s="4" t="s">
        <v>12</v>
      </c>
      <c r="D49" s="8">
        <v>46230</v>
      </c>
      <c r="E49" t="s">
        <v>36</v>
      </c>
      <c r="F49">
        <v>1.0269999999999999</v>
      </c>
      <c r="G49">
        <v>1.0309999999999999</v>
      </c>
      <c r="H49">
        <v>1.028</v>
      </c>
      <c r="I49" s="10">
        <f t="shared" si="0"/>
        <v>1.0286666666666666</v>
      </c>
      <c r="J49" s="10">
        <f t="shared" si="1"/>
        <v>7.2259883282306419</v>
      </c>
    </row>
    <row r="50" spans="2:10">
      <c r="B50" t="s">
        <v>85</v>
      </c>
      <c r="C50" s="4"/>
      <c r="D50" s="8"/>
      <c r="F50">
        <v>1.0229999999999999</v>
      </c>
      <c r="G50">
        <v>1.024</v>
      </c>
      <c r="H50">
        <v>1.0229999999999999</v>
      </c>
      <c r="I50" s="10">
        <f t="shared" si="0"/>
        <v>1.0233333333333332</v>
      </c>
      <c r="J50" s="10">
        <f t="shared" si="1"/>
        <v>5.9079332785926226</v>
      </c>
    </row>
    <row r="51" spans="2:10">
      <c r="B51" t="s">
        <v>86</v>
      </c>
      <c r="C51" s="4" t="s">
        <v>12</v>
      </c>
      <c r="D51" s="8">
        <v>46230</v>
      </c>
      <c r="E51" t="s">
        <v>89</v>
      </c>
      <c r="F51">
        <v>1.032</v>
      </c>
      <c r="G51">
        <v>1.032</v>
      </c>
      <c r="H51">
        <v>1.032</v>
      </c>
      <c r="I51" s="10">
        <f t="shared" si="0"/>
        <v>1.032</v>
      </c>
      <c r="J51" s="10">
        <f t="shared" si="1"/>
        <v>8.0437963550721179</v>
      </c>
    </row>
    <row r="52" spans="2:10">
      <c r="B52" t="s">
        <v>95</v>
      </c>
      <c r="C52" s="4" t="s">
        <v>12</v>
      </c>
      <c r="D52" s="8">
        <v>46230</v>
      </c>
      <c r="E52" t="s">
        <v>73</v>
      </c>
      <c r="F52">
        <v>1.0229999999999999</v>
      </c>
      <c r="G52">
        <v>1.022</v>
      </c>
      <c r="H52">
        <v>1.0209999999999999</v>
      </c>
      <c r="I52" s="10">
        <f t="shared" si="0"/>
        <v>1.022</v>
      </c>
      <c r="J52" s="10">
        <f t="shared" si="1"/>
        <v>5.5765678965922234</v>
      </c>
    </row>
    <row r="53" spans="2:10">
      <c r="B53" t="s">
        <v>96</v>
      </c>
      <c r="C53" s="4" t="s">
        <v>12</v>
      </c>
      <c r="D53" s="8">
        <v>46230</v>
      </c>
      <c r="E53" t="s">
        <v>73</v>
      </c>
      <c r="F53">
        <v>1.02</v>
      </c>
      <c r="G53">
        <v>1.0229999999999999</v>
      </c>
      <c r="H53">
        <v>1.022</v>
      </c>
      <c r="I53" s="10">
        <f t="shared" si="0"/>
        <v>1.0216666666666667</v>
      </c>
      <c r="J53" s="10">
        <f t="shared" si="1"/>
        <v>5.4936102677685312</v>
      </c>
    </row>
    <row r="54" spans="2:10">
      <c r="B54" t="s">
        <v>97</v>
      </c>
      <c r="C54" t="s">
        <v>98</v>
      </c>
      <c r="D54" s="8">
        <v>46226</v>
      </c>
      <c r="E54" t="s">
        <v>73</v>
      </c>
      <c r="F54">
        <v>1.0329999999999999</v>
      </c>
      <c r="G54">
        <v>1.026</v>
      </c>
      <c r="H54">
        <v>1.0269999999999999</v>
      </c>
      <c r="I54" s="10">
        <f>AVERAGE(F54,G54,H54)</f>
        <v>1.0286666666666668</v>
      </c>
      <c r="J54" s="10">
        <f>(143.254*(I54^3))-(648.67*(I54^2))+(1125.805*(I54))-620.389</f>
        <v>7.2259883282306419</v>
      </c>
    </row>
    <row r="55" spans="2:10">
      <c r="B55" t="s">
        <v>99</v>
      </c>
      <c r="C55" t="s">
        <v>98</v>
      </c>
      <c r="D55" s="8">
        <v>46215</v>
      </c>
      <c r="E55" t="s">
        <v>73</v>
      </c>
      <c r="F55">
        <v>1.03</v>
      </c>
      <c r="G55">
        <v>1.0269999999999999</v>
      </c>
      <c r="H55">
        <v>1.0309999999999999</v>
      </c>
      <c r="I55" s="10">
        <f>AVERAGE(F55,G55,H55)</f>
        <v>1.0293333333333334</v>
      </c>
      <c r="J55" s="10">
        <f>(143.254*(I55^3))-(648.67*(I55^2))+(1125.805*(I55))-620.389</f>
        <v>7.3899161827367834</v>
      </c>
    </row>
    <row r="56" spans="2:10">
      <c r="B56" t="s">
        <v>100</v>
      </c>
      <c r="C56" t="s">
        <v>98</v>
      </c>
      <c r="D56" s="8">
        <v>46215</v>
      </c>
      <c r="E56" t="s">
        <v>73</v>
      </c>
      <c r="F56">
        <v>1.022</v>
      </c>
      <c r="G56">
        <v>1.0209999999999999</v>
      </c>
      <c r="H56">
        <v>1.022</v>
      </c>
      <c r="I56" s="10">
        <f>AVERAGE(F56,G56,H56)</f>
        <v>1.0216666666666667</v>
      </c>
      <c r="J56" s="10">
        <f>(143.254*(I56^3))-(648.67*(I56^2))+(1125.805*(I56))-620.389</f>
        <v>5.4936102677685312</v>
      </c>
    </row>
    <row r="57" spans="2:10">
      <c r="B57" t="s">
        <v>101</v>
      </c>
      <c r="C57" t="s">
        <v>98</v>
      </c>
      <c r="D57" s="8">
        <v>46215</v>
      </c>
      <c r="E57" t="s">
        <v>73</v>
      </c>
      <c r="F57">
        <v>1.03</v>
      </c>
      <c r="G57">
        <v>1.03</v>
      </c>
      <c r="H57">
        <v>1.03</v>
      </c>
      <c r="I57" s="10">
        <f>AVERAGE(F57,G57,H57)</f>
        <v>1.03</v>
      </c>
      <c r="J57" s="10">
        <f>(143.254*(I57^3))-(648.67*(I57^2))+(1125.805*(I57))-620.389</f>
        <v>7.5536606580000125</v>
      </c>
    </row>
    <row r="58" spans="2:10">
      <c r="B58" t="s">
        <v>102</v>
      </c>
      <c r="C58" t="s">
        <v>98</v>
      </c>
      <c r="D58" s="8">
        <v>46215</v>
      </c>
      <c r="E58" t="s">
        <v>73</v>
      </c>
      <c r="F58">
        <v>1.026</v>
      </c>
      <c r="G58">
        <v>1.028</v>
      </c>
      <c r="H58">
        <v>1.0329999999999999</v>
      </c>
      <c r="I58" s="10">
        <f>AVERAGE(F58,G58,H58)</f>
        <v>1.0290000000000001</v>
      </c>
      <c r="J58" s="10">
        <f>(143.254*(I58^3))-(648.67*(I58^2))+(1125.805*(I58))-620.389</f>
        <v>7.3079751938059871</v>
      </c>
    </row>
    <row r="59" spans="2:10">
      <c r="B59" t="s">
        <v>103</v>
      </c>
      <c r="C59" t="s">
        <v>98</v>
      </c>
      <c r="D59" s="8">
        <v>46215</v>
      </c>
      <c r="E59" t="s">
        <v>73</v>
      </c>
      <c r="F59">
        <v>1.024</v>
      </c>
      <c r="G59">
        <v>1.0249999999999999</v>
      </c>
      <c r="H59">
        <v>1.024</v>
      </c>
      <c r="I59" s="10">
        <f>AVERAGE(F59,G59,H59)</f>
        <v>1.0243333333333333</v>
      </c>
      <c r="J59" s="10">
        <f>(143.254*(I59^3))-(648.67*(I59^2))+(1125.805*(I59))-620.389</f>
        <v>6.1559698164933252</v>
      </c>
    </row>
    <row r="60" spans="2:10">
      <c r="B60" t="s">
        <v>104</v>
      </c>
      <c r="C60" t="s">
        <v>98</v>
      </c>
      <c r="D60" s="8">
        <v>46215</v>
      </c>
      <c r="E60" t="s">
        <v>73</v>
      </c>
      <c r="F60">
        <v>1.0249999999999999</v>
      </c>
      <c r="G60">
        <v>1.0229999999999999</v>
      </c>
      <c r="H60" s="26">
        <v>1.024</v>
      </c>
      <c r="I60" s="10">
        <f>AVERAGE(F60,G60,H60)</f>
        <v>1.024</v>
      </c>
      <c r="J60" s="10">
        <f>(143.254*(I60^3))-(648.67*(I60^2))+(1125.805*(I60))-620.389</f>
        <v>6.0733373352961735</v>
      </c>
    </row>
    <row r="61" spans="2:10">
      <c r="B61" t="s">
        <v>105</v>
      </c>
      <c r="C61" t="s">
        <v>98</v>
      </c>
      <c r="D61" s="8">
        <v>46215</v>
      </c>
      <c r="E61" t="s">
        <v>73</v>
      </c>
      <c r="F61" s="26">
        <v>1.0209999999999999</v>
      </c>
      <c r="G61">
        <v>1.022</v>
      </c>
      <c r="H61">
        <v>1.0209999999999999</v>
      </c>
      <c r="I61" s="10">
        <f>AVERAGE(F61,G61,H61)</f>
        <v>1.0213333333333334</v>
      </c>
      <c r="J61" s="10">
        <f>(143.254*(I61^3))-(648.67*(I61^2))+(1125.805*(I61))-620.389</f>
        <v>5.4106060619473055</v>
      </c>
    </row>
    <row r="62" spans="2:10">
      <c r="B62" t="s">
        <v>106</v>
      </c>
      <c r="C62" t="s">
        <v>98</v>
      </c>
      <c r="D62" s="8">
        <v>46215</v>
      </c>
      <c r="E62" t="s">
        <v>73</v>
      </c>
      <c r="F62">
        <v>1.0229999999999999</v>
      </c>
      <c r="G62">
        <v>1.024</v>
      </c>
      <c r="H62">
        <v>1.0229999999999999</v>
      </c>
      <c r="I62" s="10">
        <f>AVERAGE(F62,G62,H62)</f>
        <v>1.0233333333333332</v>
      </c>
      <c r="J62" s="10">
        <f>(143.254*(I62^3))-(648.67*(I62^2))+(1125.805*(I62))-620.389</f>
        <v>5.9079332785926226</v>
      </c>
    </row>
    <row r="63" spans="2:10">
      <c r="B63" t="s">
        <v>107</v>
      </c>
      <c r="C63" t="s">
        <v>98</v>
      </c>
      <c r="D63" s="8">
        <v>46215</v>
      </c>
      <c r="E63" t="s">
        <v>73</v>
      </c>
      <c r="F63">
        <v>1.018</v>
      </c>
      <c r="G63">
        <v>1.018</v>
      </c>
      <c r="H63">
        <v>1.018</v>
      </c>
      <c r="I63" s="10">
        <f>AVERAGE(F63,G63,H63)</f>
        <v>1.018</v>
      </c>
      <c r="J63" s="10">
        <f>(143.254*(I63^3))-(648.67*(I63^2))+(1125.805*(I63))-620.389</f>
        <v>4.5779952653281271</v>
      </c>
    </row>
    <row r="64" spans="2:10">
      <c r="B64" t="s">
        <v>108</v>
      </c>
      <c r="C64" t="s">
        <v>98</v>
      </c>
      <c r="D64" s="8">
        <v>46215</v>
      </c>
      <c r="E64" t="s">
        <v>73</v>
      </c>
      <c r="F64">
        <v>1.022</v>
      </c>
      <c r="G64">
        <v>1.022</v>
      </c>
      <c r="H64">
        <v>1.022</v>
      </c>
      <c r="I64" s="10">
        <f>AVERAGE(F64,G64,H64)</f>
        <v>1.022</v>
      </c>
      <c r="J64" s="10">
        <f>(143.254*(I64^3))-(648.67*(I64^2))+(1125.805*(I64))-620.389</f>
        <v>5.5765678965922234</v>
      </c>
    </row>
    <row r="65" spans="2:10">
      <c r="B65" t="s">
        <v>109</v>
      </c>
      <c r="C65" t="s">
        <v>98</v>
      </c>
      <c r="D65" s="8">
        <v>46215</v>
      </c>
      <c r="E65" t="s">
        <v>73</v>
      </c>
      <c r="F65">
        <v>1.0229999999999999</v>
      </c>
      <c r="G65">
        <v>1.0229999999999999</v>
      </c>
      <c r="H65">
        <v>1.0229999999999999</v>
      </c>
      <c r="I65" s="10">
        <f>AVERAGE(F65,G65,H65)</f>
        <v>1.0229999999999999</v>
      </c>
      <c r="J65" s="10">
        <f>(143.254*(I65^3))-(648.67*(I65^2))+(1125.805*(I65))-620.389</f>
        <v>5.8251616394181838</v>
      </c>
    </row>
    <row r="66" spans="2:10">
      <c r="B66" t="s">
        <v>110</v>
      </c>
      <c r="C66" t="s">
        <v>98</v>
      </c>
      <c r="D66" s="8">
        <v>46215</v>
      </c>
      <c r="E66" t="s">
        <v>73</v>
      </c>
      <c r="F66">
        <v>1.0189999999999999</v>
      </c>
      <c r="G66">
        <v>1.0189999999999999</v>
      </c>
      <c r="H66">
        <v>1.0189999999999999</v>
      </c>
      <c r="I66" s="10">
        <f>AVERAGE(F66,G66,H66)</f>
        <v>1.0189999999999999</v>
      </c>
      <c r="J66" s="10">
        <f>(143.254*(I66^3))-(648.67*(I66^2))+(1125.805*(I66))-620.389</f>
        <v>4.8282697911860168</v>
      </c>
    </row>
    <row r="67" spans="2:10">
      <c r="B67" t="s">
        <v>111</v>
      </c>
      <c r="C67" t="s">
        <v>98</v>
      </c>
      <c r="D67" s="8">
        <v>46215</v>
      </c>
      <c r="E67" t="s">
        <v>73</v>
      </c>
      <c r="F67">
        <v>1.02</v>
      </c>
      <c r="G67">
        <v>1.02</v>
      </c>
      <c r="H67">
        <v>1.02</v>
      </c>
      <c r="I67" s="10">
        <f>AVERAGE(F67,G67,H67)</f>
        <v>1.02</v>
      </c>
      <c r="J67" s="10">
        <f>(143.254*(I67^3))-(648.67*(I67^2))+(1125.805*(I67))-620.389</f>
        <v>5.0781228320000764</v>
      </c>
    </row>
    <row r="68" spans="2:10">
      <c r="B68" t="s">
        <v>112</v>
      </c>
      <c r="C68" t="s">
        <v>98</v>
      </c>
      <c r="D68" s="8">
        <v>46215</v>
      </c>
      <c r="E68" t="s">
        <v>73</v>
      </c>
      <c r="F68">
        <v>1.0269999999999999</v>
      </c>
      <c r="G68">
        <v>1.0309999999999999</v>
      </c>
      <c r="H68">
        <v>1.0289999999999999</v>
      </c>
      <c r="I68" s="10">
        <f>AVERAGE(F68,G68,H68)</f>
        <v>1.0289999999999999</v>
      </c>
      <c r="J68" s="10">
        <f>(143.254*(I68^3))-(648.67*(I68^2))+(1125.805*(I68))-620.389</f>
        <v>7.3079751938058735</v>
      </c>
    </row>
    <row r="69" spans="2:10">
      <c r="B69" t="s">
        <v>113</v>
      </c>
      <c r="C69" t="s">
        <v>98</v>
      </c>
      <c r="D69" s="8">
        <v>46215</v>
      </c>
      <c r="E69" t="s">
        <v>73</v>
      </c>
      <c r="F69">
        <v>1.026</v>
      </c>
      <c r="G69">
        <v>1.026</v>
      </c>
      <c r="H69">
        <v>1.026</v>
      </c>
      <c r="I69" s="10">
        <f>AVERAGE(F69,G69,H69)</f>
        <v>1.026</v>
      </c>
      <c r="J69" s="10">
        <f>(143.254*(I69^3))-(648.67*(I69^2))+(1125.805*(I69))-620.389</f>
        <v>6.5684380243043279</v>
      </c>
    </row>
    <row r="70" spans="2:10">
      <c r="B70" t="s">
        <v>80</v>
      </c>
      <c r="C70" t="s">
        <v>114</v>
      </c>
      <c r="D70" s="8">
        <v>46246</v>
      </c>
      <c r="E70" t="s">
        <v>73</v>
      </c>
      <c r="F70">
        <v>1.0249999999999999</v>
      </c>
      <c r="G70">
        <v>1.0249999999999999</v>
      </c>
      <c r="H70">
        <v>1.0249999999999999</v>
      </c>
      <c r="I70" s="10">
        <f>AVERAGE(F70,G70,H70)</f>
        <v>1.0249999999999999</v>
      </c>
      <c r="J70" s="10">
        <f>(143.254*(I70^3))-(648.67*(I70^2))+(1125.805*(I70))-620.389</f>
        <v>6.3210958437501858</v>
      </c>
    </row>
    <row r="71" spans="2:10">
      <c r="B71" t="s">
        <v>79</v>
      </c>
      <c r="C71" t="s">
        <v>114</v>
      </c>
      <c r="D71" s="8">
        <v>46246</v>
      </c>
      <c r="E71" t="s">
        <v>73</v>
      </c>
      <c r="F71">
        <v>1.0269999999999999</v>
      </c>
      <c r="G71">
        <v>1.03</v>
      </c>
      <c r="H71">
        <v>1.0289999999999999</v>
      </c>
      <c r="I71" s="10">
        <f>AVERAGE(F71,G71,H71)</f>
        <v>1.0286666666666666</v>
      </c>
      <c r="J71" s="10">
        <f>(143.254*(I71^3))-(648.67*(I71^2))+(1125.805*(I71))-620.389</f>
        <v>7.2259883282306419</v>
      </c>
    </row>
    <row r="72" spans="2:10">
      <c r="B72" t="s">
        <v>85</v>
      </c>
      <c r="C72" t="s">
        <v>114</v>
      </c>
      <c r="D72" s="8">
        <v>46246</v>
      </c>
      <c r="E72" t="s">
        <v>73</v>
      </c>
      <c r="F72">
        <v>1.0269999999999999</v>
      </c>
      <c r="G72">
        <v>1.0269999999999999</v>
      </c>
      <c r="H72">
        <v>1.0269999999999999</v>
      </c>
      <c r="I72" s="10">
        <f>AVERAGE(F72,G72,H72)</f>
        <v>1.0269999999999999</v>
      </c>
      <c r="J72" s="10">
        <f>(143.254*(I72^3))-(648.67*(I72^2))+(1125.805*(I72))-620.389</f>
        <v>6.8153647364820245</v>
      </c>
    </row>
    <row r="73" spans="2:10">
      <c r="B73" t="s">
        <v>87</v>
      </c>
      <c r="C73" t="s">
        <v>114</v>
      </c>
      <c r="D73" s="8">
        <v>46246</v>
      </c>
      <c r="E73" t="s">
        <v>73</v>
      </c>
      <c r="F73">
        <v>1.034</v>
      </c>
      <c r="G73">
        <v>1.0289999999999999</v>
      </c>
      <c r="H73">
        <v>1.0289999999999999</v>
      </c>
      <c r="I73" s="10">
        <f>AVERAGE(F73,G73,H73)</f>
        <v>1.0306666666666666</v>
      </c>
      <c r="J73" s="10">
        <f>(143.254*(I73^3))-(648.67*(I73^2))+(1125.805*(I73))-620.389</f>
        <v>7.7172220086946481</v>
      </c>
    </row>
    <row r="74" spans="2:10">
      <c r="B74" t="s">
        <v>115</v>
      </c>
      <c r="C74" t="s">
        <v>114</v>
      </c>
      <c r="D74" s="8">
        <v>46246</v>
      </c>
      <c r="E74" t="s">
        <v>73</v>
      </c>
      <c r="F74">
        <v>1.03</v>
      </c>
      <c r="G74">
        <v>1.0289999999999999</v>
      </c>
      <c r="H74">
        <v>1.0289999999999999</v>
      </c>
      <c r="I74" s="10">
        <f>AVERAGE(F74,G74,H74)</f>
        <v>1.0293333333333334</v>
      </c>
      <c r="J74" s="10">
        <f>(143.254*(I74^3))-(648.67*(I74^2))+(1125.805*(I74))-620.389</f>
        <v>7.3899161827367834</v>
      </c>
    </row>
    <row r="75" spans="2:10">
      <c r="B75" t="s">
        <v>77</v>
      </c>
      <c r="C75" t="s">
        <v>114</v>
      </c>
      <c r="D75" s="8">
        <v>46246</v>
      </c>
      <c r="E75" t="s">
        <v>73</v>
      </c>
      <c r="F75">
        <v>1.0309999999999999</v>
      </c>
      <c r="G75">
        <v>1.0289999999999999</v>
      </c>
      <c r="H75">
        <v>1.0289999999999999</v>
      </c>
      <c r="I75" s="10">
        <f>AVERAGE(F75,G75,H75)</f>
        <v>1.0296666666666665</v>
      </c>
      <c r="J75" s="10">
        <f>(143.254*(I75^3))-(648.67*(I75^2))+(1125.805*(I75))-620.389</f>
        <v>7.4718113268565958</v>
      </c>
    </row>
    <row r="76" spans="2:10">
      <c r="B76" t="s">
        <v>74</v>
      </c>
      <c r="C76" t="s">
        <v>114</v>
      </c>
      <c r="D76" s="8">
        <v>46246</v>
      </c>
      <c r="E76" t="s">
        <v>73</v>
      </c>
      <c r="F76">
        <v>1.0289999999999999</v>
      </c>
      <c r="G76">
        <v>1.028</v>
      </c>
      <c r="H76">
        <v>1.028</v>
      </c>
      <c r="I76" s="10">
        <f>AVERAGE(F76,G76,H76)</f>
        <v>1.0283333333333333</v>
      </c>
      <c r="J76" s="10">
        <f>(143.254*(I76^3))-(648.67*(I76^2))+(1125.805*(I76))-620.389</f>
        <v>7.1439555541761592</v>
      </c>
    </row>
    <row r="77" spans="2:10">
      <c r="B77" t="s">
        <v>116</v>
      </c>
      <c r="C77" t="s">
        <v>114</v>
      </c>
      <c r="D77" s="8">
        <v>46246</v>
      </c>
      <c r="E77" t="s">
        <v>73</v>
      </c>
      <c r="F77">
        <v>1.022</v>
      </c>
      <c r="G77">
        <v>1.028</v>
      </c>
      <c r="H77">
        <v>1.028</v>
      </c>
      <c r="I77" s="10">
        <f>AVERAGE(F77,G77,H77)</f>
        <v>1.026</v>
      </c>
      <c r="J77" s="10">
        <f>(143.254*(I77^3))-(648.67*(I77^2))+(1125.805*(I77))-620.389</f>
        <v>6.5684380243043279</v>
      </c>
    </row>
    <row r="78" spans="2:10">
      <c r="B78" t="s">
        <v>83</v>
      </c>
      <c r="C78" t="s">
        <v>114</v>
      </c>
      <c r="D78" s="8">
        <v>46246</v>
      </c>
      <c r="E78" t="s">
        <v>73</v>
      </c>
      <c r="F78">
        <v>1.036</v>
      </c>
      <c r="G78">
        <v>1.0309999999999999</v>
      </c>
      <c r="H78">
        <v>1.0309999999999999</v>
      </c>
      <c r="I78" s="10">
        <f>AVERAGE(F78,G78,H78)</f>
        <v>1.0326666666666666</v>
      </c>
      <c r="J78" s="10">
        <f>(143.254*(I78^3))-(648.67*(I78^2))+(1125.805*(I78))-620.389</f>
        <v>8.2068098601026804</v>
      </c>
    </row>
    <row r="79" spans="2:10">
      <c r="B79" t="s">
        <v>117</v>
      </c>
      <c r="C79" t="s">
        <v>114</v>
      </c>
      <c r="D79" s="8">
        <v>46246</v>
      </c>
      <c r="E79" t="s">
        <v>73</v>
      </c>
      <c r="F79">
        <v>1.024</v>
      </c>
      <c r="G79">
        <v>1.024</v>
      </c>
      <c r="H79">
        <v>1.024</v>
      </c>
      <c r="I79" s="10">
        <f>AVERAGE(F79,G79,H79)</f>
        <v>1.024</v>
      </c>
      <c r="J79" s="10">
        <f>(143.254*(I79^3))-(648.67*(I79^2))+(1125.805*(I79))-620.389</f>
        <v>6.0733373352961735</v>
      </c>
    </row>
    <row r="80" spans="2:10">
      <c r="B80" t="s">
        <v>77</v>
      </c>
      <c r="C80" t="s">
        <v>114</v>
      </c>
      <c r="D80" s="8">
        <v>46246</v>
      </c>
      <c r="E80" t="s">
        <v>73</v>
      </c>
      <c r="F80">
        <v>1.036</v>
      </c>
      <c r="G80">
        <v>1.028</v>
      </c>
      <c r="H80">
        <v>1.0329999999999999</v>
      </c>
      <c r="I80" s="10">
        <f>AVERAGE(F80,G80,H80)</f>
        <v>1.0323333333333333</v>
      </c>
      <c r="J80" s="10">
        <f>(143.254*(I80^3))-(648.67*(I80^2))+(1125.805*(I80))-620.389</f>
        <v>8.1253258867385512</v>
      </c>
    </row>
    <row r="81" spans="2:10">
      <c r="B81" t="s">
        <v>86</v>
      </c>
      <c r="C81" t="s">
        <v>114</v>
      </c>
      <c r="D81" s="8">
        <v>46246</v>
      </c>
      <c r="E81" t="s">
        <v>73</v>
      </c>
      <c r="F81">
        <v>1.032</v>
      </c>
      <c r="G81">
        <v>1.032</v>
      </c>
      <c r="H81">
        <v>1.032</v>
      </c>
      <c r="I81" s="10">
        <f>AVERAGE(F81,G81,H81)</f>
        <v>1.032</v>
      </c>
      <c r="J81" s="10">
        <f>(143.254*(I81^3))-(648.67*(I81^2))+(1125.805*(I81))-620.389</f>
        <v>8.0437963550721179</v>
      </c>
    </row>
    <row r="82" spans="2:10">
      <c r="B82" t="s">
        <v>76</v>
      </c>
      <c r="C82" t="s">
        <v>114</v>
      </c>
      <c r="D82" s="8">
        <v>46246</v>
      </c>
      <c r="E82" t="s">
        <v>73</v>
      </c>
      <c r="F82">
        <v>1.0309999999999999</v>
      </c>
      <c r="G82">
        <v>1.0309999999999999</v>
      </c>
      <c r="H82">
        <v>1.0309999999999999</v>
      </c>
      <c r="I82" s="10">
        <f>AVERAGE(F82,G82,H82)</f>
        <v>1.0309999999999999</v>
      </c>
      <c r="J82" s="10">
        <f>(143.254*(I82^3))-(648.67*(I82^2))+(1125.805*(I82))-620.389</f>
        <v>7.7989340919140204</v>
      </c>
    </row>
    <row r="83" spans="2:10">
      <c r="B83" t="s">
        <v>78</v>
      </c>
      <c r="C83" t="s">
        <v>114</v>
      </c>
      <c r="D83" s="8">
        <v>46246</v>
      </c>
      <c r="E83" t="s">
        <v>73</v>
      </c>
      <c r="F83">
        <v>1.03</v>
      </c>
      <c r="G83">
        <v>1.0289999999999999</v>
      </c>
      <c r="H83">
        <v>1.0289999999999999</v>
      </c>
      <c r="I83" s="10">
        <f>AVERAGE(F83,G83,H83)</f>
        <v>1.0293333333333334</v>
      </c>
      <c r="J83" s="10">
        <f>(143.254*(I83^3))-(648.67*(I83^2))+(1125.805*(I83))-620.389</f>
        <v>7.3899161827367834</v>
      </c>
    </row>
    <row r="84" spans="2:10">
      <c r="B84" t="s">
        <v>82</v>
      </c>
      <c r="C84" t="s">
        <v>114</v>
      </c>
      <c r="D84" s="8">
        <v>46246</v>
      </c>
      <c r="E84" t="s">
        <v>73</v>
      </c>
      <c r="F84">
        <v>1.028</v>
      </c>
      <c r="G84">
        <v>1.0269999999999999</v>
      </c>
      <c r="H84">
        <v>1.0289999999999999</v>
      </c>
      <c r="I84" s="10">
        <f>AVERAGE(F84,G84,H84)</f>
        <v>1.0279999999999998</v>
      </c>
      <c r="J84" s="10">
        <f>(143.254*(I84^3))-(648.67*(I84^2))+(1125.805*(I84))-620.389</f>
        <v>7.0618768398080647</v>
      </c>
    </row>
    <row r="85" spans="2:10">
      <c r="B85" t="s">
        <v>90</v>
      </c>
      <c r="C85" t="s">
        <v>114</v>
      </c>
      <c r="D85" s="8">
        <v>46246</v>
      </c>
      <c r="E85" t="s">
        <v>73</v>
      </c>
      <c r="F85">
        <v>1.0269999999999999</v>
      </c>
      <c r="G85">
        <v>1.0269999999999999</v>
      </c>
      <c r="H85">
        <v>1.0269999999999999</v>
      </c>
      <c r="I85" s="10">
        <f>AVERAGE(F85,G85,H85)</f>
        <v>1.0269999999999999</v>
      </c>
      <c r="J85" s="10">
        <f>(143.254*(I85^3))-(648.67*(I85^2))+(1125.805*(I85))-620.389</f>
        <v>6.8153647364820245</v>
      </c>
    </row>
    <row r="86" spans="2:10">
      <c r="B86" t="s">
        <v>81</v>
      </c>
      <c r="C86" t="s">
        <v>114</v>
      </c>
      <c r="D86" s="8">
        <v>46246</v>
      </c>
      <c r="E86" t="s">
        <v>73</v>
      </c>
      <c r="F86">
        <v>1.0269999999999999</v>
      </c>
      <c r="G86">
        <v>1.0269999999999999</v>
      </c>
      <c r="H86">
        <v>1.0269999999999999</v>
      </c>
      <c r="I86" s="10">
        <f>AVERAGE(F86,G86,H86)</f>
        <v>1.0269999999999999</v>
      </c>
      <c r="J86" s="10">
        <f>(143.254*(I86^3))-(648.67*(I86^2))+(1125.805*(I86))-620.389</f>
        <v>6.8153647364820245</v>
      </c>
    </row>
    <row r="87" spans="2:10">
      <c r="B87" t="s">
        <v>118</v>
      </c>
      <c r="C87" t="s">
        <v>114</v>
      </c>
      <c r="D87" s="8">
        <v>46246</v>
      </c>
      <c r="E87" t="s">
        <v>73</v>
      </c>
      <c r="F87">
        <v>1.0209999999999999</v>
      </c>
      <c r="G87">
        <v>1.0209999999999999</v>
      </c>
      <c r="H87">
        <v>1.0209999999999999</v>
      </c>
      <c r="I87" s="10">
        <f>AVERAGE(F87,G87,H87)</f>
        <v>1.0209999999999999</v>
      </c>
      <c r="J87" s="10">
        <f>(143.254*(I87^3))-(648.67*(I87^2))+(1125.805*(I87))-620.389</f>
        <v>5.3275552472941854</v>
      </c>
    </row>
    <row r="88" spans="2:10">
      <c r="B88" t="s">
        <v>84</v>
      </c>
      <c r="C88" t="s">
        <v>114</v>
      </c>
      <c r="D88" s="8">
        <v>46246</v>
      </c>
      <c r="E88" t="s">
        <v>73</v>
      </c>
      <c r="F88">
        <v>1.028</v>
      </c>
      <c r="G88">
        <v>1.04</v>
      </c>
      <c r="H88">
        <v>1.0349999999999999</v>
      </c>
      <c r="I88" s="10">
        <f>AVERAGE(F88,G88,H88)</f>
        <v>1.0343333333333333</v>
      </c>
      <c r="J88" s="10">
        <f>(143.254*(I88^3))-(648.67*(I88^2))+(1125.805*(I88))-620.389</f>
        <v>8.6135474665799165</v>
      </c>
    </row>
    <row r="89" spans="2:10">
      <c r="B89" t="s">
        <v>119</v>
      </c>
      <c r="C89" t="s">
        <v>114</v>
      </c>
      <c r="D89" s="8">
        <v>46246</v>
      </c>
      <c r="E89" t="s">
        <v>73</v>
      </c>
      <c r="F89">
        <v>1.018</v>
      </c>
      <c r="G89">
        <v>1.02</v>
      </c>
      <c r="H89">
        <v>1.02</v>
      </c>
      <c r="I89" s="10">
        <f>AVERAGE(F89,G89,H89)</f>
        <v>1.0193333333333334</v>
      </c>
      <c r="J89" s="10">
        <f>(143.254*(I89^3))-(648.67*(I89^2))+(1125.805*(I89))-620.389</f>
        <v>4.9116009273500367</v>
      </c>
    </row>
    <row r="90" spans="2:10">
      <c r="B90" t="s">
        <v>120</v>
      </c>
      <c r="C90" t="s">
        <v>114</v>
      </c>
      <c r="D90" s="8">
        <v>46246</v>
      </c>
      <c r="E90" t="s">
        <v>73</v>
      </c>
      <c r="F90">
        <v>1.032</v>
      </c>
      <c r="G90">
        <v>1.0349999999999999</v>
      </c>
      <c r="H90">
        <v>1.0329999999999999</v>
      </c>
      <c r="I90" s="10">
        <f>AVERAGE(F90,G90,H90)</f>
        <v>1.0333333333333334</v>
      </c>
      <c r="J90" s="10">
        <f>(143.254*(I90^3))-(648.67*(I90^2))+(1125.805*(I90))-620.389</f>
        <v>8.3696412592593106</v>
      </c>
    </row>
    <row r="91" spans="2:10">
      <c r="B91" t="s">
        <v>121</v>
      </c>
      <c r="C91" t="s">
        <v>114</v>
      </c>
      <c r="D91" s="8">
        <v>46246</v>
      </c>
      <c r="E91" t="s">
        <v>73</v>
      </c>
      <c r="F91">
        <v>1.0289999999999999</v>
      </c>
      <c r="G91">
        <v>1.0289999999999999</v>
      </c>
      <c r="H91">
        <v>1.0289999999999999</v>
      </c>
      <c r="I91" s="10">
        <f>AVERAGE(F91,G91,H91)</f>
        <v>1.0289999999999999</v>
      </c>
      <c r="J91" s="10">
        <f>(143.254*(I91^3))-(648.67*(I91^2))+(1125.805*(I91))-620.389</f>
        <v>7.3079751938058735</v>
      </c>
    </row>
    <row r="92" spans="2:10">
      <c r="B92" t="s">
        <v>75</v>
      </c>
      <c r="C92" t="s">
        <v>114</v>
      </c>
      <c r="D92" s="8">
        <v>46246</v>
      </c>
      <c r="E92" t="s">
        <v>73</v>
      </c>
      <c r="F92">
        <v>1.0309999999999999</v>
      </c>
      <c r="G92">
        <v>1.028</v>
      </c>
      <c r="H92">
        <v>1.0289999999999999</v>
      </c>
      <c r="I92" s="10">
        <f>AVERAGE(F92,G92,H92)</f>
        <v>1.0293333333333334</v>
      </c>
      <c r="J92" s="10">
        <f>(143.254*(I92^3))-(648.67*(I92^2))+(1125.805*(I92))-620.389</f>
        <v>7.3899161827367834</v>
      </c>
    </row>
    <row r="93" spans="2:10">
      <c r="B93" t="s">
        <v>122</v>
      </c>
      <c r="C93" t="s">
        <v>114</v>
      </c>
      <c r="D93" s="8">
        <v>46246</v>
      </c>
      <c r="E93" t="s">
        <v>73</v>
      </c>
      <c r="F93">
        <v>1.02</v>
      </c>
      <c r="G93">
        <v>1.02</v>
      </c>
      <c r="H93">
        <v>1.02</v>
      </c>
      <c r="I93" s="10">
        <f>AVERAGE(F93,G93,H93)</f>
        <v>1.02</v>
      </c>
      <c r="J93" s="10">
        <f>(143.254*(I93^3))-(648.67*(I93^2))+(1125.805*(I93))-620.389</f>
        <v>5.0781228320000764</v>
      </c>
    </row>
    <row r="94" spans="2:10">
      <c r="B94" t="s">
        <v>123</v>
      </c>
      <c r="C94" t="s">
        <v>114</v>
      </c>
      <c r="D94" s="8">
        <v>46246</v>
      </c>
      <c r="E94" t="s">
        <v>73</v>
      </c>
      <c r="F94">
        <v>1.0309999999999999</v>
      </c>
      <c r="G94">
        <v>1.0309999999999999</v>
      </c>
      <c r="H94">
        <v>1.0309999999999999</v>
      </c>
      <c r="I94" s="10">
        <f>AVERAGE(F94,G94,H94)</f>
        <v>1.0309999999999999</v>
      </c>
      <c r="J94" s="10">
        <f>(143.254*(I94^3))-(648.67*(I94^2))+(1125.805*(I94))-620.389</f>
        <v>7.7989340919140204</v>
      </c>
    </row>
    <row r="95" spans="2:10">
      <c r="B95" t="s">
        <v>92</v>
      </c>
      <c r="C95" t="s">
        <v>114</v>
      </c>
      <c r="D95" s="8">
        <v>46246</v>
      </c>
      <c r="E95" t="s">
        <v>73</v>
      </c>
      <c r="F95">
        <v>1.018</v>
      </c>
      <c r="G95">
        <v>1.018</v>
      </c>
      <c r="H95">
        <v>1.018</v>
      </c>
      <c r="I95" s="10">
        <f>AVERAGE(F95,G95,H95)</f>
        <v>1.018</v>
      </c>
      <c r="J95" s="10">
        <f>(143.254*(I95^3))-(648.67*(I95^2))+(1125.805*(I95))-620.389</f>
        <v>4.5779952653281271</v>
      </c>
    </row>
    <row r="96" spans="2:10">
      <c r="B96" t="s">
        <v>124</v>
      </c>
      <c r="C96" t="s">
        <v>114</v>
      </c>
      <c r="D96" s="8">
        <v>46246</v>
      </c>
      <c r="E96" t="s">
        <v>73</v>
      </c>
      <c r="F96">
        <v>1.0209999999999999</v>
      </c>
      <c r="G96">
        <v>1.0209999999999999</v>
      </c>
      <c r="H96">
        <v>1.0209999999999999</v>
      </c>
      <c r="I96" s="10">
        <f>AVERAGE(F96,G96,H96)</f>
        <v>1.0209999999999999</v>
      </c>
      <c r="J96" s="10">
        <f>(143.254*(I96^3))-(648.67*(I96^2))+(1125.805*(I96))-620.389</f>
        <v>5.3275552472941854</v>
      </c>
    </row>
    <row r="97" spans="2:10">
      <c r="B97" t="s">
        <v>125</v>
      </c>
      <c r="C97" t="s">
        <v>114</v>
      </c>
      <c r="D97" s="8">
        <v>46246</v>
      </c>
      <c r="E97" t="s">
        <v>73</v>
      </c>
      <c r="F97">
        <v>1.026</v>
      </c>
      <c r="G97">
        <v>1.026</v>
      </c>
      <c r="H97">
        <v>1.026</v>
      </c>
      <c r="I97" s="10">
        <f>AVERAGE(F97,G97,H97)</f>
        <v>1.026</v>
      </c>
      <c r="J97" s="10">
        <f>(143.254*(I97^3))-(648.67*(I97^2))+(1125.805*(I97))-620.389</f>
        <v>6.5684380243043279</v>
      </c>
    </row>
    <row r="98" spans="2:10">
      <c r="B98" t="s">
        <v>126</v>
      </c>
      <c r="C98" t="s">
        <v>114</v>
      </c>
      <c r="D98" s="8">
        <v>46246</v>
      </c>
      <c r="E98" t="s">
        <v>73</v>
      </c>
      <c r="F98">
        <v>1.02</v>
      </c>
      <c r="G98">
        <v>1.02</v>
      </c>
      <c r="H98">
        <v>1.02</v>
      </c>
      <c r="I98" s="10">
        <f>AVERAGE(F98,G98,H98)</f>
        <v>1.02</v>
      </c>
      <c r="J98" s="10">
        <f>(143.254*(I98^3))-(648.67*(I98^2))+(1125.805*(I98))-620.389</f>
        <v>5.0781228320000764</v>
      </c>
    </row>
    <row r="99" spans="2:10">
      <c r="B99" t="s">
        <v>127</v>
      </c>
      <c r="C99" t="s">
        <v>114</v>
      </c>
      <c r="D99" s="8">
        <v>46246</v>
      </c>
      <c r="E99" t="s">
        <v>73</v>
      </c>
      <c r="F99">
        <v>1.02</v>
      </c>
      <c r="G99">
        <v>1.02</v>
      </c>
      <c r="H99">
        <v>1.02</v>
      </c>
      <c r="I99" s="10">
        <f>AVERAGE(F99,G99,H99)</f>
        <v>1.02</v>
      </c>
      <c r="J99" s="10">
        <f>(143.254*(I99^3))-(648.67*(I99^2))+(1125.805*(I99))-620.389</f>
        <v>5.0781228320000764</v>
      </c>
    </row>
    <row r="100" spans="2:10">
      <c r="B100" t="s">
        <v>128</v>
      </c>
      <c r="C100" t="s">
        <v>114</v>
      </c>
      <c r="D100" s="8">
        <v>46246</v>
      </c>
      <c r="E100" t="s">
        <v>73</v>
      </c>
      <c r="F100">
        <v>1.02</v>
      </c>
      <c r="G100">
        <v>1.02</v>
      </c>
      <c r="H100">
        <v>1.02</v>
      </c>
      <c r="I100" s="10">
        <f>AVERAGE(F100,G100,H100)</f>
        <v>1.02</v>
      </c>
      <c r="J100" s="10">
        <f>(143.254*(I100^3))-(648.67*(I100^2))+(1125.805*(I100))-620.389</f>
        <v>5.0781228320000764</v>
      </c>
    </row>
    <row r="101" spans="2:10">
      <c r="B101" t="s">
        <v>129</v>
      </c>
      <c r="C101" t="s">
        <v>114</v>
      </c>
      <c r="D101" s="8">
        <v>46246</v>
      </c>
      <c r="E101" t="s">
        <v>73</v>
      </c>
      <c r="F101">
        <v>1.0289999999999999</v>
      </c>
      <c r="G101">
        <v>1.0249999999999999</v>
      </c>
      <c r="H101">
        <v>1.026</v>
      </c>
      <c r="I101" s="10">
        <f>AVERAGE(F101,G101,H101)</f>
        <v>1.0266666666666666</v>
      </c>
      <c r="J101" s="10">
        <f>(143.254*(I101^3))-(648.67*(I101^2))+(1125.805*(I101))-620.389</f>
        <v>6.7331019425186014</v>
      </c>
    </row>
    <row r="102" spans="2:10">
      <c r="B102" t="s">
        <v>130</v>
      </c>
      <c r="C102" t="s">
        <v>114</v>
      </c>
      <c r="D102" s="8">
        <v>46246</v>
      </c>
      <c r="E102" t="s">
        <v>73</v>
      </c>
      <c r="F102">
        <v>1.024</v>
      </c>
      <c r="G102">
        <v>1.024</v>
      </c>
      <c r="H102">
        <v>1.024</v>
      </c>
      <c r="I102" s="10">
        <f>AVERAGE(F102,G102,H102)</f>
        <v>1.024</v>
      </c>
      <c r="J102" s="10">
        <f>(143.254*(I102^3))-(648.67*(I102^2))+(1125.805*(I102))-620.389</f>
        <v>6.0733373352961735</v>
      </c>
    </row>
    <row r="103" spans="2:10">
      <c r="B103" t="s">
        <v>131</v>
      </c>
      <c r="C103" t="s">
        <v>114</v>
      </c>
      <c r="D103" s="8">
        <v>46246</v>
      </c>
      <c r="E103" t="s">
        <v>73</v>
      </c>
      <c r="F103">
        <v>1.0189999999999999</v>
      </c>
      <c r="G103">
        <v>1.018</v>
      </c>
      <c r="H103">
        <v>1.0189999999999999</v>
      </c>
      <c r="I103" s="10">
        <f>AVERAGE(F103,G103,H103)</f>
        <v>1.0186666666666666</v>
      </c>
      <c r="J103" s="10">
        <f>(143.254*(I103^3))-(648.67*(I103^2))+(1125.805*(I103))-620.389</f>
        <v>4.7448918233507129</v>
      </c>
    </row>
    <row r="104" spans="2:10">
      <c r="B104" t="s">
        <v>132</v>
      </c>
      <c r="C104" t="s">
        <v>114</v>
      </c>
      <c r="D104" s="8">
        <v>46246</v>
      </c>
      <c r="E104" t="s">
        <v>73</v>
      </c>
      <c r="F104">
        <v>1.0249999999999999</v>
      </c>
      <c r="G104">
        <v>1.0249999999999999</v>
      </c>
      <c r="H104">
        <v>1.026</v>
      </c>
      <c r="I104" s="10">
        <f>AVERAGE(F104,G104,H104)</f>
        <v>1.0253333333333332</v>
      </c>
      <c r="J104" s="10">
        <f>(143.254*(I104^3))-(648.67*(I104^2))+(1125.805*(I104))-620.389</f>
        <v>6.4035894534779345</v>
      </c>
    </row>
    <row r="105" spans="2:10">
      <c r="B105" t="s">
        <v>133</v>
      </c>
      <c r="C105" t="s">
        <v>114</v>
      </c>
      <c r="D105" s="8">
        <v>46246</v>
      </c>
      <c r="E105" t="s">
        <v>73</v>
      </c>
      <c r="F105">
        <v>1.026</v>
      </c>
      <c r="G105">
        <v>1.0249999999999999</v>
      </c>
      <c r="H105">
        <v>1.0229999999999999</v>
      </c>
      <c r="I105" s="10">
        <f>AVERAGE(F105,G105,H105)</f>
        <v>1.0246666666666666</v>
      </c>
      <c r="J105" s="10">
        <f>(143.254*(I105^3))-(648.67*(I105^2))+(1125.805*(I105))-620.389</f>
        <v>6.2385559753664666</v>
      </c>
    </row>
    <row r="106" spans="2:10">
      <c r="B106" t="s">
        <v>134</v>
      </c>
      <c r="C106" t="s">
        <v>114</v>
      </c>
      <c r="D106" s="8">
        <v>46246</v>
      </c>
      <c r="E106" t="s">
        <v>73</v>
      </c>
      <c r="F106">
        <v>1.02</v>
      </c>
      <c r="G106">
        <v>1.02</v>
      </c>
      <c r="H106">
        <v>1.02</v>
      </c>
      <c r="I106" s="10">
        <f>AVERAGE(F106,G106,H106)</f>
        <v>1.02</v>
      </c>
      <c r="J106" s="10">
        <f>(143.254*(I106^3))-(648.67*(I106^2))+(1125.805*(I106))-620.389</f>
        <v>5.0781228320000764</v>
      </c>
    </row>
    <row r="107" spans="2:10">
      <c r="B107" t="s">
        <v>135</v>
      </c>
      <c r="C107" t="s">
        <v>114</v>
      </c>
      <c r="D107" s="8">
        <v>46246</v>
      </c>
      <c r="E107" t="s">
        <v>73</v>
      </c>
      <c r="F107">
        <v>1.034</v>
      </c>
      <c r="G107">
        <v>1.0269999999999999</v>
      </c>
      <c r="H107">
        <v>1.028</v>
      </c>
      <c r="I107" s="10">
        <f>AVERAGE(F107,G107,H107)</f>
        <v>1.0296666666666667</v>
      </c>
      <c r="J107" s="10">
        <f>(143.254*(I107^3))-(648.67*(I107^2))+(1125.805*(I107))-620.389</f>
        <v>7.4718113268565958</v>
      </c>
    </row>
    <row r="108" spans="2:10">
      <c r="B108" t="s">
        <v>136</v>
      </c>
      <c r="C108" t="s">
        <v>114</v>
      </c>
      <c r="D108" s="8">
        <v>46246</v>
      </c>
      <c r="E108" t="s">
        <v>73</v>
      </c>
      <c r="F108">
        <v>1.0189999999999999</v>
      </c>
      <c r="G108">
        <v>1.0189999999999999</v>
      </c>
      <c r="H108">
        <v>1.0189999999999999</v>
      </c>
      <c r="I108" s="10">
        <f>AVERAGE(F108,G108,H108)</f>
        <v>1.0189999999999999</v>
      </c>
      <c r="J108" s="10">
        <f>(143.254*(I108^3))-(648.67*(I108^2))+(1125.805*(I108))-620.389</f>
        <v>4.8282697911860168</v>
      </c>
    </row>
    <row r="109" spans="2:10">
      <c r="B109" t="s">
        <v>137</v>
      </c>
      <c r="C109" t="s">
        <v>114</v>
      </c>
      <c r="D109" s="8">
        <v>46246</v>
      </c>
      <c r="E109" t="s">
        <v>73</v>
      </c>
      <c r="F109">
        <v>1.02</v>
      </c>
      <c r="G109">
        <v>1.02</v>
      </c>
      <c r="H109">
        <v>1.02</v>
      </c>
      <c r="I109" s="10">
        <f>AVERAGE(F109,G109,H109)</f>
        <v>1.02</v>
      </c>
      <c r="J109" s="10">
        <f>(143.254*(I109^3))-(648.67*(I109^2))+(1125.805*(I109))-620.389</f>
        <v>5.0781228320000764</v>
      </c>
    </row>
    <row r="110" spans="2:10">
      <c r="B110" t="s">
        <v>138</v>
      </c>
      <c r="C110" t="s">
        <v>114</v>
      </c>
      <c r="D110" s="8">
        <v>46246</v>
      </c>
      <c r="E110" t="s">
        <v>73</v>
      </c>
      <c r="F110">
        <v>1.022</v>
      </c>
      <c r="G110">
        <v>1.022</v>
      </c>
      <c r="H110">
        <v>1.022</v>
      </c>
      <c r="I110" s="10">
        <f>AVERAGE(F110,G110,H110)</f>
        <v>1.022</v>
      </c>
      <c r="J110" s="10">
        <f>(143.254*(I110^3))-(648.67*(I110^2))+(1125.805*(I110))-620.389</f>
        <v>5.5765678965922234</v>
      </c>
    </row>
    <row r="111" spans="2:10">
      <c r="B111" t="s">
        <v>139</v>
      </c>
      <c r="C111" t="s">
        <v>114</v>
      </c>
      <c r="D111" s="8">
        <v>46246</v>
      </c>
      <c r="E111" t="s">
        <v>73</v>
      </c>
      <c r="F111">
        <v>1.02</v>
      </c>
      <c r="G111">
        <v>1.02</v>
      </c>
      <c r="H111">
        <v>1.02</v>
      </c>
      <c r="I111" s="10">
        <f>AVERAGE(F111,G111,H111)</f>
        <v>1.02</v>
      </c>
      <c r="J111" s="10">
        <f>(143.254*(I111^3))-(648.67*(I111^2))+(1125.805*(I111))-620.389</f>
        <v>5.0781228320000764</v>
      </c>
    </row>
    <row r="112" spans="2:10">
      <c r="B112" t="s">
        <v>140</v>
      </c>
      <c r="C112" t="s">
        <v>114</v>
      </c>
      <c r="D112" s="8">
        <v>46246</v>
      </c>
      <c r="E112" t="s">
        <v>73</v>
      </c>
      <c r="F112">
        <v>1.024</v>
      </c>
      <c r="G112">
        <v>1.024</v>
      </c>
      <c r="H112">
        <v>1.024</v>
      </c>
      <c r="I112" s="10">
        <f>AVERAGE(F112,G112,H112)</f>
        <v>1.024</v>
      </c>
      <c r="J112" s="10">
        <f>(143.254*(I112^3))-(648.67*(I112^2))+(1125.805*(I112))-620.389</f>
        <v>6.0733373352961735</v>
      </c>
    </row>
    <row r="113" spans="2:10">
      <c r="B113" t="s">
        <v>141</v>
      </c>
      <c r="C113" t="s">
        <v>114</v>
      </c>
      <c r="D113" s="8">
        <v>46246</v>
      </c>
      <c r="E113" t="s">
        <v>73</v>
      </c>
      <c r="F113">
        <v>1.026</v>
      </c>
      <c r="G113">
        <v>1.026</v>
      </c>
      <c r="H113">
        <v>1.026</v>
      </c>
      <c r="I113" s="10">
        <f>AVERAGE(F113,G113,H113)</f>
        <v>1.026</v>
      </c>
      <c r="J113" s="10">
        <f>(143.254*(I113^3))-(648.67*(I113^2))+(1125.805*(I113))-620.389</f>
        <v>6.5684380243043279</v>
      </c>
    </row>
    <row r="114" spans="2:10">
      <c r="B114" t="s">
        <v>142</v>
      </c>
      <c r="C114" t="s">
        <v>114</v>
      </c>
      <c r="D114" s="8">
        <v>46246</v>
      </c>
      <c r="E114" t="s">
        <v>73</v>
      </c>
      <c r="F114">
        <v>1.0209999999999999</v>
      </c>
      <c r="G114">
        <v>1.0209999999999999</v>
      </c>
      <c r="H114">
        <v>1.0209999999999999</v>
      </c>
      <c r="I114" s="10">
        <f>AVERAGE(F114,G114,H114)</f>
        <v>1.0209999999999999</v>
      </c>
      <c r="J114" s="10">
        <f>(143.254*(I114^3))-(648.67*(I114^2))+(1125.805*(I114))-620.389</f>
        <v>5.3275552472941854</v>
      </c>
    </row>
    <row r="115" spans="2:10">
      <c r="B115" t="s">
        <v>143</v>
      </c>
      <c r="C115" t="s">
        <v>114</v>
      </c>
      <c r="D115" s="8">
        <v>46246</v>
      </c>
      <c r="E115" t="s">
        <v>73</v>
      </c>
      <c r="F115">
        <v>1.02</v>
      </c>
      <c r="G115">
        <v>1.02</v>
      </c>
      <c r="H115">
        <v>1.02</v>
      </c>
      <c r="I115" s="10">
        <f>AVERAGE(F115,G115,H115)</f>
        <v>1.02</v>
      </c>
      <c r="J115" s="10">
        <f>(143.254*(I115^3))-(648.67*(I115^2))+(1125.805*(I115))-620.389</f>
        <v>5.0781228320000764</v>
      </c>
    </row>
    <row r="116" spans="2:10">
      <c r="B116" t="s">
        <v>144</v>
      </c>
      <c r="C116" t="s">
        <v>114</v>
      </c>
      <c r="D116" s="8">
        <v>46246</v>
      </c>
      <c r="E116" t="s">
        <v>73</v>
      </c>
      <c r="F116">
        <v>1.018</v>
      </c>
      <c r="G116">
        <v>1.018</v>
      </c>
      <c r="H116">
        <v>1.018</v>
      </c>
      <c r="I116" s="10">
        <f>AVERAGE(F116,G116,H116)</f>
        <v>1.018</v>
      </c>
      <c r="J116" s="10">
        <f>(143.254*(I116^3))-(648.67*(I116^2))+(1125.805*(I116))-620.389</f>
        <v>4.5779952653281271</v>
      </c>
    </row>
    <row r="117" spans="2:10">
      <c r="B117" t="s">
        <v>145</v>
      </c>
      <c r="C117" t="s">
        <v>114</v>
      </c>
      <c r="D117" s="8">
        <v>46246</v>
      </c>
      <c r="E117" t="s">
        <v>73</v>
      </c>
      <c r="F117">
        <v>1.02</v>
      </c>
      <c r="G117">
        <v>1.02</v>
      </c>
      <c r="H117">
        <v>1.02</v>
      </c>
      <c r="I117" s="10">
        <f>AVERAGE(F117,G117,H117)</f>
        <v>1.02</v>
      </c>
      <c r="J117" s="10">
        <f>(143.254*(I117^3))-(648.67*(I117^2))+(1125.805*(I117))-620.389</f>
        <v>5.0781228320000764</v>
      </c>
    </row>
    <row r="118" spans="2:10">
      <c r="B118" t="s">
        <v>146</v>
      </c>
      <c r="C118" t="s">
        <v>114</v>
      </c>
      <c r="D118" s="8">
        <v>46246</v>
      </c>
      <c r="E118" t="s">
        <v>73</v>
      </c>
      <c r="F118">
        <v>1.0209999999999999</v>
      </c>
      <c r="G118">
        <v>1.0209999999999999</v>
      </c>
      <c r="H118">
        <v>1.0209999999999999</v>
      </c>
      <c r="I118" s="10">
        <f>AVERAGE(F118,G118,H118)</f>
        <v>1.0209999999999999</v>
      </c>
      <c r="J118" s="10">
        <f>(143.254*(I118^3))-(648.67*(I118^2))+(1125.805*(I118))-620.389</f>
        <v>5.3275552472941854</v>
      </c>
    </row>
    <row r="119" spans="2:10">
      <c r="B119" t="s">
        <v>147</v>
      </c>
      <c r="C119" t="s">
        <v>114</v>
      </c>
      <c r="D119" s="8">
        <v>46246</v>
      </c>
      <c r="E119" t="s">
        <v>73</v>
      </c>
      <c r="F119">
        <v>1.0249999999999999</v>
      </c>
      <c r="G119">
        <v>1.0249999999999999</v>
      </c>
      <c r="H119">
        <v>1.0249999999999999</v>
      </c>
      <c r="I119" s="10">
        <f>AVERAGE(F119,G119,H119)</f>
        <v>1.0249999999999999</v>
      </c>
      <c r="J119" s="10">
        <f>(143.254*(I119^3))-(648.67*(I119^2))+(1125.805*(I119))-620.389</f>
        <v>6.3210958437501858</v>
      </c>
    </row>
    <row r="120" spans="2:10">
      <c r="B120" t="s">
        <v>148</v>
      </c>
      <c r="C120" t="s">
        <v>114</v>
      </c>
      <c r="D120" s="8">
        <v>46246</v>
      </c>
      <c r="E120" t="s">
        <v>73</v>
      </c>
      <c r="F120">
        <v>1.018</v>
      </c>
      <c r="G120">
        <v>1.018</v>
      </c>
      <c r="H120">
        <v>1.018</v>
      </c>
      <c r="I120" s="10">
        <f>AVERAGE(F120,G120,H120)</f>
        <v>1.018</v>
      </c>
      <c r="J120" s="10">
        <f>(143.254*(I120^3))-(648.67*(I120^2))+(1125.805*(I120))-620.389</f>
        <v>4.5779952653281271</v>
      </c>
    </row>
    <row r="121" spans="2:10">
      <c r="B121" t="s">
        <v>149</v>
      </c>
      <c r="C121" t="s">
        <v>114</v>
      </c>
      <c r="D121" s="8">
        <v>46246</v>
      </c>
      <c r="E121" t="s">
        <v>73</v>
      </c>
      <c r="F121">
        <v>1.0189999999999999</v>
      </c>
      <c r="G121">
        <v>1.0189999999999999</v>
      </c>
      <c r="H121">
        <v>1.0189999999999999</v>
      </c>
      <c r="I121" s="10">
        <f>AVERAGE(F121,G121,H121)</f>
        <v>1.0189999999999999</v>
      </c>
      <c r="J121" s="10">
        <f>(143.254*(I121^3))-(648.67*(I121^2))+(1125.805*(I121))-620.389</f>
        <v>4.8282697911860168</v>
      </c>
    </row>
    <row r="122" spans="2:10">
      <c r="B122" t="s">
        <v>150</v>
      </c>
      <c r="C122" t="s">
        <v>114</v>
      </c>
      <c r="D122" s="8">
        <v>46246</v>
      </c>
      <c r="E122" t="s">
        <v>73</v>
      </c>
      <c r="F122">
        <v>1.022</v>
      </c>
      <c r="G122">
        <v>1.022</v>
      </c>
      <c r="H122">
        <v>1.022</v>
      </c>
      <c r="I122" s="10">
        <f>AVERAGE(F122,G122,H122)</f>
        <v>1.022</v>
      </c>
      <c r="J122" s="10">
        <f>(143.254*(I122^3))-(648.67*(I122^2))+(1125.805*(I122))-620.389</f>
        <v>5.5765678965922234</v>
      </c>
    </row>
    <row r="123" spans="2:10">
      <c r="B123" t="s">
        <v>150</v>
      </c>
      <c r="C123" t="s">
        <v>151</v>
      </c>
      <c r="D123" s="8">
        <v>46247</v>
      </c>
      <c r="E123" t="s">
        <v>89</v>
      </c>
      <c r="F123">
        <v>1.022</v>
      </c>
      <c r="G123">
        <v>1.0229999999999999</v>
      </c>
      <c r="H123">
        <v>1.022</v>
      </c>
      <c r="I123" s="10">
        <f t="shared" ref="I123:I178" si="2">AVERAGE(F123,G123,H123)</f>
        <v>1.0223333333333333</v>
      </c>
      <c r="J123" s="10">
        <f t="shared" ref="J123:J178" si="3">(143.254*(I123^3))-(648.67*(I123^2))+(1125.805*(I123))-620.389</f>
        <v>5.6594789802519472</v>
      </c>
    </row>
    <row r="124" spans="2:10">
      <c r="B124" t="s">
        <v>136</v>
      </c>
      <c r="C124" t="s">
        <v>151</v>
      </c>
      <c r="D124" s="8">
        <v>46247</v>
      </c>
      <c r="E124" t="s">
        <v>89</v>
      </c>
      <c r="F124">
        <v>1.022</v>
      </c>
      <c r="G124">
        <v>1.022</v>
      </c>
      <c r="H124">
        <v>1.022</v>
      </c>
      <c r="I124" s="10">
        <f t="shared" si="2"/>
        <v>1.022</v>
      </c>
      <c r="J124" s="10">
        <f t="shared" si="3"/>
        <v>5.5765678965922234</v>
      </c>
    </row>
    <row r="125" spans="2:10">
      <c r="B125" t="s">
        <v>152</v>
      </c>
      <c r="C125" t="s">
        <v>151</v>
      </c>
      <c r="D125" s="8">
        <v>46247</v>
      </c>
      <c r="E125" t="s">
        <v>89</v>
      </c>
      <c r="F125">
        <v>1.0189999999999999</v>
      </c>
      <c r="G125">
        <v>1.0189999999999999</v>
      </c>
      <c r="H125">
        <v>1.016</v>
      </c>
      <c r="I125" s="10">
        <f t="shared" si="2"/>
        <v>1.018</v>
      </c>
      <c r="J125" s="10">
        <f t="shared" si="3"/>
        <v>4.5779952653281271</v>
      </c>
    </row>
    <row r="126" spans="2:10">
      <c r="B126" t="s">
        <v>153</v>
      </c>
      <c r="C126" t="s">
        <v>151</v>
      </c>
      <c r="D126" s="8">
        <v>46247</v>
      </c>
      <c r="E126" t="s">
        <v>89</v>
      </c>
      <c r="F126">
        <v>1.02</v>
      </c>
      <c r="G126">
        <v>1.022</v>
      </c>
      <c r="H126">
        <v>1.0189999999999999</v>
      </c>
      <c r="I126" s="10">
        <f t="shared" si="2"/>
        <v>1.0203333333333333</v>
      </c>
      <c r="J126" s="10">
        <f t="shared" si="3"/>
        <v>5.1613136641545907</v>
      </c>
    </row>
    <row r="127" spans="2:10">
      <c r="B127" t="s">
        <v>154</v>
      </c>
      <c r="C127" t="s">
        <v>151</v>
      </c>
      <c r="D127" s="8">
        <v>46247</v>
      </c>
      <c r="E127" t="s">
        <v>89</v>
      </c>
      <c r="F127">
        <v>1.018</v>
      </c>
      <c r="G127">
        <v>1.02</v>
      </c>
      <c r="H127">
        <v>1.02</v>
      </c>
      <c r="I127" s="10">
        <f t="shared" si="2"/>
        <v>1.0193333333333334</v>
      </c>
      <c r="J127" s="10">
        <f t="shared" si="3"/>
        <v>4.9116009273500367</v>
      </c>
    </row>
    <row r="128" spans="2:10">
      <c r="B128" t="s">
        <v>155</v>
      </c>
      <c r="C128" t="s">
        <v>151</v>
      </c>
      <c r="D128" s="8">
        <v>46247</v>
      </c>
      <c r="E128" t="s">
        <v>89</v>
      </c>
      <c r="F128">
        <v>1.0209999999999999</v>
      </c>
      <c r="G128">
        <v>1.022</v>
      </c>
      <c r="H128">
        <v>1.0209999999999999</v>
      </c>
      <c r="I128" s="10">
        <f t="shared" si="2"/>
        <v>1.0213333333333334</v>
      </c>
      <c r="J128" s="10">
        <f t="shared" si="3"/>
        <v>5.4106060619473055</v>
      </c>
    </row>
    <row r="129" spans="2:10">
      <c r="B129" t="s">
        <v>156</v>
      </c>
      <c r="C129" t="s">
        <v>151</v>
      </c>
      <c r="D129" s="8">
        <v>46247</v>
      </c>
      <c r="E129" t="s">
        <v>89</v>
      </c>
      <c r="F129">
        <v>1.0189999999999999</v>
      </c>
      <c r="G129">
        <v>1.0209999999999999</v>
      </c>
      <c r="H129">
        <v>1.0189999999999999</v>
      </c>
      <c r="I129" s="10">
        <f t="shared" si="2"/>
        <v>1.0196666666666667</v>
      </c>
      <c r="J129" s="10">
        <f t="shared" si="3"/>
        <v>4.9948852636767924</v>
      </c>
    </row>
    <row r="130" spans="2:10">
      <c r="B130" t="s">
        <v>157</v>
      </c>
      <c r="C130" t="s">
        <v>151</v>
      </c>
      <c r="D130" s="8">
        <v>46247</v>
      </c>
      <c r="E130" t="s">
        <v>89</v>
      </c>
      <c r="F130">
        <v>1.0229999999999999</v>
      </c>
      <c r="G130">
        <v>1.0229999999999999</v>
      </c>
      <c r="H130">
        <v>1.0229999999999999</v>
      </c>
      <c r="I130" s="10">
        <f t="shared" si="2"/>
        <v>1.0229999999999999</v>
      </c>
      <c r="J130" s="10">
        <f t="shared" si="3"/>
        <v>5.8251616394181838</v>
      </c>
    </row>
    <row r="131" spans="2:10">
      <c r="B131" t="s">
        <v>128</v>
      </c>
      <c r="C131" t="s">
        <v>151</v>
      </c>
      <c r="D131" s="8">
        <v>46247</v>
      </c>
      <c r="E131" t="s">
        <v>89</v>
      </c>
      <c r="F131">
        <v>1.0209999999999999</v>
      </c>
      <c r="G131">
        <v>1.022</v>
      </c>
      <c r="H131">
        <v>1.022</v>
      </c>
      <c r="I131" s="10">
        <f t="shared" si="2"/>
        <v>1.0216666666666667</v>
      </c>
      <c r="J131" s="10">
        <f t="shared" si="3"/>
        <v>5.4936102677685312</v>
      </c>
    </row>
    <row r="132" spans="2:10">
      <c r="B132" t="s">
        <v>139</v>
      </c>
      <c r="C132" t="s">
        <v>151</v>
      </c>
      <c r="D132" s="8">
        <v>46247</v>
      </c>
      <c r="E132" t="s">
        <v>89</v>
      </c>
      <c r="F132">
        <v>1.024</v>
      </c>
      <c r="G132">
        <v>1.0229999999999999</v>
      </c>
      <c r="H132">
        <v>1.0249999999999999</v>
      </c>
      <c r="I132" s="10">
        <f t="shared" si="2"/>
        <v>1.0239999999999998</v>
      </c>
      <c r="J132" s="10">
        <f t="shared" si="3"/>
        <v>6.0733373352961735</v>
      </c>
    </row>
    <row r="133" spans="2:10">
      <c r="B133" t="s">
        <v>129</v>
      </c>
      <c r="C133" t="s">
        <v>151</v>
      </c>
      <c r="D133" s="8">
        <v>46247</v>
      </c>
      <c r="E133" t="s">
        <v>89</v>
      </c>
      <c r="F133">
        <v>1.028</v>
      </c>
      <c r="G133">
        <v>1.03</v>
      </c>
      <c r="H133">
        <v>1.032</v>
      </c>
      <c r="I133" s="10">
        <f t="shared" si="2"/>
        <v>1.03</v>
      </c>
      <c r="J133" s="10">
        <f t="shared" si="3"/>
        <v>7.5536606580000125</v>
      </c>
    </row>
    <row r="134" spans="2:10">
      <c r="B134" t="s">
        <v>158</v>
      </c>
      <c r="C134" t="s">
        <v>151</v>
      </c>
      <c r="D134" s="8">
        <v>46247</v>
      </c>
      <c r="E134" t="s">
        <v>89</v>
      </c>
      <c r="F134">
        <v>1.0209999999999999</v>
      </c>
      <c r="G134">
        <v>1.0209999999999999</v>
      </c>
      <c r="H134">
        <v>1.0209999999999999</v>
      </c>
      <c r="I134" s="10">
        <f t="shared" si="2"/>
        <v>1.0209999999999999</v>
      </c>
      <c r="J134" s="10">
        <f t="shared" si="3"/>
        <v>5.3275552472941854</v>
      </c>
    </row>
    <row r="135" spans="2:10">
      <c r="B135" t="s">
        <v>159</v>
      </c>
      <c r="C135" t="s">
        <v>151</v>
      </c>
      <c r="D135" s="8">
        <v>46247</v>
      </c>
      <c r="E135" t="s">
        <v>89</v>
      </c>
      <c r="F135">
        <v>1.0229999999999999</v>
      </c>
      <c r="G135">
        <v>1.0229999999999999</v>
      </c>
      <c r="H135">
        <v>1.0229999999999999</v>
      </c>
      <c r="I135" s="10">
        <f t="shared" si="2"/>
        <v>1.0229999999999999</v>
      </c>
      <c r="J135" s="10">
        <f t="shared" si="3"/>
        <v>5.8251616394181838</v>
      </c>
    </row>
    <row r="136" spans="2:10">
      <c r="B136" t="s">
        <v>160</v>
      </c>
      <c r="C136" t="s">
        <v>151</v>
      </c>
      <c r="D136" s="8">
        <v>46247</v>
      </c>
      <c r="E136" t="s">
        <v>89</v>
      </c>
      <c r="F136">
        <v>1.0209999999999999</v>
      </c>
      <c r="G136">
        <v>1.022</v>
      </c>
      <c r="H136">
        <v>1.0229999999999999</v>
      </c>
      <c r="I136" s="10">
        <f t="shared" si="2"/>
        <v>1.022</v>
      </c>
      <c r="J136" s="10">
        <f t="shared" si="3"/>
        <v>5.5765678965922234</v>
      </c>
    </row>
    <row r="137" spans="2:10">
      <c r="B137" t="s">
        <v>148</v>
      </c>
      <c r="C137" t="s">
        <v>151</v>
      </c>
      <c r="D137" s="8">
        <v>46247</v>
      </c>
      <c r="E137" t="s">
        <v>89</v>
      </c>
      <c r="F137">
        <v>1.024</v>
      </c>
      <c r="G137">
        <v>1.024</v>
      </c>
      <c r="H137">
        <v>1.024</v>
      </c>
      <c r="I137" s="10">
        <f t="shared" si="2"/>
        <v>1.024</v>
      </c>
      <c r="J137" s="10">
        <f t="shared" si="3"/>
        <v>6.0733373352961735</v>
      </c>
    </row>
    <row r="138" spans="2:10">
      <c r="B138" t="s">
        <v>134</v>
      </c>
      <c r="C138" t="s">
        <v>151</v>
      </c>
      <c r="D138" s="8">
        <v>46247</v>
      </c>
      <c r="E138" t="s">
        <v>89</v>
      </c>
      <c r="F138">
        <v>1.018</v>
      </c>
      <c r="G138">
        <v>1.02</v>
      </c>
      <c r="H138">
        <v>1.018</v>
      </c>
      <c r="I138" s="10">
        <f t="shared" si="2"/>
        <v>1.0186666666666666</v>
      </c>
      <c r="J138" s="10">
        <f t="shared" si="3"/>
        <v>4.7448918233507129</v>
      </c>
    </row>
    <row r="139" spans="2:10">
      <c r="B139" t="s">
        <v>161</v>
      </c>
      <c r="C139" t="s">
        <v>151</v>
      </c>
      <c r="D139" s="8">
        <v>46247</v>
      </c>
      <c r="E139" t="s">
        <v>89</v>
      </c>
      <c r="F139">
        <v>1.02</v>
      </c>
      <c r="G139">
        <v>1.0209999999999999</v>
      </c>
      <c r="H139">
        <v>1.02</v>
      </c>
      <c r="I139" s="10">
        <f t="shared" si="2"/>
        <v>1.0203333333333333</v>
      </c>
      <c r="J139" s="10">
        <f t="shared" si="3"/>
        <v>5.1613136641545907</v>
      </c>
    </row>
    <row r="140" spans="2:10">
      <c r="B140" t="s">
        <v>162</v>
      </c>
      <c r="C140" t="s">
        <v>151</v>
      </c>
      <c r="D140" s="8">
        <v>46247</v>
      </c>
      <c r="E140" t="s">
        <v>89</v>
      </c>
      <c r="F140">
        <v>1.0189999999999999</v>
      </c>
      <c r="G140">
        <v>1.0189999999999999</v>
      </c>
      <c r="H140">
        <v>1.02</v>
      </c>
      <c r="I140" s="10">
        <f t="shared" si="2"/>
        <v>1.0193333333333332</v>
      </c>
      <c r="J140" s="10">
        <f t="shared" si="3"/>
        <v>4.911600927349923</v>
      </c>
    </row>
    <row r="141" spans="2:10">
      <c r="B141" t="s">
        <v>163</v>
      </c>
      <c r="C141" t="s">
        <v>151</v>
      </c>
      <c r="D141" s="8">
        <v>46247</v>
      </c>
      <c r="E141" t="s">
        <v>89</v>
      </c>
      <c r="F141">
        <v>1.0289999999999999</v>
      </c>
      <c r="G141">
        <v>1.0289999999999999</v>
      </c>
      <c r="H141">
        <v>1.03</v>
      </c>
      <c r="I141" s="10">
        <f t="shared" si="2"/>
        <v>1.0293333333333334</v>
      </c>
      <c r="J141" s="10">
        <f t="shared" si="3"/>
        <v>7.3899161827367834</v>
      </c>
    </row>
    <row r="142" spans="2:10">
      <c r="B142" t="s">
        <v>118</v>
      </c>
      <c r="C142" t="s">
        <v>151</v>
      </c>
      <c r="D142" s="8">
        <v>46247</v>
      </c>
      <c r="E142" t="s">
        <v>89</v>
      </c>
      <c r="F142">
        <v>1.0229999999999999</v>
      </c>
      <c r="G142">
        <v>1.024</v>
      </c>
      <c r="H142">
        <v>1.024</v>
      </c>
      <c r="I142" s="10">
        <f t="shared" si="2"/>
        <v>1.0236666666666665</v>
      </c>
      <c r="J142" s="10">
        <f t="shared" si="3"/>
        <v>5.9906584999405368</v>
      </c>
    </row>
    <row r="143" spans="2:10">
      <c r="B143" t="s">
        <v>127</v>
      </c>
      <c r="C143" t="s">
        <v>151</v>
      </c>
      <c r="D143" s="8">
        <v>46247</v>
      </c>
      <c r="E143" t="s">
        <v>89</v>
      </c>
      <c r="F143">
        <v>1.02</v>
      </c>
      <c r="G143">
        <v>1.02</v>
      </c>
      <c r="H143">
        <v>1.02</v>
      </c>
      <c r="I143" s="10">
        <f t="shared" si="2"/>
        <v>1.02</v>
      </c>
      <c r="J143" s="10">
        <f t="shared" si="3"/>
        <v>5.0781228320000764</v>
      </c>
    </row>
    <row r="144" spans="2:10">
      <c r="B144" t="s">
        <v>164</v>
      </c>
      <c r="C144" t="s">
        <v>151</v>
      </c>
      <c r="D144" s="8">
        <v>46247</v>
      </c>
      <c r="E144" t="s">
        <v>89</v>
      </c>
      <c r="F144">
        <v>1.018</v>
      </c>
      <c r="G144">
        <v>1.02</v>
      </c>
      <c r="H144">
        <v>1.0189999999999999</v>
      </c>
      <c r="I144" s="10">
        <f t="shared" si="2"/>
        <v>1.0190000000000001</v>
      </c>
      <c r="J144" s="10">
        <f t="shared" si="3"/>
        <v>4.8282697911861305</v>
      </c>
    </row>
    <row r="145" spans="2:10">
      <c r="B145" t="s">
        <v>165</v>
      </c>
      <c r="C145" t="s">
        <v>151</v>
      </c>
      <c r="D145" s="8">
        <v>46247</v>
      </c>
      <c r="E145" t="s">
        <v>89</v>
      </c>
      <c r="F145">
        <v>1.022</v>
      </c>
      <c r="G145">
        <v>1.022</v>
      </c>
      <c r="H145">
        <v>1.0229999999999999</v>
      </c>
      <c r="I145" s="10">
        <f t="shared" si="2"/>
        <v>1.0223333333333333</v>
      </c>
      <c r="J145" s="10">
        <f t="shared" si="3"/>
        <v>5.6594789802519472</v>
      </c>
    </row>
    <row r="146" spans="2:10">
      <c r="B146" t="s">
        <v>160</v>
      </c>
      <c r="C146" t="s">
        <v>151</v>
      </c>
      <c r="D146" s="8">
        <v>46247</v>
      </c>
      <c r="E146" t="s">
        <v>89</v>
      </c>
      <c r="F146">
        <v>1.0169999999999999</v>
      </c>
      <c r="G146">
        <v>1.0169999999999999</v>
      </c>
      <c r="H146">
        <v>1.02</v>
      </c>
      <c r="I146" s="10">
        <f t="shared" si="2"/>
        <v>1.018</v>
      </c>
      <c r="J146" s="10">
        <f t="shared" si="3"/>
        <v>4.5779952653281271</v>
      </c>
    </row>
    <row r="147" spans="2:10">
      <c r="B147" t="s">
        <v>166</v>
      </c>
      <c r="C147" t="s">
        <v>151</v>
      </c>
      <c r="D147" s="8">
        <v>46247</v>
      </c>
      <c r="E147" t="s">
        <v>89</v>
      </c>
      <c r="F147">
        <v>1.0209999999999999</v>
      </c>
      <c r="G147">
        <v>1.0209999999999999</v>
      </c>
      <c r="H147">
        <v>1.0209999999999999</v>
      </c>
      <c r="I147" s="10">
        <f t="shared" si="2"/>
        <v>1.0209999999999999</v>
      </c>
      <c r="J147" s="10">
        <f t="shared" si="3"/>
        <v>5.3275552472941854</v>
      </c>
    </row>
    <row r="148" spans="2:10">
      <c r="B148" t="s">
        <v>167</v>
      </c>
      <c r="C148" t="s">
        <v>151</v>
      </c>
      <c r="D148" s="8">
        <v>46247</v>
      </c>
      <c r="E148" t="s">
        <v>89</v>
      </c>
      <c r="F148">
        <v>1.018</v>
      </c>
      <c r="G148">
        <v>1.018</v>
      </c>
      <c r="H148">
        <v>1.018</v>
      </c>
      <c r="I148" s="10">
        <f t="shared" si="2"/>
        <v>1.018</v>
      </c>
      <c r="J148" s="10">
        <f t="shared" si="3"/>
        <v>4.5779952653281271</v>
      </c>
    </row>
    <row r="149" spans="2:10">
      <c r="B149" t="s">
        <v>168</v>
      </c>
      <c r="C149" t="s">
        <v>151</v>
      </c>
      <c r="D149" s="8">
        <v>46247</v>
      </c>
      <c r="E149" t="s">
        <v>89</v>
      </c>
      <c r="F149">
        <v>1.02</v>
      </c>
      <c r="G149">
        <v>1.02</v>
      </c>
      <c r="H149">
        <v>1.02</v>
      </c>
      <c r="I149" s="10">
        <f t="shared" si="2"/>
        <v>1.02</v>
      </c>
      <c r="J149" s="10">
        <f t="shared" si="3"/>
        <v>5.0781228320000764</v>
      </c>
    </row>
    <row r="150" spans="2:10">
      <c r="B150" t="s">
        <v>141</v>
      </c>
      <c r="C150" t="s">
        <v>151</v>
      </c>
      <c r="D150" s="8">
        <v>46247</v>
      </c>
      <c r="E150" t="s">
        <v>89</v>
      </c>
      <c r="F150">
        <v>1.0249999999999999</v>
      </c>
      <c r="G150">
        <v>1.03</v>
      </c>
      <c r="H150">
        <v>1.028</v>
      </c>
      <c r="I150" s="10">
        <f t="shared" si="2"/>
        <v>1.0276666666666665</v>
      </c>
      <c r="J150" s="10">
        <f t="shared" si="3"/>
        <v>6.979752153292452</v>
      </c>
    </row>
    <row r="151" spans="2:10">
      <c r="B151" t="s">
        <v>169</v>
      </c>
      <c r="C151" t="s">
        <v>151</v>
      </c>
      <c r="D151" s="8">
        <v>46247</v>
      </c>
      <c r="E151" t="s">
        <v>89</v>
      </c>
      <c r="F151">
        <v>1.0209999999999999</v>
      </c>
      <c r="G151">
        <v>1.22</v>
      </c>
      <c r="H151">
        <v>1.02</v>
      </c>
      <c r="I151" s="10">
        <f t="shared" si="2"/>
        <v>1.087</v>
      </c>
      <c r="J151" s="10">
        <f t="shared" si="3"/>
        <v>20.903167536762226</v>
      </c>
    </row>
    <row r="152" spans="2:10">
      <c r="B152" t="s">
        <v>141</v>
      </c>
      <c r="C152" t="s">
        <v>151</v>
      </c>
      <c r="D152" s="8">
        <v>46247</v>
      </c>
      <c r="E152" t="s">
        <v>89</v>
      </c>
      <c r="F152">
        <v>1.024</v>
      </c>
      <c r="G152">
        <v>1.024</v>
      </c>
      <c r="H152">
        <v>1.026</v>
      </c>
      <c r="I152" s="10">
        <f t="shared" si="2"/>
        <v>1.0246666666666666</v>
      </c>
      <c r="J152" s="10">
        <f t="shared" si="3"/>
        <v>6.2385559753664666</v>
      </c>
    </row>
    <row r="153" spans="2:10">
      <c r="B153" t="s">
        <v>138</v>
      </c>
      <c r="C153" t="s">
        <v>151</v>
      </c>
      <c r="D153" s="8">
        <v>46247</v>
      </c>
      <c r="E153" t="s">
        <v>89</v>
      </c>
      <c r="F153">
        <v>1.0209999999999999</v>
      </c>
      <c r="G153">
        <v>1.0209999999999999</v>
      </c>
      <c r="H153">
        <v>1.0209999999999999</v>
      </c>
      <c r="I153" s="10">
        <f t="shared" si="2"/>
        <v>1.0209999999999999</v>
      </c>
      <c r="J153" s="10">
        <f t="shared" si="3"/>
        <v>5.3275552472941854</v>
      </c>
    </row>
    <row r="154" spans="2:10">
      <c r="B154" t="s">
        <v>170</v>
      </c>
      <c r="C154" t="s">
        <v>151</v>
      </c>
      <c r="D154" s="8">
        <v>46247</v>
      </c>
      <c r="E154" t="s">
        <v>89</v>
      </c>
      <c r="F154">
        <v>1.0209999999999999</v>
      </c>
      <c r="G154">
        <v>1.022</v>
      </c>
      <c r="H154">
        <v>1.0209999999999999</v>
      </c>
      <c r="I154" s="10">
        <f t="shared" si="2"/>
        <v>1.0213333333333334</v>
      </c>
      <c r="J154" s="10">
        <f t="shared" si="3"/>
        <v>5.4106060619473055</v>
      </c>
    </row>
    <row r="155" spans="2:10">
      <c r="B155" t="s">
        <v>171</v>
      </c>
      <c r="C155" t="s">
        <v>151</v>
      </c>
      <c r="D155" s="8">
        <v>46247</v>
      </c>
      <c r="E155" t="s">
        <v>89</v>
      </c>
      <c r="F155">
        <v>1.018</v>
      </c>
      <c r="G155">
        <v>1.018</v>
      </c>
      <c r="H155">
        <v>1.018</v>
      </c>
      <c r="I155" s="10">
        <f t="shared" si="2"/>
        <v>1.018</v>
      </c>
      <c r="J155" s="10">
        <f t="shared" si="3"/>
        <v>4.5779952653281271</v>
      </c>
    </row>
    <row r="156" spans="2:10">
      <c r="B156" t="s">
        <v>171</v>
      </c>
      <c r="C156" t="s">
        <v>151</v>
      </c>
      <c r="D156" s="8">
        <v>46247</v>
      </c>
      <c r="E156" t="s">
        <v>89</v>
      </c>
      <c r="F156">
        <v>1.0229999999999999</v>
      </c>
      <c r="G156">
        <v>1.0229999999999999</v>
      </c>
      <c r="H156">
        <v>1.0229999999999999</v>
      </c>
      <c r="I156" s="10">
        <f t="shared" si="2"/>
        <v>1.0229999999999999</v>
      </c>
      <c r="J156" s="10">
        <f t="shared" si="3"/>
        <v>5.8251616394181838</v>
      </c>
    </row>
    <row r="157" spans="2:10">
      <c r="B157" t="s">
        <v>145</v>
      </c>
      <c r="C157" t="s">
        <v>151</v>
      </c>
      <c r="D157" s="8">
        <v>46247</v>
      </c>
      <c r="E157" t="s">
        <v>89</v>
      </c>
      <c r="F157">
        <v>1.02</v>
      </c>
      <c r="G157">
        <v>1.02</v>
      </c>
      <c r="H157">
        <v>1.02</v>
      </c>
      <c r="I157" s="10">
        <f t="shared" si="2"/>
        <v>1.02</v>
      </c>
      <c r="J157" s="10">
        <f t="shared" si="3"/>
        <v>5.0781228320000764</v>
      </c>
    </row>
    <row r="158" spans="2:10">
      <c r="B158" t="s">
        <v>157</v>
      </c>
      <c r="C158" t="s">
        <v>151</v>
      </c>
      <c r="D158" s="8">
        <v>46247</v>
      </c>
      <c r="E158" t="s">
        <v>89</v>
      </c>
      <c r="F158">
        <v>1.0209999999999999</v>
      </c>
      <c r="G158">
        <v>1.0209999999999999</v>
      </c>
      <c r="H158">
        <v>1.0209999999999999</v>
      </c>
      <c r="I158" s="10">
        <f t="shared" si="2"/>
        <v>1.0209999999999999</v>
      </c>
      <c r="J158" s="10">
        <f t="shared" si="3"/>
        <v>5.3275552472941854</v>
      </c>
    </row>
    <row r="159" spans="2:10">
      <c r="B159" t="s">
        <v>92</v>
      </c>
      <c r="C159" t="s">
        <v>12</v>
      </c>
      <c r="D159" s="8">
        <v>46245</v>
      </c>
      <c r="F159">
        <v>1.0149999999999999</v>
      </c>
      <c r="G159">
        <v>1.0149999999999999</v>
      </c>
      <c r="H159">
        <v>1.0149999999999999</v>
      </c>
      <c r="I159" s="10">
        <f t="shared" si="2"/>
        <v>1.0149999999999999</v>
      </c>
      <c r="J159" s="10">
        <f t="shared" si="3"/>
        <v>3.824634182250179</v>
      </c>
    </row>
    <row r="160" spans="2:10">
      <c r="B160" t="s">
        <v>87</v>
      </c>
      <c r="C160" t="s">
        <v>12</v>
      </c>
      <c r="D160" s="8">
        <v>46245</v>
      </c>
      <c r="F160">
        <v>1.028</v>
      </c>
      <c r="G160">
        <v>1.03</v>
      </c>
      <c r="H160">
        <v>1.03</v>
      </c>
      <c r="I160" s="10">
        <f t="shared" si="2"/>
        <v>1.0293333333333334</v>
      </c>
      <c r="J160" s="10">
        <f t="shared" si="3"/>
        <v>7.3899161827367834</v>
      </c>
    </row>
    <row r="161" spans="2:10">
      <c r="B161" t="s">
        <v>88</v>
      </c>
      <c r="C161" t="s">
        <v>12</v>
      </c>
      <c r="D161" s="8">
        <v>46245</v>
      </c>
      <c r="F161">
        <v>1.0289999999999999</v>
      </c>
      <c r="G161">
        <v>1.0289999999999999</v>
      </c>
      <c r="H161">
        <v>1.0289999999999999</v>
      </c>
      <c r="I161" s="10">
        <f t="shared" si="2"/>
        <v>1.0289999999999999</v>
      </c>
      <c r="J161" s="10">
        <f t="shared" si="3"/>
        <v>7.3079751938058735</v>
      </c>
    </row>
    <row r="162" spans="2:10">
      <c r="B162" t="s">
        <v>131</v>
      </c>
      <c r="C162" t="s">
        <v>12</v>
      </c>
      <c r="D162" s="8">
        <v>46245</v>
      </c>
      <c r="F162">
        <v>1.0169999999999999</v>
      </c>
      <c r="G162">
        <v>1.016</v>
      </c>
      <c r="H162">
        <v>1.018</v>
      </c>
      <c r="I162" s="10">
        <f t="shared" si="2"/>
        <v>1.0170000000000001</v>
      </c>
      <c r="J162" s="10">
        <f t="shared" si="3"/>
        <v>4.3272983949020727</v>
      </c>
    </row>
    <row r="163" spans="2:10">
      <c r="B163" t="s">
        <v>83</v>
      </c>
      <c r="C163" t="s">
        <v>12</v>
      </c>
      <c r="D163" s="8">
        <v>46245</v>
      </c>
      <c r="F163">
        <v>1.0209999999999999</v>
      </c>
      <c r="G163">
        <v>1.0209999999999999</v>
      </c>
      <c r="H163">
        <v>1.0209999999999999</v>
      </c>
      <c r="I163" s="10">
        <f t="shared" si="2"/>
        <v>1.0209999999999999</v>
      </c>
      <c r="J163" s="10">
        <f t="shared" si="3"/>
        <v>5.3275552472941854</v>
      </c>
    </row>
    <row r="164" spans="2:10">
      <c r="B164" t="s">
        <v>84</v>
      </c>
      <c r="C164" t="s">
        <v>12</v>
      </c>
      <c r="D164" s="8">
        <v>46245</v>
      </c>
      <c r="F164">
        <v>1.028</v>
      </c>
      <c r="G164">
        <v>1.0269999999999999</v>
      </c>
      <c r="H164">
        <v>1.028</v>
      </c>
      <c r="I164" s="10">
        <f t="shared" si="2"/>
        <v>1.0276666666666665</v>
      </c>
      <c r="J164" s="10">
        <f t="shared" si="3"/>
        <v>6.979752153292452</v>
      </c>
    </row>
    <row r="165" spans="2:10">
      <c r="B165" t="s">
        <v>85</v>
      </c>
      <c r="C165" t="s">
        <v>12</v>
      </c>
      <c r="D165" s="8">
        <v>46245</v>
      </c>
      <c r="F165">
        <v>1.0209999999999999</v>
      </c>
      <c r="G165">
        <v>1.02</v>
      </c>
      <c r="H165">
        <v>1.0209999999999999</v>
      </c>
      <c r="I165" s="10">
        <f t="shared" si="2"/>
        <v>1.0206666666666666</v>
      </c>
      <c r="J165" s="10">
        <f t="shared" si="3"/>
        <v>5.2444577919744688</v>
      </c>
    </row>
    <row r="166" spans="2:10">
      <c r="B166" t="s">
        <v>86</v>
      </c>
      <c r="C166" t="s">
        <v>12</v>
      </c>
      <c r="D166" s="8">
        <v>46245</v>
      </c>
      <c r="F166">
        <v>1.0249999999999999</v>
      </c>
      <c r="G166">
        <v>1.024</v>
      </c>
      <c r="H166">
        <v>1.0229999999999999</v>
      </c>
      <c r="I166" s="10">
        <f t="shared" si="2"/>
        <v>1.024</v>
      </c>
      <c r="J166" s="10">
        <f t="shared" si="3"/>
        <v>6.0733373352961735</v>
      </c>
    </row>
    <row r="167" spans="2:10">
      <c r="B167" t="s">
        <v>120</v>
      </c>
      <c r="C167" t="s">
        <v>12</v>
      </c>
      <c r="D167" s="8">
        <v>46245</v>
      </c>
      <c r="F167">
        <v>1.036</v>
      </c>
      <c r="G167">
        <v>1.0329999999999999</v>
      </c>
      <c r="H167">
        <v>1.036</v>
      </c>
      <c r="I167" s="10">
        <f t="shared" si="2"/>
        <v>1.0349999999999999</v>
      </c>
      <c r="J167" s="10">
        <f t="shared" si="3"/>
        <v>8.7759247152500848</v>
      </c>
    </row>
    <row r="168" spans="2:10">
      <c r="B168" t="s">
        <v>63</v>
      </c>
      <c r="C168" t="s">
        <v>12</v>
      </c>
      <c r="D168" s="8">
        <v>46245</v>
      </c>
      <c r="F168">
        <v>1.0229999999999999</v>
      </c>
      <c r="G168">
        <v>1.0229999999999999</v>
      </c>
      <c r="H168">
        <v>1.022</v>
      </c>
      <c r="I168" s="10">
        <f t="shared" si="2"/>
        <v>1.0226666666666666</v>
      </c>
      <c r="J168" s="10">
        <f t="shared" si="3"/>
        <v>5.7423435505825182</v>
      </c>
    </row>
    <row r="169" spans="2:10">
      <c r="B169" t="s">
        <v>79</v>
      </c>
      <c r="C169" t="s">
        <v>12</v>
      </c>
      <c r="D169" s="8">
        <v>46245</v>
      </c>
      <c r="F169">
        <v>1.0369999999999999</v>
      </c>
      <c r="G169">
        <v>1.038</v>
      </c>
      <c r="H169">
        <v>1.038</v>
      </c>
      <c r="I169" s="10">
        <f t="shared" si="2"/>
        <v>1.0376666666666667</v>
      </c>
      <c r="J169" s="10">
        <f t="shared" si="3"/>
        <v>9.4236241115127086</v>
      </c>
    </row>
    <row r="170" spans="2:10">
      <c r="B170" t="s">
        <v>82</v>
      </c>
      <c r="C170" t="s">
        <v>12</v>
      </c>
      <c r="D170" s="8">
        <v>46245</v>
      </c>
      <c r="F170">
        <v>1.022</v>
      </c>
      <c r="G170">
        <v>1.022</v>
      </c>
      <c r="H170">
        <v>1.0229999999999999</v>
      </c>
      <c r="I170" s="10">
        <f t="shared" si="2"/>
        <v>1.0223333333333333</v>
      </c>
      <c r="J170" s="10">
        <f t="shared" si="3"/>
        <v>5.6594789802519472</v>
      </c>
    </row>
    <row r="171" spans="2:10">
      <c r="B171" t="s">
        <v>81</v>
      </c>
      <c r="C171" t="s">
        <v>12</v>
      </c>
      <c r="D171" s="8">
        <v>46245</v>
      </c>
      <c r="F171">
        <v>1.026</v>
      </c>
      <c r="G171">
        <v>1.0269999999999999</v>
      </c>
      <c r="H171">
        <v>1.028</v>
      </c>
      <c r="I171" s="10">
        <f t="shared" si="2"/>
        <v>1.0269999999999999</v>
      </c>
      <c r="J171" s="10">
        <f t="shared" si="3"/>
        <v>6.8153647364820245</v>
      </c>
    </row>
    <row r="172" spans="2:10">
      <c r="B172" t="s">
        <v>78</v>
      </c>
      <c r="C172" t="s">
        <v>12</v>
      </c>
      <c r="D172" s="8">
        <v>46245</v>
      </c>
      <c r="F172">
        <v>1.0269999999999999</v>
      </c>
      <c r="G172">
        <v>1.026</v>
      </c>
      <c r="H172">
        <v>1.0269999999999999</v>
      </c>
      <c r="I172" s="10">
        <f t="shared" si="2"/>
        <v>1.0266666666666666</v>
      </c>
      <c r="J172" s="10">
        <f t="shared" si="3"/>
        <v>6.7331019425186014</v>
      </c>
    </row>
    <row r="173" spans="2:10">
      <c r="B173" t="s">
        <v>80</v>
      </c>
      <c r="C173" t="s">
        <v>12</v>
      </c>
      <c r="D173" s="8">
        <v>46245</v>
      </c>
      <c r="F173">
        <v>1.026</v>
      </c>
      <c r="G173">
        <v>1.0249999999999999</v>
      </c>
      <c r="H173">
        <v>1.0269999999999999</v>
      </c>
      <c r="I173" s="10">
        <f t="shared" si="2"/>
        <v>1.026</v>
      </c>
      <c r="J173" s="10">
        <f t="shared" si="3"/>
        <v>6.5684380243043279</v>
      </c>
    </row>
    <row r="174" spans="2:10">
      <c r="B174" t="s">
        <v>71</v>
      </c>
      <c r="C174" t="s">
        <v>12</v>
      </c>
      <c r="D174" s="8">
        <v>46245</v>
      </c>
      <c r="F174">
        <v>1.0209999999999999</v>
      </c>
      <c r="G174">
        <v>1.0209999999999999</v>
      </c>
      <c r="H174">
        <v>1.0209999999999999</v>
      </c>
      <c r="I174" s="10">
        <f t="shared" si="2"/>
        <v>1.0209999999999999</v>
      </c>
      <c r="J174" s="10">
        <f t="shared" si="3"/>
        <v>5.3275552472941854</v>
      </c>
    </row>
    <row r="175" spans="2:10">
      <c r="B175" t="s">
        <v>74</v>
      </c>
      <c r="C175" t="s">
        <v>12</v>
      </c>
      <c r="D175" s="8">
        <v>46245</v>
      </c>
      <c r="F175">
        <v>1.0209999999999999</v>
      </c>
      <c r="G175">
        <v>1.022</v>
      </c>
      <c r="H175">
        <v>1.0209999999999999</v>
      </c>
      <c r="I175" s="10">
        <f t="shared" si="2"/>
        <v>1.0213333333333334</v>
      </c>
      <c r="J175" s="10">
        <f t="shared" si="3"/>
        <v>5.4106060619473055</v>
      </c>
    </row>
    <row r="176" spans="2:10">
      <c r="B176" t="s">
        <v>75</v>
      </c>
      <c r="C176" t="s">
        <v>12</v>
      </c>
      <c r="D176" s="8">
        <v>46245</v>
      </c>
      <c r="F176">
        <v>1.0249999999999999</v>
      </c>
      <c r="G176">
        <v>1.0249999999999999</v>
      </c>
      <c r="H176">
        <v>1.0229999999999999</v>
      </c>
      <c r="I176" s="10">
        <f t="shared" si="2"/>
        <v>1.0243333333333331</v>
      </c>
      <c r="J176" s="10">
        <f t="shared" si="3"/>
        <v>6.1559698164932115</v>
      </c>
    </row>
    <row r="177" spans="2:10">
      <c r="B177" t="s">
        <v>90</v>
      </c>
      <c r="C177" t="s">
        <v>12</v>
      </c>
      <c r="D177" s="8">
        <v>46245</v>
      </c>
      <c r="F177">
        <v>1.028</v>
      </c>
      <c r="G177">
        <v>1.0289999999999999</v>
      </c>
      <c r="H177">
        <v>1.0249999999999999</v>
      </c>
      <c r="I177" s="10">
        <f t="shared" si="2"/>
        <v>1.0273333333333332</v>
      </c>
      <c r="J177" s="10">
        <f t="shared" si="3"/>
        <v>6.8975814627954151</v>
      </c>
    </row>
    <row r="178" spans="2:10">
      <c r="B178" t="s">
        <v>77</v>
      </c>
      <c r="C178" t="s">
        <v>12</v>
      </c>
      <c r="D178" s="8">
        <v>46245</v>
      </c>
      <c r="F178">
        <v>1.0309999999999999</v>
      </c>
      <c r="G178">
        <v>1.0249999999999999</v>
      </c>
      <c r="H178">
        <v>1.028</v>
      </c>
      <c r="I178" s="10">
        <f t="shared" si="2"/>
        <v>1.028</v>
      </c>
      <c r="J178" s="10">
        <f t="shared" si="3"/>
        <v>7.0618768398080647</v>
      </c>
    </row>
    <row r="179" spans="2:10">
      <c r="B179" t="s">
        <v>167</v>
      </c>
      <c r="C179" t="s">
        <v>151</v>
      </c>
      <c r="E179" t="s">
        <v>89</v>
      </c>
      <c r="F179">
        <v>1.022</v>
      </c>
      <c r="G179">
        <v>1.022</v>
      </c>
      <c r="H179">
        <v>1.022</v>
      </c>
      <c r="I179" s="10">
        <f>AVERAGE(F179,G179,H179)</f>
        <v>1.022</v>
      </c>
      <c r="J179" s="10">
        <f>(143.254*(I179^3))-(648.67*(I179^2))+(1125.805*(I179))-620.389</f>
        <v>5.5765678965922234</v>
      </c>
    </row>
    <row r="180" spans="2:10">
      <c r="B180" t="s">
        <v>172</v>
      </c>
      <c r="C180" t="s">
        <v>151</v>
      </c>
      <c r="E180" t="s">
        <v>89</v>
      </c>
      <c r="F180">
        <v>1.026</v>
      </c>
      <c r="G180">
        <v>1.024</v>
      </c>
      <c r="H180">
        <v>1.022</v>
      </c>
      <c r="I180" s="10">
        <f>AVERAGE(F180,G180,H180)</f>
        <v>1.024</v>
      </c>
      <c r="J180" s="10">
        <f>(143.254*(I180^3))-(648.67*(I180^2))+(1125.805*(I180))-620.389</f>
        <v>6.0733373352961735</v>
      </c>
    </row>
    <row r="181" spans="2:10">
      <c r="B181" t="s">
        <v>120</v>
      </c>
      <c r="C181" t="s">
        <v>151</v>
      </c>
      <c r="E181" t="s">
        <v>89</v>
      </c>
      <c r="F181">
        <v>1.032</v>
      </c>
      <c r="G181">
        <v>1.032</v>
      </c>
      <c r="H181">
        <v>1.032</v>
      </c>
      <c r="I181" s="10">
        <f>AVERAGE(F181,G181,H181)</f>
        <v>1.032</v>
      </c>
      <c r="J181" s="10">
        <f>(143.254*(I181^3))-(648.67*(I181^2))+(1125.805*(I181))-620.389</f>
        <v>8.0437963550721179</v>
      </c>
    </row>
    <row r="182" spans="2:10">
      <c r="B182" t="s">
        <v>173</v>
      </c>
      <c r="C182" t="s">
        <v>151</v>
      </c>
      <c r="E182" t="s">
        <v>89</v>
      </c>
      <c r="F182">
        <v>1.0209999999999999</v>
      </c>
      <c r="G182">
        <v>1.0209999999999999</v>
      </c>
      <c r="H182">
        <v>1.0209999999999999</v>
      </c>
      <c r="I182" s="10">
        <f>AVERAGE(F182,G182,H182)</f>
        <v>1.0209999999999999</v>
      </c>
      <c r="J182" s="10">
        <f>(143.254*(I182^3))-(648.67*(I182^2))+(1125.805*(I182))-620.389</f>
        <v>5.3275552472941854</v>
      </c>
    </row>
    <row r="183" spans="2:10">
      <c r="B183" t="s">
        <v>163</v>
      </c>
      <c r="C183" t="s">
        <v>151</v>
      </c>
      <c r="E183" t="s">
        <v>89</v>
      </c>
      <c r="F183">
        <v>1.0229999999999999</v>
      </c>
      <c r="G183">
        <v>1.0229999999999999</v>
      </c>
      <c r="H183">
        <v>1.0229999999999999</v>
      </c>
      <c r="I183" s="10">
        <f>AVERAGE(F183,G183,H183)</f>
        <v>1.0229999999999999</v>
      </c>
      <c r="J183" s="10">
        <f>(143.254*(I183^3))-(648.67*(I183^2))+(1125.805*(I183))-620.389</f>
        <v>5.8251616394181838</v>
      </c>
    </row>
    <row r="184" spans="2:10">
      <c r="B184" t="s">
        <v>158</v>
      </c>
      <c r="C184" t="s">
        <v>151</v>
      </c>
      <c r="E184" t="s">
        <v>89</v>
      </c>
      <c r="F184">
        <v>1.0209999999999999</v>
      </c>
      <c r="G184">
        <v>1.0209999999999999</v>
      </c>
      <c r="H184">
        <v>1.0209999999999999</v>
      </c>
      <c r="I184" s="10">
        <f>AVERAGE(F184,G184,H184)</f>
        <v>1.0209999999999999</v>
      </c>
      <c r="J184" s="10">
        <f>(143.254*(I184^3))-(648.67*(I184^2))+(1125.805*(I184))-620.389</f>
        <v>5.3275552472941854</v>
      </c>
    </row>
    <row r="185" spans="2:10">
      <c r="B185" t="s">
        <v>130</v>
      </c>
      <c r="C185" t="s">
        <v>151</v>
      </c>
      <c r="E185" t="s">
        <v>89</v>
      </c>
      <c r="F185">
        <v>1.0249999999999999</v>
      </c>
      <c r="G185">
        <v>1.0249999999999999</v>
      </c>
      <c r="H185">
        <v>1.0269999999999999</v>
      </c>
      <c r="I185" s="10">
        <f>AVERAGE(F185,G185,H185)</f>
        <v>1.0256666666666667</v>
      </c>
      <c r="J185" s="10">
        <f>(143.254*(I185^3))-(648.67*(I185^2))+(1125.805*(I185))-620.389</f>
        <v>6.4860368363846419</v>
      </c>
    </row>
    <row r="186" spans="2:10">
      <c r="B186" t="s">
        <v>174</v>
      </c>
      <c r="C186" t="s">
        <v>151</v>
      </c>
      <c r="E186" t="s">
        <v>89</v>
      </c>
      <c r="F186">
        <v>1.022</v>
      </c>
      <c r="G186">
        <v>1.0249999999999999</v>
      </c>
      <c r="H186">
        <v>1.0229999999999999</v>
      </c>
      <c r="I186" s="10">
        <f>AVERAGE(F186,G186,H186)</f>
        <v>1.0233333333333332</v>
      </c>
      <c r="J186" s="10">
        <f>(143.254*(I186^3))-(648.67*(I186^2))+(1125.805*(I186))-620.389</f>
        <v>5.9079332785926226</v>
      </c>
    </row>
    <row r="187" spans="2:10">
      <c r="B187" t="s">
        <v>83</v>
      </c>
      <c r="C187" t="s">
        <v>151</v>
      </c>
      <c r="E187" t="s">
        <v>89</v>
      </c>
      <c r="F187">
        <v>1.028</v>
      </c>
      <c r="G187">
        <v>1.0269999999999999</v>
      </c>
      <c r="H187">
        <v>1.028</v>
      </c>
      <c r="I187" s="10">
        <f>AVERAGE(F187,G187,H187)</f>
        <v>1.0276666666666665</v>
      </c>
      <c r="J187" s="10">
        <f>(143.254*(I187^3))-(648.67*(I187^2))+(1125.805*(I187))-620.389</f>
        <v>6.979752153292452</v>
      </c>
    </row>
    <row r="188" spans="2:10">
      <c r="B188" t="s">
        <v>175</v>
      </c>
      <c r="C188" t="s">
        <v>151</v>
      </c>
      <c r="E188" t="s">
        <v>89</v>
      </c>
      <c r="F188">
        <v>1.022</v>
      </c>
      <c r="G188">
        <v>1.022</v>
      </c>
      <c r="H188">
        <v>1.0229999999999999</v>
      </c>
      <c r="I188" s="10">
        <f>AVERAGE(F188,G188,H188)</f>
        <v>1.0223333333333333</v>
      </c>
      <c r="J188" s="10">
        <f>(143.254*(I188^3))-(648.67*(I188^2))+(1125.805*(I188))-620.389</f>
        <v>5.6594789802519472</v>
      </c>
    </row>
    <row r="189" spans="2:10">
      <c r="B189" t="s">
        <v>88</v>
      </c>
      <c r="C189" t="s">
        <v>151</v>
      </c>
      <c r="E189" t="s">
        <v>89</v>
      </c>
      <c r="F189">
        <v>1.0229999999999999</v>
      </c>
      <c r="G189">
        <v>1.022</v>
      </c>
      <c r="H189">
        <v>1.026</v>
      </c>
      <c r="I189" s="10">
        <f>AVERAGE(F189,G189,H189)</f>
        <v>1.0236666666666665</v>
      </c>
      <c r="J189" s="10">
        <f>(143.254*(I189^3))-(648.67*(I189^2))+(1125.805*(I189))-620.389</f>
        <v>5.9906584999405368</v>
      </c>
    </row>
    <row r="190" spans="2:10">
      <c r="B190" t="s">
        <v>176</v>
      </c>
      <c r="C190" t="s">
        <v>151</v>
      </c>
      <c r="E190" t="s">
        <v>89</v>
      </c>
      <c r="F190">
        <v>1.0149999999999999</v>
      </c>
      <c r="G190">
        <v>1.012</v>
      </c>
      <c r="H190">
        <v>1.0129999999999999</v>
      </c>
      <c r="I190" s="10">
        <f>AVERAGE(F190,G190,H190)</f>
        <v>1.0133333333333334</v>
      </c>
      <c r="J190" s="10">
        <f>(143.254*(I190^3))-(648.67*(I190^2))+(1125.805*(I190))-620.389</f>
        <v>3.4044492539261455</v>
      </c>
    </row>
    <row r="191" spans="2:10">
      <c r="B191" t="s">
        <v>124</v>
      </c>
      <c r="C191" t="s">
        <v>151</v>
      </c>
      <c r="E191" t="s">
        <v>89</v>
      </c>
      <c r="F191">
        <v>1.02</v>
      </c>
      <c r="G191">
        <v>1.02</v>
      </c>
      <c r="H191">
        <v>1.02</v>
      </c>
      <c r="I191" s="10">
        <f>AVERAGE(F191,G191,H191)</f>
        <v>1.02</v>
      </c>
      <c r="J191" s="10">
        <f>(143.254*(I191^3))-(648.67*(I191^2))+(1125.805*(I191))-620.389</f>
        <v>5.0781228320000764</v>
      </c>
    </row>
    <row r="192" spans="2:10">
      <c r="B192" t="s">
        <v>76</v>
      </c>
      <c r="C192" t="s">
        <v>151</v>
      </c>
      <c r="E192" t="s">
        <v>89</v>
      </c>
      <c r="F192">
        <v>1.024</v>
      </c>
      <c r="G192">
        <v>1.024</v>
      </c>
      <c r="H192">
        <v>1.024</v>
      </c>
      <c r="I192" s="10">
        <f>AVERAGE(F192,G192,H192)</f>
        <v>1.024</v>
      </c>
      <c r="J192" s="10">
        <f>(143.254*(I192^3))-(648.67*(I192^2))+(1125.805*(I192))-620.389</f>
        <v>6.0733373352961735</v>
      </c>
    </row>
    <row r="193" spans="2:10">
      <c r="B193" t="s">
        <v>117</v>
      </c>
      <c r="C193" t="s">
        <v>151</v>
      </c>
      <c r="E193" t="s">
        <v>89</v>
      </c>
      <c r="F193">
        <v>1.0269999999999999</v>
      </c>
      <c r="G193">
        <v>1.028</v>
      </c>
      <c r="H193">
        <v>1.028</v>
      </c>
      <c r="I193" s="10">
        <f>AVERAGE(F193,G193,H193)</f>
        <v>1.0276666666666665</v>
      </c>
      <c r="J193" s="10">
        <f>(143.254*(I193^3))-(648.67*(I193^2))+(1125.805*(I193))-620.389</f>
        <v>6.979752153292452</v>
      </c>
    </row>
    <row r="194" spans="2:10">
      <c r="B194" t="s">
        <v>177</v>
      </c>
      <c r="C194" t="s">
        <v>151</v>
      </c>
      <c r="E194" t="s">
        <v>89</v>
      </c>
      <c r="F194">
        <v>1.018</v>
      </c>
      <c r="G194">
        <v>1.018</v>
      </c>
      <c r="H194">
        <v>1.018</v>
      </c>
      <c r="I194" s="10">
        <f>AVERAGE(F194,G194,H194)</f>
        <v>1.018</v>
      </c>
      <c r="J194" s="10">
        <f>(143.254*(I194^3))-(648.67*(I194^2))+(1125.805*(I194))-620.389</f>
        <v>4.5779952653281271</v>
      </c>
    </row>
    <row r="195" spans="2:10">
      <c r="B195" t="s">
        <v>178</v>
      </c>
      <c r="C195" t="s">
        <v>151</v>
      </c>
      <c r="E195" t="s">
        <v>89</v>
      </c>
      <c r="F195">
        <v>1.0269999999999999</v>
      </c>
      <c r="G195">
        <v>1.0289999999999999</v>
      </c>
      <c r="H195">
        <v>1.03</v>
      </c>
      <c r="I195" s="10">
        <f>AVERAGE(F195,G195,H195)</f>
        <v>1.0286666666666668</v>
      </c>
      <c r="J195" s="10">
        <f>(143.254*(I195^3))-(648.67*(I195^2))+(1125.805*(I195))-620.389</f>
        <v>7.2259883282306419</v>
      </c>
    </row>
    <row r="196" spans="2:10">
      <c r="B196" t="s">
        <v>179</v>
      </c>
      <c r="C196" t="s">
        <v>151</v>
      </c>
      <c r="E196" t="s">
        <v>89</v>
      </c>
      <c r="F196">
        <v>1.03</v>
      </c>
      <c r="G196">
        <v>1.0289999999999999</v>
      </c>
      <c r="H196">
        <v>1.03</v>
      </c>
      <c r="I196" s="10">
        <f>AVERAGE(F196,G196,H196)</f>
        <v>1.0296666666666667</v>
      </c>
      <c r="J196" s="10">
        <f>(143.254*(I196^3))-(648.67*(I196^2))+(1125.805*(I196))-620.389</f>
        <v>7.4718113268565958</v>
      </c>
    </row>
    <row r="197" spans="2:10">
      <c r="B197" t="s">
        <v>180</v>
      </c>
      <c r="C197" t="s">
        <v>151</v>
      </c>
      <c r="E197" t="s">
        <v>89</v>
      </c>
      <c r="F197">
        <v>1.02</v>
      </c>
      <c r="G197">
        <v>1.0209999999999999</v>
      </c>
      <c r="H197">
        <v>1.02</v>
      </c>
      <c r="I197" s="10">
        <f>AVERAGE(F197,G197,H197)</f>
        <v>1.0203333333333333</v>
      </c>
      <c r="J197" s="10">
        <f>(143.254*(I197^3))-(648.67*(I197^2))+(1125.805*(I197))-620.389</f>
        <v>5.1613136641545907</v>
      </c>
    </row>
    <row r="198" spans="2:10">
      <c r="B198" t="s">
        <v>135</v>
      </c>
      <c r="C198" t="s">
        <v>151</v>
      </c>
      <c r="E198" t="s">
        <v>89</v>
      </c>
      <c r="F198">
        <v>1.026</v>
      </c>
      <c r="G198">
        <v>1.026</v>
      </c>
      <c r="H198">
        <v>1.026</v>
      </c>
      <c r="I198" s="10">
        <f>AVERAGE(F198,G198,H198)</f>
        <v>1.026</v>
      </c>
      <c r="J198" s="10">
        <f>(143.254*(I198^3))-(648.67*(I198^2))+(1125.805*(I198))-620.389</f>
        <v>6.5684380243043279</v>
      </c>
    </row>
    <row r="199" spans="2:10">
      <c r="B199" t="s">
        <v>148</v>
      </c>
      <c r="C199" t="s">
        <v>151</v>
      </c>
      <c r="E199" t="s">
        <v>89</v>
      </c>
      <c r="F199">
        <v>1.028</v>
      </c>
      <c r="G199">
        <v>1.028</v>
      </c>
      <c r="H199">
        <v>1.028</v>
      </c>
      <c r="I199" s="10">
        <f>AVERAGE(F199,G199,H199)</f>
        <v>1.028</v>
      </c>
      <c r="J199" s="10">
        <f>(143.254*(I199^3))-(648.67*(I199^2))+(1125.805*(I199))-620.389</f>
        <v>7.0618768398080647</v>
      </c>
    </row>
    <row r="200" spans="2:10">
      <c r="B200" t="s">
        <v>125</v>
      </c>
      <c r="C200" t="s">
        <v>151</v>
      </c>
      <c r="E200" t="s">
        <v>89</v>
      </c>
      <c r="F200">
        <v>1.0269999999999999</v>
      </c>
      <c r="G200">
        <v>1.0269999999999999</v>
      </c>
      <c r="H200">
        <v>1.0269999999999999</v>
      </c>
      <c r="I200" s="10">
        <f>AVERAGE(F200,G200,H200)</f>
        <v>1.0269999999999999</v>
      </c>
      <c r="J200" s="10">
        <f>(143.254*(I200^3))-(648.67*(I200^2))+(1125.805*(I200))-620.389</f>
        <v>6.8153647364820245</v>
      </c>
    </row>
    <row r="201" spans="2:10">
      <c r="B201" t="s">
        <v>181</v>
      </c>
      <c r="C201" t="s">
        <v>151</v>
      </c>
      <c r="E201" t="s">
        <v>89</v>
      </c>
      <c r="F201">
        <v>1.022</v>
      </c>
      <c r="G201">
        <v>1.0209999999999999</v>
      </c>
      <c r="H201">
        <v>1.02</v>
      </c>
      <c r="I201" s="10">
        <f>AVERAGE(F201,G201,H201)</f>
        <v>1.0210000000000001</v>
      </c>
      <c r="J201" s="10">
        <f>(143.254*(I201^3))-(648.67*(I201^2))+(1125.805*(I201))-620.389</f>
        <v>5.3275552472942991</v>
      </c>
    </row>
    <row r="202" spans="2:10">
      <c r="B202" t="s">
        <v>182</v>
      </c>
      <c r="C202" t="s">
        <v>151</v>
      </c>
      <c r="E202" t="s">
        <v>89</v>
      </c>
      <c r="F202">
        <v>1.0209999999999999</v>
      </c>
      <c r="G202">
        <v>1.0209999999999999</v>
      </c>
      <c r="H202">
        <v>1.0209999999999999</v>
      </c>
      <c r="I202" s="10">
        <f>AVERAGE(F202,G202,H202)</f>
        <v>1.0209999999999999</v>
      </c>
      <c r="J202" s="10">
        <f>(143.254*(I202^3))-(648.67*(I202^2))+(1125.805*(I202))-620.389</f>
        <v>5.3275552472941854</v>
      </c>
    </row>
    <row r="203" spans="2:10">
      <c r="B203" t="s">
        <v>85</v>
      </c>
      <c r="C203" t="s">
        <v>151</v>
      </c>
      <c r="E203" t="s">
        <v>89</v>
      </c>
      <c r="F203">
        <v>1.032</v>
      </c>
      <c r="G203">
        <v>1.032</v>
      </c>
      <c r="H203">
        <v>1.032</v>
      </c>
      <c r="I203" s="10">
        <f>AVERAGE(F203,G203,H203)</f>
        <v>1.032</v>
      </c>
      <c r="J203" s="10">
        <f>(143.254*(I203^3))-(648.67*(I203^2))+(1125.805*(I203))-620.389</f>
        <v>8.0437963550721179</v>
      </c>
    </row>
    <row r="204" spans="2:10">
      <c r="B204" t="s">
        <v>183</v>
      </c>
      <c r="C204" t="s">
        <v>151</v>
      </c>
      <c r="E204" t="s">
        <v>89</v>
      </c>
      <c r="F204">
        <v>1.0189999999999999</v>
      </c>
      <c r="G204">
        <v>1.0209999999999999</v>
      </c>
      <c r="H204">
        <v>1.0169999999999999</v>
      </c>
      <c r="I204" s="10">
        <f>AVERAGE(F204,G204,H204)</f>
        <v>1.0189999999999999</v>
      </c>
      <c r="J204" s="10">
        <f>(143.254*(I204^3))-(648.67*(I204^2))+(1125.805*(I204))-620.389</f>
        <v>4.8282697911860168</v>
      </c>
    </row>
    <row r="205" spans="2:10">
      <c r="B205" t="s">
        <v>184</v>
      </c>
      <c r="C205" t="s">
        <v>151</v>
      </c>
      <c r="E205" t="s">
        <v>89</v>
      </c>
      <c r="F205">
        <v>1.026</v>
      </c>
      <c r="G205">
        <v>1.026</v>
      </c>
      <c r="H205">
        <v>1.026</v>
      </c>
      <c r="I205" s="10">
        <f>AVERAGE(F205,G205,H205)</f>
        <v>1.026</v>
      </c>
      <c r="J205" s="10">
        <f>(143.254*(I205^3))-(648.67*(I205^2))+(1125.805*(I205))-620.389</f>
        <v>6.5684380243043279</v>
      </c>
    </row>
    <row r="206" spans="2:10">
      <c r="I206" s="10"/>
      <c r="J206" s="10"/>
    </row>
    <row r="207" spans="2:10">
      <c r="B207" t="s">
        <v>185</v>
      </c>
      <c r="C207" t="s">
        <v>151</v>
      </c>
      <c r="E207" t="s">
        <v>89</v>
      </c>
      <c r="F207">
        <v>1.02</v>
      </c>
      <c r="G207">
        <v>1.022</v>
      </c>
      <c r="H207">
        <v>1.02</v>
      </c>
      <c r="I207" s="10">
        <f t="shared" ref="I206:I242" si="4">AVERAGE(F207,G207,H207)</f>
        <v>1.0206666666666666</v>
      </c>
      <c r="J207" s="10">
        <f t="shared" ref="J206:J242" si="5">(143.254*(I207^3))-(648.67*(I207^2))+(1125.805*(I207))-620.389</f>
        <v>5.2444577919744688</v>
      </c>
    </row>
    <row r="208" spans="2:10">
      <c r="B208" t="s">
        <v>186</v>
      </c>
      <c r="C208" t="s">
        <v>151</v>
      </c>
      <c r="E208" t="s">
        <v>89</v>
      </c>
      <c r="F208">
        <v>1.02</v>
      </c>
      <c r="G208">
        <v>1.0189999999999999</v>
      </c>
      <c r="H208">
        <v>1.016</v>
      </c>
      <c r="I208" s="10">
        <f t="shared" si="4"/>
        <v>1.0183333333333333</v>
      </c>
      <c r="J208" s="10">
        <f t="shared" si="5"/>
        <v>4.6614669920091956</v>
      </c>
    </row>
    <row r="209" spans="2:10">
      <c r="B209" t="s">
        <v>187</v>
      </c>
      <c r="C209" t="s">
        <v>151</v>
      </c>
      <c r="E209" t="s">
        <v>89</v>
      </c>
      <c r="F209">
        <v>1.0169999999999999</v>
      </c>
      <c r="G209">
        <v>1.0129999999999999</v>
      </c>
      <c r="H209">
        <v>1.018</v>
      </c>
      <c r="I209" s="10">
        <f t="shared" si="4"/>
        <v>1.016</v>
      </c>
      <c r="J209" s="10">
        <f t="shared" si="5"/>
        <v>4.0761783203839741</v>
      </c>
    </row>
    <row r="210" spans="2:10">
      <c r="B210" t="s">
        <v>126</v>
      </c>
      <c r="C210" t="s">
        <v>151</v>
      </c>
      <c r="E210" t="s">
        <v>89</v>
      </c>
      <c r="F210">
        <v>1.0309999999999999</v>
      </c>
      <c r="G210">
        <v>1.0309999999999999</v>
      </c>
      <c r="H210">
        <v>1.032</v>
      </c>
      <c r="I210" s="10">
        <f t="shared" si="4"/>
        <v>1.0313333333333332</v>
      </c>
      <c r="J210" s="10">
        <f t="shared" si="5"/>
        <v>7.8806004894937587</v>
      </c>
    </row>
    <row r="211" spans="2:10">
      <c r="B211" t="s">
        <v>188</v>
      </c>
      <c r="C211" t="s">
        <v>151</v>
      </c>
      <c r="E211" t="s">
        <v>89</v>
      </c>
      <c r="F211">
        <v>1.02</v>
      </c>
      <c r="G211">
        <v>1.02</v>
      </c>
      <c r="H211">
        <v>1.018</v>
      </c>
      <c r="I211" s="10">
        <f t="shared" si="4"/>
        <v>1.0193333333333332</v>
      </c>
      <c r="J211" s="10">
        <f t="shared" si="5"/>
        <v>4.911600927349923</v>
      </c>
    </row>
    <row r="212" spans="2:10">
      <c r="B212" t="s">
        <v>124</v>
      </c>
      <c r="C212" t="s">
        <v>151</v>
      </c>
      <c r="D212" s="8">
        <v>46252</v>
      </c>
      <c r="E212" t="s">
        <v>89</v>
      </c>
      <c r="F212">
        <v>1.0229999999999999</v>
      </c>
      <c r="G212">
        <v>1.0229999999999999</v>
      </c>
      <c r="H212">
        <v>1.022</v>
      </c>
      <c r="I212" s="10">
        <f t="shared" si="4"/>
        <v>1.0226666666666666</v>
      </c>
      <c r="J212" s="10">
        <f t="shared" si="5"/>
        <v>5.7423435505825182</v>
      </c>
    </row>
    <row r="213" spans="2:10">
      <c r="B213" t="s">
        <v>189</v>
      </c>
      <c r="C213" t="s">
        <v>151</v>
      </c>
      <c r="D213" s="8">
        <v>46252</v>
      </c>
      <c r="E213" t="s">
        <v>89</v>
      </c>
      <c r="F213">
        <v>1.02</v>
      </c>
      <c r="G213">
        <v>1.0209999999999999</v>
      </c>
      <c r="H213">
        <v>1.02</v>
      </c>
      <c r="I213" s="10">
        <f t="shared" si="4"/>
        <v>1.0203333333333333</v>
      </c>
      <c r="J213" s="10">
        <f t="shared" si="5"/>
        <v>5.1613136641545907</v>
      </c>
    </row>
    <row r="214" spans="2:10">
      <c r="B214" t="s">
        <v>190</v>
      </c>
      <c r="C214" t="s">
        <v>151</v>
      </c>
      <c r="D214" s="8">
        <v>46252</v>
      </c>
      <c r="E214" t="s">
        <v>89</v>
      </c>
      <c r="F214">
        <v>1.0229999999999999</v>
      </c>
      <c r="G214">
        <v>1.0229999999999999</v>
      </c>
      <c r="H214">
        <v>1.0229999999999999</v>
      </c>
      <c r="I214" s="10">
        <f t="shared" si="4"/>
        <v>1.0229999999999999</v>
      </c>
      <c r="J214" s="10">
        <f t="shared" si="5"/>
        <v>5.8251616394181838</v>
      </c>
    </row>
    <row r="215" spans="2:10">
      <c r="B215" t="s">
        <v>126</v>
      </c>
      <c r="C215" t="s">
        <v>151</v>
      </c>
      <c r="D215" s="8">
        <v>46252</v>
      </c>
      <c r="E215" t="s">
        <v>89</v>
      </c>
      <c r="F215">
        <v>1.0209999999999999</v>
      </c>
      <c r="G215">
        <v>1.0209999999999999</v>
      </c>
      <c r="H215">
        <v>1.0209999999999999</v>
      </c>
      <c r="I215" s="10">
        <f t="shared" si="4"/>
        <v>1.0209999999999999</v>
      </c>
      <c r="J215" s="10">
        <f t="shared" si="5"/>
        <v>5.3275552472941854</v>
      </c>
    </row>
    <row r="216" spans="2:10">
      <c r="B216" t="s">
        <v>191</v>
      </c>
      <c r="C216" t="s">
        <v>151</v>
      </c>
      <c r="D216" s="8">
        <v>46252</v>
      </c>
      <c r="E216" t="s">
        <v>89</v>
      </c>
      <c r="F216">
        <v>1.0189999999999999</v>
      </c>
      <c r="G216">
        <v>1.02</v>
      </c>
      <c r="H216">
        <v>1.02</v>
      </c>
      <c r="I216" s="10">
        <f t="shared" si="4"/>
        <v>1.0196666666666665</v>
      </c>
      <c r="J216" s="10">
        <f t="shared" si="5"/>
        <v>4.9948852636764514</v>
      </c>
    </row>
    <row r="217" spans="2:10">
      <c r="B217" t="s">
        <v>132</v>
      </c>
      <c r="C217" t="s">
        <v>151</v>
      </c>
      <c r="D217" s="8">
        <v>46252</v>
      </c>
      <c r="E217" t="s">
        <v>89</v>
      </c>
      <c r="F217">
        <v>1.0269999999999999</v>
      </c>
      <c r="G217">
        <v>1.0289999999999999</v>
      </c>
      <c r="H217">
        <v>1.0249999999999999</v>
      </c>
      <c r="I217" s="10">
        <f t="shared" si="4"/>
        <v>1.0269999999999999</v>
      </c>
      <c r="J217" s="10">
        <f t="shared" si="5"/>
        <v>6.8153647364820245</v>
      </c>
    </row>
    <row r="218" spans="2:10">
      <c r="B218" t="s">
        <v>192</v>
      </c>
      <c r="C218" t="s">
        <v>151</v>
      </c>
      <c r="D218" s="8">
        <v>46252</v>
      </c>
      <c r="E218" t="s">
        <v>89</v>
      </c>
      <c r="F218">
        <v>1.026</v>
      </c>
      <c r="G218">
        <v>1.026</v>
      </c>
      <c r="H218">
        <v>1.026</v>
      </c>
      <c r="I218" s="10">
        <f t="shared" si="4"/>
        <v>1.026</v>
      </c>
      <c r="J218" s="10">
        <f t="shared" si="5"/>
        <v>6.5684380243043279</v>
      </c>
    </row>
    <row r="219" spans="2:10">
      <c r="B219" t="s">
        <v>193</v>
      </c>
      <c r="C219" t="s">
        <v>151</v>
      </c>
      <c r="D219" s="8">
        <v>46252</v>
      </c>
      <c r="E219" t="s">
        <v>89</v>
      </c>
      <c r="F219">
        <v>1.032</v>
      </c>
      <c r="G219">
        <v>1.03</v>
      </c>
      <c r="H219">
        <v>1.026</v>
      </c>
      <c r="I219" s="10">
        <f t="shared" si="4"/>
        <v>1.0293333333333334</v>
      </c>
      <c r="J219" s="10">
        <f t="shared" si="5"/>
        <v>7.3899161827367834</v>
      </c>
    </row>
    <row r="220" spans="2:10">
      <c r="B220" t="s">
        <v>90</v>
      </c>
      <c r="C220" t="s">
        <v>151</v>
      </c>
      <c r="D220" s="8">
        <v>46252</v>
      </c>
      <c r="E220" t="s">
        <v>89</v>
      </c>
      <c r="F220">
        <v>1.03</v>
      </c>
      <c r="G220">
        <v>1.03</v>
      </c>
      <c r="H220">
        <v>1.0329999999999999</v>
      </c>
      <c r="I220" s="10">
        <f t="shared" si="4"/>
        <v>1.0309999999999999</v>
      </c>
      <c r="J220" s="10">
        <f t="shared" si="5"/>
        <v>7.7989340919140204</v>
      </c>
    </row>
    <row r="221" spans="2:10">
      <c r="B221" t="s">
        <v>194</v>
      </c>
      <c r="C221" t="s">
        <v>151</v>
      </c>
      <c r="D221" s="8">
        <v>46252</v>
      </c>
      <c r="E221" t="s">
        <v>89</v>
      </c>
      <c r="F221">
        <v>1.0249999999999999</v>
      </c>
      <c r="G221">
        <v>1.0349999999999999</v>
      </c>
      <c r="H221">
        <v>1.032</v>
      </c>
      <c r="I221" s="10">
        <f t="shared" si="4"/>
        <v>1.0306666666666666</v>
      </c>
      <c r="J221" s="10">
        <f t="shared" si="5"/>
        <v>7.7172220086946481</v>
      </c>
    </row>
    <row r="222" spans="2:10">
      <c r="B222" t="s">
        <v>124</v>
      </c>
      <c r="C222" t="s">
        <v>151</v>
      </c>
      <c r="D222" s="8">
        <v>46252</v>
      </c>
      <c r="E222" t="s">
        <v>89</v>
      </c>
      <c r="F222">
        <v>1.026</v>
      </c>
      <c r="G222">
        <v>1.024</v>
      </c>
      <c r="H222">
        <v>1.0269999999999999</v>
      </c>
      <c r="I222" s="10">
        <f t="shared" si="4"/>
        <v>1.0256666666666667</v>
      </c>
      <c r="J222" s="10">
        <f t="shared" si="5"/>
        <v>6.4860368363846419</v>
      </c>
    </row>
    <row r="223" spans="2:10">
      <c r="B223" t="s">
        <v>132</v>
      </c>
      <c r="C223" t="s">
        <v>151</v>
      </c>
      <c r="D223" s="8">
        <v>46252</v>
      </c>
      <c r="E223" t="s">
        <v>89</v>
      </c>
      <c r="F223">
        <v>1.03</v>
      </c>
      <c r="G223">
        <v>1.028</v>
      </c>
      <c r="H223">
        <v>1.032</v>
      </c>
      <c r="I223" s="10">
        <f t="shared" si="4"/>
        <v>1.03</v>
      </c>
      <c r="J223" s="10">
        <f t="shared" si="5"/>
        <v>7.5536606580000125</v>
      </c>
    </row>
    <row r="224" spans="2:10">
      <c r="B224" t="s">
        <v>195</v>
      </c>
      <c r="C224" t="s">
        <v>151</v>
      </c>
      <c r="D224" s="8">
        <v>46252</v>
      </c>
      <c r="E224" t="s">
        <v>89</v>
      </c>
      <c r="F224">
        <v>1.016</v>
      </c>
      <c r="G224">
        <v>1.016</v>
      </c>
      <c r="H224">
        <v>1.016</v>
      </c>
      <c r="I224" s="10">
        <f t="shared" si="4"/>
        <v>1.016</v>
      </c>
      <c r="J224" s="10">
        <f t="shared" si="5"/>
        <v>4.0761783203839741</v>
      </c>
    </row>
    <row r="225" spans="2:10">
      <c r="B225" t="s">
        <v>174</v>
      </c>
      <c r="C225" t="s">
        <v>151</v>
      </c>
      <c r="D225" s="8">
        <v>46252</v>
      </c>
      <c r="E225" t="s">
        <v>89</v>
      </c>
      <c r="F225">
        <v>1.0269999999999999</v>
      </c>
      <c r="G225">
        <v>1.0249999999999999</v>
      </c>
      <c r="H225">
        <v>1.0269999999999999</v>
      </c>
      <c r="I225" s="10">
        <f t="shared" si="4"/>
        <v>1.0263333333333333</v>
      </c>
      <c r="J225" s="10">
        <f t="shared" si="5"/>
        <v>6.6507930490707849</v>
      </c>
    </row>
    <row r="226" spans="2:10">
      <c r="B226" t="s">
        <v>172</v>
      </c>
      <c r="C226" t="s">
        <v>151</v>
      </c>
      <c r="D226" s="8">
        <v>46252</v>
      </c>
      <c r="E226" t="s">
        <v>89</v>
      </c>
      <c r="F226">
        <v>1.0289999999999999</v>
      </c>
      <c r="G226">
        <v>1.0289999999999999</v>
      </c>
      <c r="H226">
        <v>1.03</v>
      </c>
      <c r="I226" s="10">
        <f t="shared" si="4"/>
        <v>1.0293333333333334</v>
      </c>
      <c r="J226" s="10">
        <f t="shared" si="5"/>
        <v>7.3899161827367834</v>
      </c>
    </row>
    <row r="227" spans="2:10">
      <c r="B227" t="s">
        <v>130</v>
      </c>
      <c r="C227" t="s">
        <v>151</v>
      </c>
      <c r="D227" s="8">
        <v>46252</v>
      </c>
      <c r="E227" t="s">
        <v>89</v>
      </c>
      <c r="F227">
        <v>1.024</v>
      </c>
      <c r="G227">
        <v>1.0249999999999999</v>
      </c>
      <c r="H227">
        <v>1.026</v>
      </c>
      <c r="I227" s="10">
        <f t="shared" si="4"/>
        <v>1.0250000000000001</v>
      </c>
      <c r="J227" s="10">
        <f t="shared" si="5"/>
        <v>6.3210958437500722</v>
      </c>
    </row>
    <row r="228" spans="2:10">
      <c r="B228" t="s">
        <v>196</v>
      </c>
      <c r="C228" t="s">
        <v>151</v>
      </c>
      <c r="D228" s="8">
        <v>46252</v>
      </c>
      <c r="E228" t="s">
        <v>89</v>
      </c>
      <c r="F228">
        <v>1.022</v>
      </c>
      <c r="G228">
        <v>1.022</v>
      </c>
      <c r="H228">
        <v>1.022</v>
      </c>
      <c r="I228" s="10">
        <f t="shared" si="4"/>
        <v>1.022</v>
      </c>
      <c r="J228" s="10">
        <f t="shared" si="5"/>
        <v>5.5765678965922234</v>
      </c>
    </row>
    <row r="229" spans="2:10">
      <c r="B229" t="s">
        <v>197</v>
      </c>
      <c r="C229" t="s">
        <v>151</v>
      </c>
      <c r="D229" s="8">
        <v>46252</v>
      </c>
      <c r="E229" t="s">
        <v>89</v>
      </c>
      <c r="F229">
        <v>1.024</v>
      </c>
      <c r="G229">
        <v>1.0269999999999999</v>
      </c>
      <c r="H229">
        <v>1.0249999999999999</v>
      </c>
      <c r="I229" s="10">
        <f t="shared" si="4"/>
        <v>1.0253333333333334</v>
      </c>
      <c r="J229" s="10">
        <f t="shared" si="5"/>
        <v>6.4035894534780482</v>
      </c>
    </row>
    <row r="230" spans="2:10">
      <c r="B230" t="s">
        <v>198</v>
      </c>
      <c r="C230" t="s">
        <v>151</v>
      </c>
      <c r="D230" s="8">
        <v>46252</v>
      </c>
      <c r="E230" t="s">
        <v>89</v>
      </c>
      <c r="F230">
        <v>1.0309999999999999</v>
      </c>
      <c r="G230">
        <v>1.03</v>
      </c>
      <c r="H230">
        <v>1.03</v>
      </c>
      <c r="I230" s="10">
        <f t="shared" si="4"/>
        <v>1.0303333333333333</v>
      </c>
      <c r="J230" s="10">
        <f t="shared" si="5"/>
        <v>7.6354642080015083</v>
      </c>
    </row>
    <row r="231" spans="2:10">
      <c r="B231" t="s">
        <v>189</v>
      </c>
      <c r="C231" t="s">
        <v>151</v>
      </c>
      <c r="D231" s="8">
        <v>46252</v>
      </c>
      <c r="E231" t="s">
        <v>89</v>
      </c>
      <c r="F231">
        <v>1.016</v>
      </c>
      <c r="G231">
        <v>1.016</v>
      </c>
      <c r="H231">
        <v>1.016</v>
      </c>
      <c r="I231" s="10">
        <f t="shared" si="4"/>
        <v>1.016</v>
      </c>
      <c r="J231" s="10">
        <f t="shared" si="5"/>
        <v>4.0761783203839741</v>
      </c>
    </row>
    <row r="232" spans="2:10">
      <c r="B232" t="s">
        <v>135</v>
      </c>
      <c r="C232" t="s">
        <v>151</v>
      </c>
      <c r="D232" s="8">
        <v>46252</v>
      </c>
      <c r="E232" t="s">
        <v>89</v>
      </c>
      <c r="F232">
        <v>1.026</v>
      </c>
      <c r="G232">
        <v>1.026</v>
      </c>
      <c r="H232">
        <v>1.026</v>
      </c>
      <c r="I232" s="10">
        <f t="shared" si="4"/>
        <v>1.026</v>
      </c>
      <c r="J232" s="10">
        <f t="shared" si="5"/>
        <v>6.5684380243043279</v>
      </c>
    </row>
    <row r="233" spans="2:10">
      <c r="B233" t="s">
        <v>83</v>
      </c>
      <c r="C233" t="s">
        <v>151</v>
      </c>
      <c r="D233" s="8">
        <v>46252</v>
      </c>
      <c r="E233" t="s">
        <v>89</v>
      </c>
      <c r="F233">
        <v>1.028</v>
      </c>
      <c r="G233">
        <v>1.0289999999999999</v>
      </c>
      <c r="H233">
        <v>1.0329999999999999</v>
      </c>
      <c r="I233" s="10">
        <f t="shared" si="4"/>
        <v>1.03</v>
      </c>
      <c r="J233" s="10">
        <f t="shared" si="5"/>
        <v>7.5536606580000125</v>
      </c>
    </row>
    <row r="234" spans="2:10">
      <c r="B234" t="s">
        <v>88</v>
      </c>
      <c r="C234" t="s">
        <v>151</v>
      </c>
      <c r="D234" s="8">
        <v>46252</v>
      </c>
      <c r="E234" t="s">
        <v>89</v>
      </c>
      <c r="F234">
        <v>1.038</v>
      </c>
      <c r="G234">
        <v>1.0309999999999999</v>
      </c>
      <c r="H234">
        <v>1.03</v>
      </c>
      <c r="I234" s="10">
        <f t="shared" si="4"/>
        <v>1.0330000000000001</v>
      </c>
      <c r="J234" s="10">
        <f t="shared" si="5"/>
        <v>8.2882483069980708</v>
      </c>
    </row>
    <row r="235" spans="2:10">
      <c r="B235" t="s">
        <v>199</v>
      </c>
      <c r="C235" t="s">
        <v>151</v>
      </c>
      <c r="D235" s="8">
        <v>46252</v>
      </c>
      <c r="E235" t="s">
        <v>89</v>
      </c>
      <c r="F235">
        <v>1.02</v>
      </c>
      <c r="G235">
        <v>1.02</v>
      </c>
      <c r="H235">
        <v>1.02</v>
      </c>
      <c r="I235" s="10">
        <f t="shared" si="4"/>
        <v>1.02</v>
      </c>
      <c r="J235" s="10">
        <f t="shared" si="5"/>
        <v>5.0781228320000764</v>
      </c>
    </row>
    <row r="236" spans="2:10">
      <c r="B236" t="s">
        <v>200</v>
      </c>
      <c r="C236" t="s">
        <v>151</v>
      </c>
      <c r="D236" s="8">
        <v>46252</v>
      </c>
      <c r="E236" t="s">
        <v>89</v>
      </c>
      <c r="F236">
        <v>1.024</v>
      </c>
      <c r="G236">
        <v>1.0249999999999999</v>
      </c>
      <c r="H236">
        <v>1.026</v>
      </c>
      <c r="I236" s="10">
        <f t="shared" si="4"/>
        <v>1.0250000000000001</v>
      </c>
      <c r="J236" s="10">
        <f t="shared" si="5"/>
        <v>6.3210958437500722</v>
      </c>
    </row>
    <row r="237" spans="2:10">
      <c r="B237" t="s">
        <v>201</v>
      </c>
      <c r="C237" t="s">
        <v>151</v>
      </c>
      <c r="D237" s="8">
        <v>46252</v>
      </c>
      <c r="E237" t="s">
        <v>89</v>
      </c>
      <c r="F237">
        <v>1.0189999999999999</v>
      </c>
      <c r="G237">
        <v>1.0189999999999999</v>
      </c>
      <c r="H237">
        <v>1.018</v>
      </c>
      <c r="I237" s="10">
        <f t="shared" si="4"/>
        <v>1.0186666666666666</v>
      </c>
      <c r="J237" s="10">
        <f t="shared" si="5"/>
        <v>4.7448918233507129</v>
      </c>
    </row>
    <row r="238" spans="2:10">
      <c r="B238" t="s">
        <v>202</v>
      </c>
      <c r="C238" t="s">
        <v>151</v>
      </c>
      <c r="D238" s="8">
        <v>46252</v>
      </c>
      <c r="E238" t="s">
        <v>89</v>
      </c>
      <c r="F238">
        <v>1.0209999999999999</v>
      </c>
      <c r="G238">
        <v>1.0209999999999999</v>
      </c>
      <c r="H238">
        <v>1.0209999999999999</v>
      </c>
      <c r="I238" s="10">
        <f t="shared" si="4"/>
        <v>1.0209999999999999</v>
      </c>
      <c r="J238" s="10">
        <f t="shared" si="5"/>
        <v>5.3275552472941854</v>
      </c>
    </row>
    <row r="239" spans="2:10">
      <c r="B239" t="s">
        <v>93</v>
      </c>
      <c r="C239" t="s">
        <v>151</v>
      </c>
      <c r="D239" s="8">
        <v>46252</v>
      </c>
      <c r="E239" t="s">
        <v>89</v>
      </c>
      <c r="F239">
        <v>1.0209999999999999</v>
      </c>
      <c r="G239">
        <v>1.0209999999999999</v>
      </c>
      <c r="H239">
        <v>1.0209999999999999</v>
      </c>
      <c r="I239" s="10">
        <f t="shared" si="4"/>
        <v>1.0209999999999999</v>
      </c>
      <c r="J239" s="10">
        <f t="shared" si="5"/>
        <v>5.3275552472941854</v>
      </c>
    </row>
    <row r="240" spans="2:10">
      <c r="B240" t="s">
        <v>203</v>
      </c>
      <c r="C240" t="s">
        <v>151</v>
      </c>
      <c r="D240" s="8">
        <v>46252</v>
      </c>
      <c r="E240" t="s">
        <v>89</v>
      </c>
      <c r="F240">
        <v>1.02</v>
      </c>
      <c r="G240">
        <v>1.02</v>
      </c>
      <c r="H240">
        <v>1.02</v>
      </c>
      <c r="I240" s="10">
        <f t="shared" si="4"/>
        <v>1.02</v>
      </c>
      <c r="J240" s="10">
        <f t="shared" si="5"/>
        <v>5.0781228320000764</v>
      </c>
    </row>
    <row r="241" spans="2:10">
      <c r="B241" t="s">
        <v>121</v>
      </c>
      <c r="C241" t="s">
        <v>151</v>
      </c>
      <c r="D241" s="8">
        <v>46252</v>
      </c>
      <c r="E241" t="s">
        <v>89</v>
      </c>
      <c r="F241">
        <v>1.0189999999999999</v>
      </c>
      <c r="G241">
        <v>1.0189999999999999</v>
      </c>
      <c r="H241">
        <v>1.0189999999999999</v>
      </c>
      <c r="I241" s="10">
        <f t="shared" si="4"/>
        <v>1.0189999999999999</v>
      </c>
      <c r="J241" s="10">
        <f t="shared" si="5"/>
        <v>4.8282697911860168</v>
      </c>
    </row>
    <row r="242" spans="2:10">
      <c r="B242" t="s">
        <v>190</v>
      </c>
      <c r="C242" t="s">
        <v>151</v>
      </c>
      <c r="D242" s="8">
        <v>46252</v>
      </c>
      <c r="E242" t="s">
        <v>89</v>
      </c>
      <c r="F242">
        <v>1.0129999999999999</v>
      </c>
      <c r="G242">
        <v>1.0129999999999999</v>
      </c>
      <c r="H242">
        <v>1.0129999999999999</v>
      </c>
      <c r="I242" s="10">
        <f t="shared" si="4"/>
        <v>1.0129999999999999</v>
      </c>
      <c r="J242" s="10">
        <f t="shared" si="5"/>
        <v>3.3202702770379346</v>
      </c>
    </row>
  </sheetData>
  <sortState xmlns:xlrd2="http://schemas.microsoft.com/office/spreadsheetml/2017/richdata2" ref="B3:J18">
    <sortCondition ref="B3:B18"/>
  </sortState>
  <mergeCells count="1">
    <mergeCell ref="F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1799E-FA5C-4D4C-8D0A-9A7A7457D814}">
  <dimension ref="A1:AE15"/>
  <sheetViews>
    <sheetView topLeftCell="F1" zoomScaleNormal="150" zoomScaleSheetLayoutView="100" workbookViewId="0">
      <selection activeCell="G2" sqref="G2"/>
    </sheetView>
  </sheetViews>
  <sheetFormatPr defaultRowHeight="16.5"/>
  <cols>
    <col min="3" max="3" width="17.875" customWidth="1"/>
    <col min="13" max="13" width="19.875" customWidth="1"/>
    <col min="14" max="14" width="22.625" customWidth="1"/>
    <col min="15" max="15" width="19.125" customWidth="1"/>
    <col min="16" max="16" width="21" customWidth="1"/>
    <col min="17" max="17" width="24" customWidth="1"/>
  </cols>
  <sheetData>
    <row r="1" spans="1:31">
      <c r="A1" s="11" t="s">
        <v>204</v>
      </c>
      <c r="B1" s="11" t="s">
        <v>205</v>
      </c>
      <c r="C1" s="11" t="s">
        <v>206</v>
      </c>
      <c r="D1" s="11" t="s">
        <v>207</v>
      </c>
      <c r="E1" s="11" t="s">
        <v>208</v>
      </c>
      <c r="F1" s="11" t="s">
        <v>209</v>
      </c>
      <c r="G1" s="11" t="s">
        <v>210</v>
      </c>
      <c r="H1" s="11" t="s">
        <v>211</v>
      </c>
      <c r="I1" s="11" t="s">
        <v>212</v>
      </c>
      <c r="J1" s="11" t="s">
        <v>213</v>
      </c>
      <c r="K1" s="11" t="s">
        <v>214</v>
      </c>
      <c r="L1" s="11" t="s">
        <v>215</v>
      </c>
      <c r="M1" s="11" t="s">
        <v>216</v>
      </c>
      <c r="N1" s="11" t="s">
        <v>217</v>
      </c>
      <c r="O1" s="11" t="s">
        <v>218</v>
      </c>
      <c r="P1" s="11" t="s">
        <v>219</v>
      </c>
      <c r="Q1" s="11" t="s">
        <v>220</v>
      </c>
      <c r="S1" t="s">
        <v>221</v>
      </c>
    </row>
    <row r="2" spans="1:31">
      <c r="A2" s="13">
        <v>46218</v>
      </c>
      <c r="B2" s="12" t="s">
        <v>222</v>
      </c>
      <c r="C2" s="12" t="s">
        <v>16</v>
      </c>
      <c r="D2" s="12">
        <v>-1E-3</v>
      </c>
      <c r="E2" s="12">
        <v>0.115</v>
      </c>
      <c r="F2" s="12">
        <v>0.13</v>
      </c>
      <c r="G2" s="12">
        <v>0.311</v>
      </c>
      <c r="H2" s="12">
        <v>1.341</v>
      </c>
      <c r="I2" s="12">
        <f>E2-D2</f>
        <v>0.11600000000000001</v>
      </c>
      <c r="J2" s="12">
        <f>F2-D2</f>
        <v>0.13100000000000001</v>
      </c>
      <c r="K2" s="12">
        <f>G2-D2</f>
        <v>0.312</v>
      </c>
      <c r="L2" s="12">
        <f>H2-D2</f>
        <v>1.3419999999999999</v>
      </c>
      <c r="M2" s="12">
        <f>-0.0458*I2+0.204*J2+0.372*K2-0.0806*L2</f>
        <v>2.9310000000000003E-2</v>
      </c>
      <c r="N2" s="12">
        <f>0.216*I2-1.22*J2-0.304*K2+0.452*L2</f>
        <v>0.37697199999999992</v>
      </c>
      <c r="O2" s="12">
        <v>1</v>
      </c>
      <c r="P2" s="12">
        <f>M2*(5/1)*1</f>
        <v>0.14655000000000001</v>
      </c>
      <c r="Q2" s="12">
        <f>N2*(5/1)*1</f>
        <v>1.8848599999999995</v>
      </c>
      <c r="R2" s="12"/>
      <c r="S2" s="12"/>
      <c r="T2" s="12"/>
      <c r="U2" s="12"/>
      <c r="V2" s="12"/>
    </row>
    <row r="3" spans="1:31">
      <c r="A3" s="13">
        <v>46218</v>
      </c>
      <c r="B3" s="12" t="s">
        <v>222</v>
      </c>
      <c r="C3" s="12" t="s">
        <v>20</v>
      </c>
      <c r="D3" s="12">
        <v>0</v>
      </c>
      <c r="E3" s="12">
        <v>0.28699999999999998</v>
      </c>
      <c r="F3" s="12">
        <v>0.124</v>
      </c>
      <c r="G3" s="12">
        <v>0.40300000000000002</v>
      </c>
      <c r="H3" s="12">
        <v>0.79600000000000004</v>
      </c>
      <c r="I3" s="12">
        <f t="shared" ref="I3:I4" si="0">E3-D3</f>
        <v>0.28699999999999998</v>
      </c>
      <c r="J3" s="12">
        <f t="shared" ref="J3:J4" si="1">F3-D3</f>
        <v>0.124</v>
      </c>
      <c r="K3" s="12">
        <f t="shared" ref="K3:K4" si="2">G3-D3</f>
        <v>0.40300000000000002</v>
      </c>
      <c r="L3" s="12">
        <f t="shared" ref="L3:L4" si="3">H3-D3</f>
        <v>0.79600000000000004</v>
      </c>
      <c r="M3" s="12">
        <f t="shared" ref="M3:M4" si="4">-0.0458*I3+0.204*J3+0.372*K3-0.0806*L3</f>
        <v>9.7909800000000019E-2</v>
      </c>
      <c r="N3" s="12">
        <f t="shared" ref="N3:N4" si="5">0.216*I3-1.22*J3-0.304*K3+0.452*L3</f>
        <v>0.14799200000000004</v>
      </c>
      <c r="O3" s="12">
        <v>1</v>
      </c>
      <c r="P3" s="12">
        <f t="shared" ref="P3:P4" si="6">M3*(5/1)*1</f>
        <v>0.48954900000000012</v>
      </c>
      <c r="Q3" s="12">
        <f t="shared" ref="Q3:Q4" si="7">N3*(5/1)*1</f>
        <v>0.73996000000000017</v>
      </c>
      <c r="R3" s="12"/>
      <c r="S3" s="12"/>
      <c r="T3" s="12"/>
      <c r="U3" s="12"/>
      <c r="V3" s="12"/>
    </row>
    <row r="4" spans="1:31">
      <c r="A4" s="13">
        <v>46218</v>
      </c>
      <c r="B4" s="12" t="s">
        <v>222</v>
      </c>
      <c r="C4" s="12" t="s">
        <v>22</v>
      </c>
      <c r="D4" s="12">
        <v>1.4E-2</v>
      </c>
      <c r="E4" s="12">
        <v>0.185</v>
      </c>
      <c r="F4" s="12">
        <v>7.6999999999999999E-2</v>
      </c>
      <c r="G4" s="12">
        <v>0.441</v>
      </c>
      <c r="H4" s="12">
        <v>0.71499999999999997</v>
      </c>
      <c r="I4" s="12">
        <f t="shared" si="0"/>
        <v>0.17099999999999999</v>
      </c>
      <c r="J4" s="12">
        <f t="shared" si="1"/>
        <v>6.3E-2</v>
      </c>
      <c r="K4" s="12">
        <f>G4-D4</f>
        <v>0.42699999999999999</v>
      </c>
      <c r="L4" s="12">
        <f>H4-D4</f>
        <v>0.70099999999999996</v>
      </c>
      <c r="M4" s="12">
        <f t="shared" si="4"/>
        <v>0.10736359999999999</v>
      </c>
      <c r="N4" s="12">
        <f t="shared" si="5"/>
        <v>0.14711999999999997</v>
      </c>
      <c r="O4" s="12">
        <v>1</v>
      </c>
      <c r="P4" s="12">
        <f t="shared" si="6"/>
        <v>0.53681799999999991</v>
      </c>
      <c r="Q4" s="12">
        <f t="shared" si="7"/>
        <v>0.73559999999999981</v>
      </c>
      <c r="R4" s="12"/>
      <c r="S4" s="12"/>
      <c r="T4" s="12"/>
      <c r="U4" s="12"/>
      <c r="V4" s="12"/>
    </row>
    <row r="5" spans="1:31">
      <c r="A5" s="8">
        <v>46219</v>
      </c>
      <c r="B5" t="s">
        <v>222</v>
      </c>
      <c r="C5" t="s">
        <v>90</v>
      </c>
      <c r="D5">
        <v>-5.8999999999999997E-2</v>
      </c>
      <c r="E5">
        <v>6.0999999999999999E-2</v>
      </c>
      <c r="F5">
        <v>2.5000000000000001E-2</v>
      </c>
      <c r="G5">
        <v>0.11700000000000001</v>
      </c>
      <c r="H5">
        <v>0.52600000000000002</v>
      </c>
      <c r="I5">
        <f>E5-D5</f>
        <v>0.12</v>
      </c>
      <c r="J5">
        <f>F5-D5</f>
        <v>8.3999999999999991E-2</v>
      </c>
      <c r="K5">
        <f>G5-D5</f>
        <v>0.17599999999999999</v>
      </c>
      <c r="L5">
        <f>H5-D5</f>
        <v>0.58499999999999996</v>
      </c>
      <c r="M5">
        <f>-0.0458*I5+0.204*J5+0.372*K5-0.0806*L5</f>
        <v>2.9961000000000002E-2</v>
      </c>
      <c r="N5">
        <f>0.216*I5-1.22*J5-0.304*K5+0.452*L5</f>
        <v>0.134356</v>
      </c>
      <c r="O5">
        <v>1</v>
      </c>
      <c r="P5">
        <f>M5*(5/1)*1</f>
        <v>0.14980500000000002</v>
      </c>
      <c r="Q5">
        <f>N5*(5/1)*1</f>
        <v>0.67178000000000004</v>
      </c>
    </row>
    <row r="6" spans="1:31">
      <c r="A6" s="8">
        <v>46219</v>
      </c>
      <c r="B6" t="s">
        <v>222</v>
      </c>
      <c r="C6" t="s">
        <v>84</v>
      </c>
      <c r="D6">
        <v>4.7E-2</v>
      </c>
      <c r="E6">
        <v>0.38100000000000001</v>
      </c>
      <c r="F6">
        <v>0.14499999999999999</v>
      </c>
      <c r="G6">
        <v>2.073</v>
      </c>
      <c r="H6">
        <v>2.048</v>
      </c>
      <c r="I6">
        <f>E6-D6</f>
        <v>0.33400000000000002</v>
      </c>
      <c r="J6">
        <f>F6-D6</f>
        <v>9.799999999999999E-2</v>
      </c>
      <c r="K6">
        <f>G6-D6</f>
        <v>2.0259999999999998</v>
      </c>
      <c r="L6">
        <f>H6-D6</f>
        <v>2.0009999999999999</v>
      </c>
      <c r="M6">
        <f>-0.0458*I6+0.204*J6+0.372*K6-0.0806*L6</f>
        <v>0.5970861999999999</v>
      </c>
      <c r="N6">
        <f>0.216*I6-1.22*J6-0.304*K6+0.452*L6</f>
        <v>0.24113200000000001</v>
      </c>
      <c r="O6">
        <v>1</v>
      </c>
      <c r="P6" s="14">
        <f>M6*(5/1)*1</f>
        <v>2.9854309999999993</v>
      </c>
      <c r="Q6">
        <f>N6*(5/1)*1</f>
        <v>1.20566</v>
      </c>
      <c r="S6" t="s">
        <v>223</v>
      </c>
    </row>
    <row r="7" spans="1:31">
      <c r="A7" s="8">
        <v>46219</v>
      </c>
      <c r="B7" t="s">
        <v>222</v>
      </c>
      <c r="C7" t="s">
        <v>87</v>
      </c>
      <c r="D7">
        <v>1E-3</v>
      </c>
      <c r="E7">
        <v>0.188</v>
      </c>
      <c r="F7">
        <v>7.2999999999999995E-2</v>
      </c>
      <c r="G7">
        <v>0.64500000000000002</v>
      </c>
      <c r="H7">
        <v>0.871</v>
      </c>
      <c r="I7">
        <f>E7-D7</f>
        <v>0.187</v>
      </c>
      <c r="J7">
        <f>F7-D7</f>
        <v>7.1999999999999995E-2</v>
      </c>
      <c r="K7">
        <f>G7-D7</f>
        <v>0.64400000000000002</v>
      </c>
      <c r="L7">
        <f>H7-D7</f>
        <v>0.87</v>
      </c>
      <c r="M7">
        <f>-0.0458*I7+0.204*J7+0.372*K7-0.0806*L7</f>
        <v>0.17556939999999999</v>
      </c>
      <c r="N7">
        <f>0.216*I7-1.22*J7-0.304*K7+0.452*L7</f>
        <v>0.15001600000000004</v>
      </c>
      <c r="O7">
        <v>1</v>
      </c>
      <c r="P7">
        <f>M7*(5/1)*1</f>
        <v>0.87784699999999993</v>
      </c>
      <c r="Q7">
        <f>N7*(5/1)*1</f>
        <v>0.75008000000000019</v>
      </c>
    </row>
    <row r="8" spans="1:31">
      <c r="A8" s="13">
        <v>46225</v>
      </c>
      <c r="B8" s="12" t="s">
        <v>222</v>
      </c>
      <c r="C8" s="12" t="s">
        <v>92</v>
      </c>
      <c r="D8" s="12">
        <v>1.0999999999999999E-2</v>
      </c>
      <c r="E8" s="12">
        <v>2.9000000000000001E-2</v>
      </c>
      <c r="F8" s="12">
        <v>1.4E-2</v>
      </c>
      <c r="G8" s="12">
        <v>0.26700000000000002</v>
      </c>
      <c r="H8" s="12">
        <v>0.36199999999999999</v>
      </c>
      <c r="I8" s="12">
        <f>E8-D8</f>
        <v>1.8000000000000002E-2</v>
      </c>
      <c r="J8" s="12">
        <f>F8-D8</f>
        <v>3.0000000000000009E-3</v>
      </c>
      <c r="K8" s="12">
        <f>G8-D8</f>
        <v>0.25600000000000001</v>
      </c>
      <c r="L8" s="12">
        <f>H8-D8</f>
        <v>0.35099999999999998</v>
      </c>
      <c r="M8" s="12">
        <f>-0.0458*I8+0.204*J8+0.372*K8-0.0806*L8</f>
        <v>6.6728999999999997E-2</v>
      </c>
      <c r="N8" s="12">
        <f>0.216*I8-1.22*J8-0.304*K8+0.452*L8</f>
        <v>8.1055999999999989E-2</v>
      </c>
      <c r="O8" s="12">
        <v>1</v>
      </c>
      <c r="P8" s="12">
        <f>M8*(5/1)*1</f>
        <v>0.33364499999999997</v>
      </c>
      <c r="Q8" s="12">
        <f>N8*(5/1)*1</f>
        <v>0.40527999999999997</v>
      </c>
      <c r="R8" s="12"/>
      <c r="S8" s="12"/>
      <c r="T8" s="12"/>
      <c r="U8" s="12"/>
      <c r="V8" s="12"/>
      <c r="W8" s="12"/>
      <c r="X8" s="12"/>
      <c r="Y8" s="12"/>
      <c r="Z8" s="12"/>
      <c r="AA8" s="12"/>
      <c r="AB8" s="12"/>
      <c r="AC8" s="12"/>
      <c r="AD8" s="12"/>
      <c r="AE8" s="12"/>
    </row>
    <row r="9" spans="1:31">
      <c r="A9" s="13">
        <v>46225</v>
      </c>
      <c r="B9" s="12" t="s">
        <v>222</v>
      </c>
      <c r="C9" s="12" t="s">
        <v>77</v>
      </c>
      <c r="D9" s="12">
        <v>4.2000000000000003E-2</v>
      </c>
      <c r="E9" s="12">
        <v>0.29499999999999998</v>
      </c>
      <c r="F9" s="12">
        <v>0.122</v>
      </c>
      <c r="G9" s="12">
        <v>0.40500000000000003</v>
      </c>
      <c r="H9" s="12">
        <v>0.91900000000000004</v>
      </c>
      <c r="I9" s="12">
        <f>E9-D9</f>
        <v>0.253</v>
      </c>
      <c r="J9" s="12">
        <f>F9-D9</f>
        <v>7.9999999999999988E-2</v>
      </c>
      <c r="K9" s="12">
        <f>G9-D9</f>
        <v>0.36300000000000004</v>
      </c>
      <c r="L9" s="12">
        <f>H9-D9</f>
        <v>0.877</v>
      </c>
      <c r="M9" s="12">
        <f>-0.0458*I9+0.204*J9+0.372*K9-0.0806*L9</f>
        <v>6.9082400000000016E-2</v>
      </c>
      <c r="N9" s="12">
        <f>0.216*I9-1.22*J9-0.304*K9+0.452*L9</f>
        <v>0.24310000000000004</v>
      </c>
      <c r="O9" s="12">
        <v>1</v>
      </c>
      <c r="P9" s="12">
        <f>M9*(5/1)*1</f>
        <v>0.34541200000000005</v>
      </c>
      <c r="Q9" s="12">
        <f>N9*(5/1)*1</f>
        <v>1.2155000000000002</v>
      </c>
      <c r="R9" s="12"/>
      <c r="S9" s="12"/>
      <c r="T9" s="12"/>
      <c r="U9" s="12"/>
      <c r="V9" s="12"/>
      <c r="W9" s="12"/>
      <c r="X9" s="12"/>
      <c r="Y9" s="12"/>
      <c r="Z9" s="12"/>
      <c r="AA9" s="12"/>
      <c r="AB9" s="12"/>
      <c r="AC9" s="12"/>
      <c r="AD9" s="12"/>
      <c r="AE9" s="12"/>
    </row>
    <row r="10" spans="1:31">
      <c r="A10" s="13">
        <v>46225</v>
      </c>
      <c r="B10" s="12" t="s">
        <v>222</v>
      </c>
      <c r="C10" s="12" t="s">
        <v>88</v>
      </c>
      <c r="D10" s="12">
        <v>0</v>
      </c>
      <c r="E10" s="12">
        <v>0.10199999999999999</v>
      </c>
      <c r="F10" s="12">
        <v>4.1000000000000002E-2</v>
      </c>
      <c r="G10" s="12">
        <v>0.19900000000000001</v>
      </c>
      <c r="H10" s="12">
        <v>1.262</v>
      </c>
      <c r="I10" s="12">
        <f>E10-D10</f>
        <v>0.10199999999999999</v>
      </c>
      <c r="J10" s="12">
        <f>F10-D10</f>
        <v>4.1000000000000002E-2</v>
      </c>
      <c r="K10" s="12">
        <f>G10-D10</f>
        <v>0.19900000000000001</v>
      </c>
      <c r="L10" s="12">
        <f>H10-D10</f>
        <v>1.262</v>
      </c>
      <c r="M10" s="12">
        <f>-0.0458*I10+0.204*J10+0.372*K10-0.0806*L10</f>
        <v>-2.3996800000000013E-2</v>
      </c>
      <c r="N10" s="15">
        <f>0.216*I10-1.22*J10-0.304*K10+0.452*L10</f>
        <v>0.48194000000000004</v>
      </c>
      <c r="O10" s="12">
        <v>1</v>
      </c>
      <c r="P10" s="12">
        <f>M10*(5/1)*1</f>
        <v>-0.11998400000000006</v>
      </c>
      <c r="Q10" s="15">
        <f>N10*(5/1)*1</f>
        <v>2.4097</v>
      </c>
      <c r="R10" s="12"/>
      <c r="S10" s="12" t="s">
        <v>224</v>
      </c>
      <c r="T10" s="12"/>
      <c r="U10" s="12"/>
      <c r="V10" s="12"/>
      <c r="W10" s="12"/>
      <c r="X10" s="12"/>
      <c r="Y10" s="12"/>
      <c r="Z10" s="12"/>
      <c r="AA10" s="12"/>
      <c r="AB10" s="12"/>
      <c r="AC10" s="12"/>
      <c r="AD10" s="12"/>
      <c r="AE10" s="12"/>
    </row>
    <row r="11" spans="1:31">
      <c r="A11" s="13">
        <v>46225</v>
      </c>
      <c r="B11" s="12" t="s">
        <v>222</v>
      </c>
      <c r="C11" s="12" t="s">
        <v>78</v>
      </c>
      <c r="D11" s="12">
        <v>0</v>
      </c>
      <c r="E11" s="12">
        <v>0.14000000000000001</v>
      </c>
      <c r="F11" s="12">
        <v>0.05</v>
      </c>
      <c r="G11" s="12">
        <v>0.123</v>
      </c>
      <c r="H11" s="12">
        <v>0.64300000000000002</v>
      </c>
      <c r="I11" s="12">
        <f>E11-D11</f>
        <v>0.14000000000000001</v>
      </c>
      <c r="J11" s="12">
        <f>F11-D11</f>
        <v>0.05</v>
      </c>
      <c r="K11" s="12">
        <f>G11-D11</f>
        <v>0.123</v>
      </c>
      <c r="L11" s="12">
        <f>H11-D11</f>
        <v>0.64300000000000002</v>
      </c>
      <c r="M11" s="12">
        <f>-0.0458*I11+0.204*J11+0.372*K11-0.0806*L11</f>
        <v>-2.2818000000000074E-3</v>
      </c>
      <c r="N11" s="12">
        <f>0.216*I11-1.22*J11-0.304*K11+0.452*L11</f>
        <v>0.22248400000000002</v>
      </c>
      <c r="O11" s="12">
        <v>1</v>
      </c>
      <c r="P11" s="12">
        <f>M11*(5/1)*1</f>
        <v>-1.1409000000000037E-2</v>
      </c>
      <c r="Q11" s="12">
        <f>N11*(5/1)*1</f>
        <v>1.1124200000000002</v>
      </c>
      <c r="R11" s="12"/>
      <c r="S11" s="12"/>
      <c r="T11" s="12"/>
      <c r="U11" s="12"/>
      <c r="V11" s="12"/>
      <c r="W11" s="12"/>
      <c r="X11" s="12"/>
      <c r="Y11" s="12"/>
      <c r="Z11" s="12"/>
      <c r="AA11" s="12"/>
      <c r="AB11" s="12"/>
      <c r="AC11" s="12"/>
      <c r="AD11" s="12"/>
      <c r="AE11" s="12"/>
    </row>
    <row r="12" spans="1:31">
      <c r="A12" s="13">
        <v>46225</v>
      </c>
      <c r="B12" s="12" t="s">
        <v>222</v>
      </c>
      <c r="C12" s="12" t="s">
        <v>82</v>
      </c>
      <c r="D12" s="12">
        <v>-1E-3</v>
      </c>
      <c r="E12" s="12">
        <v>7.9000000000000001E-2</v>
      </c>
      <c r="F12" s="12">
        <v>3.5000000000000003E-2</v>
      </c>
      <c r="G12" s="12">
        <v>0.15</v>
      </c>
      <c r="H12" s="12">
        <v>1.0109999999999999</v>
      </c>
      <c r="I12" s="12">
        <f>E12-D12</f>
        <v>0.08</v>
      </c>
      <c r="J12" s="12">
        <f>F12-D12</f>
        <v>3.6000000000000004E-2</v>
      </c>
      <c r="K12" s="12">
        <f>G12-D12</f>
        <v>0.151</v>
      </c>
      <c r="L12" s="12">
        <f>H12-D12</f>
        <v>1.0119999999999998</v>
      </c>
      <c r="M12" s="12">
        <f>-0.0458*I12+0.204*J12+0.372*K12-0.0806*L12</f>
        <v>-2.171519999999999E-2</v>
      </c>
      <c r="N12" s="12">
        <f>0.216*I12-1.22*J12-0.304*K12+0.452*L12</f>
        <v>0.38487999999999994</v>
      </c>
      <c r="O12" s="12">
        <v>1</v>
      </c>
      <c r="P12" s="12">
        <f>M12*(5/1)*1</f>
        <v>-0.10857599999999995</v>
      </c>
      <c r="Q12" s="12">
        <f>N12*(5/1)*1</f>
        <v>1.9243999999999997</v>
      </c>
      <c r="R12" s="12"/>
      <c r="S12" s="12"/>
      <c r="T12" s="12"/>
      <c r="U12" s="12"/>
      <c r="V12" s="12"/>
      <c r="W12" s="12"/>
      <c r="X12" s="12"/>
      <c r="Y12" s="12"/>
      <c r="Z12" s="12"/>
      <c r="AA12" s="12"/>
      <c r="AB12" s="12"/>
      <c r="AC12" s="12"/>
      <c r="AD12" s="12"/>
      <c r="AE12" s="12"/>
    </row>
    <row r="13" spans="1:31">
      <c r="A13" s="13">
        <v>46225</v>
      </c>
      <c r="B13" s="12" t="s">
        <v>222</v>
      </c>
      <c r="C13" s="12" t="s">
        <v>83</v>
      </c>
      <c r="D13" s="12">
        <v>9.6000000000000002E-2</v>
      </c>
      <c r="E13" s="12">
        <v>0.111</v>
      </c>
      <c r="F13" s="12">
        <v>4.3999999999999997E-2</v>
      </c>
      <c r="G13" s="12">
        <v>0.11</v>
      </c>
      <c r="H13" s="12">
        <v>0.69599999999999995</v>
      </c>
      <c r="I13" s="12">
        <f>E13-D13</f>
        <v>1.4999999999999999E-2</v>
      </c>
      <c r="J13" s="12">
        <f>F13-D13</f>
        <v>-5.2000000000000005E-2</v>
      </c>
      <c r="K13" s="12">
        <f>G13-D13</f>
        <v>1.3999999999999999E-2</v>
      </c>
      <c r="L13" s="12">
        <f>H13-D13</f>
        <v>0.6</v>
      </c>
      <c r="M13" s="12">
        <f>-0.0458*I13+0.204*J13+0.372*K13-0.0806*L13</f>
        <v>-5.4447000000000002E-2</v>
      </c>
      <c r="N13" s="12">
        <f>0.216*I13-1.22*J13-0.304*K13+0.452*L13</f>
        <v>0.33362400000000003</v>
      </c>
      <c r="O13" s="12">
        <v>1</v>
      </c>
      <c r="P13" s="12">
        <f>M13*(5/1)*1</f>
        <v>-0.272235</v>
      </c>
      <c r="Q13" s="12">
        <f>N13*(5/1)*1</f>
        <v>1.66812</v>
      </c>
      <c r="R13" s="12"/>
      <c r="S13" s="12"/>
      <c r="T13" s="12"/>
      <c r="U13" s="12"/>
      <c r="V13" s="12"/>
      <c r="W13" s="12"/>
      <c r="X13" s="12"/>
    </row>
    <row r="14" spans="1:31">
      <c r="O14">
        <v>1</v>
      </c>
    </row>
    <row r="15" spans="1:31">
      <c r="O15">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42E5A-776F-EE44-83E6-5A13181DE7A0}">
  <dimension ref="A1:F4"/>
  <sheetViews>
    <sheetView workbookViewId="0"/>
  </sheetViews>
  <sheetFormatPr defaultRowHeight="16.5"/>
  <cols>
    <col min="3" max="3" width="16.375" customWidth="1"/>
    <col min="4" max="5" width="13.625" customWidth="1"/>
    <col min="6" max="6" width="22.625" customWidth="1"/>
  </cols>
  <sheetData>
    <row r="1" spans="1:6">
      <c r="A1" t="s">
        <v>204</v>
      </c>
      <c r="B1" t="s">
        <v>205</v>
      </c>
      <c r="C1" t="s">
        <v>206</v>
      </c>
      <c r="D1" t="s">
        <v>225</v>
      </c>
      <c r="E1" t="s">
        <v>226</v>
      </c>
      <c r="F1" t="s">
        <v>227</v>
      </c>
    </row>
    <row r="2" spans="1:6">
      <c r="A2" s="8">
        <v>46218</v>
      </c>
      <c r="B2" t="s">
        <v>228</v>
      </c>
      <c r="C2" t="s">
        <v>20</v>
      </c>
      <c r="D2">
        <v>0.33</v>
      </c>
      <c r="E2">
        <v>3.9</v>
      </c>
      <c r="F2">
        <f>((D2)*(0.1)*(0.06404)*100)/(E2)</f>
        <v>5.4187692307692312E-2</v>
      </c>
    </row>
    <row r="3" spans="1:6">
      <c r="A3" s="8">
        <v>46218</v>
      </c>
      <c r="B3" t="s">
        <v>228</v>
      </c>
      <c r="C3" t="s">
        <v>22</v>
      </c>
      <c r="D3">
        <v>1.53</v>
      </c>
      <c r="E3">
        <v>4</v>
      </c>
      <c r="F3">
        <f>((D3)*(0.1)*(0.06404)*100)/(E3)</f>
        <v>0.24495300000000006</v>
      </c>
    </row>
    <row r="4" spans="1:6">
      <c r="A4"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CD2B1-9B4A-49FC-9A11-003EF9211EF0}">
  <dimension ref="A1:F1"/>
  <sheetViews>
    <sheetView workbookViewId="0"/>
  </sheetViews>
  <sheetFormatPr defaultRowHeight="16.5"/>
  <sheetData>
    <row r="1" spans="1:6">
      <c r="A1" s="9" t="s">
        <v>204</v>
      </c>
      <c r="B1" s="9" t="s">
        <v>205</v>
      </c>
      <c r="C1" s="9" t="s">
        <v>206</v>
      </c>
      <c r="D1" s="9" t="s">
        <v>229</v>
      </c>
      <c r="E1" s="9" t="s">
        <v>230</v>
      </c>
      <c r="F1" s="9" t="s">
        <v>231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3A577-4E96-4F1E-8AEF-0C0FB8BE828F}">
  <dimension ref="A1:J187"/>
  <sheetViews>
    <sheetView tabSelected="1" zoomScaleNormal="150" zoomScaleSheetLayoutView="100" workbookViewId="0">
      <selection activeCell="AA112" sqref="AA112"/>
    </sheetView>
  </sheetViews>
  <sheetFormatPr defaultColWidth="8.875" defaultRowHeight="16.5"/>
  <cols>
    <col min="1" max="2" width="8.875" style="27"/>
    <col min="3" max="3" width="15.875" style="27" bestFit="1" customWidth="1"/>
    <col min="4" max="4" width="8.875" style="27"/>
    <col min="5" max="5" width="11.375" style="27" bestFit="1" customWidth="1"/>
    <col min="6" max="6" width="27.25" style="27" bestFit="1" customWidth="1"/>
    <col min="7" max="16384" width="8.875" style="27"/>
  </cols>
  <sheetData>
    <row r="1" spans="1:10" ht="17.25" thickBot="1">
      <c r="A1" s="29" t="s">
        <v>204</v>
      </c>
      <c r="B1" s="30" t="s">
        <v>205</v>
      </c>
      <c r="C1" s="30" t="s">
        <v>206</v>
      </c>
      <c r="D1" s="30" t="s">
        <v>232</v>
      </c>
      <c r="E1" s="52" t="s">
        <v>233</v>
      </c>
      <c r="F1" s="52"/>
      <c r="G1" s="53"/>
      <c r="J1" s="31" t="s">
        <v>234</v>
      </c>
    </row>
    <row r="2" spans="1:10">
      <c r="A2" s="32">
        <v>46218</v>
      </c>
      <c r="B2" s="27" t="s">
        <v>222</v>
      </c>
      <c r="C2" s="27" t="s">
        <v>75</v>
      </c>
      <c r="D2" s="27">
        <v>0.81499999999999995</v>
      </c>
      <c r="E2" s="27">
        <f xml:space="preserve"> ((((D2 + 0.00265) / 0.00779) * 12 * 1) / (3 * 1000))</f>
        <v>0.41984595635430039</v>
      </c>
      <c r="F2" s="54" t="s">
        <v>235</v>
      </c>
      <c r="G2" s="54"/>
      <c r="H2" s="54"/>
    </row>
    <row r="3" spans="1:10">
      <c r="A3" s="32">
        <v>46218</v>
      </c>
      <c r="B3" s="27" t="s">
        <v>222</v>
      </c>
      <c r="C3" s="27" t="s">
        <v>76</v>
      </c>
      <c r="D3" s="27">
        <v>0.47399999999999998</v>
      </c>
      <c r="E3" s="27">
        <f xml:space="preserve"> ((((D3 + 0.00265) / 0.00779) * 12 * 1) / (3 * 1000))</f>
        <v>0.24474967907573811</v>
      </c>
      <c r="F3" s="27" t="s">
        <v>236</v>
      </c>
    </row>
    <row r="4" spans="1:10">
      <c r="A4" s="32">
        <v>46218</v>
      </c>
      <c r="B4" s="27" t="s">
        <v>222</v>
      </c>
      <c r="C4" s="27" t="s">
        <v>79</v>
      </c>
      <c r="D4" s="27">
        <v>0.55000000000000004</v>
      </c>
      <c r="E4" s="27">
        <f xml:space="preserve"> ((((D4 + 0.00265) / 0.00779) * 12 * 1) / (3 * 1000))</f>
        <v>0.28377406931964061</v>
      </c>
    </row>
    <row r="5" spans="1:10">
      <c r="A5" s="32">
        <v>46218</v>
      </c>
      <c r="B5" s="27" t="s">
        <v>222</v>
      </c>
      <c r="C5" s="27" t="s">
        <v>81</v>
      </c>
      <c r="D5" s="27">
        <v>0.58399999999999996</v>
      </c>
      <c r="E5" s="27">
        <f xml:space="preserve"> ((((D5 + 0.00265) / 0.00779) * 12 * 1) / (3 * 1000))</f>
        <v>0.30123234916559694</v>
      </c>
    </row>
    <row r="6" spans="1:10">
      <c r="A6" s="33">
        <v>46223</v>
      </c>
      <c r="B6" s="34" t="s">
        <v>237</v>
      </c>
      <c r="C6" s="34" t="s">
        <v>71</v>
      </c>
      <c r="D6" s="34">
        <v>0.60899999999999999</v>
      </c>
      <c r="E6" s="34">
        <f xml:space="preserve"> ((((D6 + 0.00159) / 0.00519) * 12 * 1) / (3 * 1000))</f>
        <v>0.47058959537572248</v>
      </c>
      <c r="F6" s="34"/>
      <c r="G6" s="34"/>
      <c r="H6" s="34"/>
      <c r="I6" s="34"/>
    </row>
    <row r="7" spans="1:10">
      <c r="A7" s="33">
        <v>46223</v>
      </c>
      <c r="B7" s="34" t="s">
        <v>237</v>
      </c>
      <c r="C7" s="34" t="s">
        <v>90</v>
      </c>
      <c r="D7" s="34">
        <v>0.42899999999999999</v>
      </c>
      <c r="E7" s="34">
        <f xml:space="preserve"> ((((D7 + 0.00159) / 0.00519) * 12 * 1) / (3 * 1000))</f>
        <v>0.33186127167630053</v>
      </c>
      <c r="F7" s="34"/>
      <c r="G7" s="34"/>
      <c r="H7" s="34"/>
      <c r="I7" s="34"/>
    </row>
    <row r="8" spans="1:10">
      <c r="A8" s="33">
        <v>46223</v>
      </c>
      <c r="B8" s="34" t="s">
        <v>237</v>
      </c>
      <c r="C8" s="34" t="s">
        <v>78</v>
      </c>
      <c r="D8" s="34">
        <v>0.36</v>
      </c>
      <c r="E8" s="34">
        <f xml:space="preserve"> ((((D8 + 0.00159) / 0.00519) * 12 * 1) / (3 * 1000))</f>
        <v>0.27868208092485552</v>
      </c>
      <c r="F8" s="34"/>
      <c r="G8" s="34"/>
      <c r="H8" s="34"/>
      <c r="I8" s="34"/>
    </row>
    <row r="9" spans="1:10">
      <c r="A9" s="33">
        <v>46223</v>
      </c>
      <c r="B9" s="34" t="s">
        <v>237</v>
      </c>
      <c r="C9" s="34" t="s">
        <v>81</v>
      </c>
      <c r="D9" s="34">
        <v>0.35699999999999998</v>
      </c>
      <c r="E9" s="34">
        <f xml:space="preserve"> ((((D9 + 0.00159) / 0.00519) * 12 * 1) / (3 * 1000))</f>
        <v>0.27636994219653177</v>
      </c>
      <c r="F9" s="35" t="s">
        <v>238</v>
      </c>
      <c r="G9" s="35"/>
      <c r="H9" s="35"/>
      <c r="I9" s="34"/>
      <c r="J9" s="27" t="s">
        <v>239</v>
      </c>
    </row>
    <row r="10" spans="1:10">
      <c r="A10" s="33">
        <v>46223</v>
      </c>
      <c r="B10" s="34" t="s">
        <v>237</v>
      </c>
      <c r="C10" s="34" t="s">
        <v>84</v>
      </c>
      <c r="D10" s="34">
        <v>0.377</v>
      </c>
      <c r="E10" s="34">
        <f xml:space="preserve"> ((O18+((D10 + 0.00159+D10) / 0.00519) * 12 * 1) / (3 * 1000))</f>
        <v>0.58234296724470125</v>
      </c>
      <c r="F10" s="34" t="s">
        <v>240</v>
      </c>
      <c r="G10" s="34"/>
      <c r="H10" s="34"/>
      <c r="I10" s="34"/>
    </row>
    <row r="11" spans="1:10">
      <c r="A11" s="33">
        <v>46223</v>
      </c>
      <c r="B11" s="34" t="s">
        <v>237</v>
      </c>
      <c r="C11" s="34" t="s">
        <v>87</v>
      </c>
      <c r="D11" s="34">
        <v>0.501</v>
      </c>
      <c r="E11" s="34">
        <f xml:space="preserve"> ((((D11 + 0.00159) / 0.00519) * 12 * 1) / (3 * 1000))</f>
        <v>0.38735260115606934</v>
      </c>
      <c r="F11" s="34"/>
      <c r="G11" s="34"/>
      <c r="H11" s="34"/>
      <c r="I11" s="34"/>
    </row>
    <row r="12" spans="1:10">
      <c r="A12" s="32">
        <v>46224</v>
      </c>
      <c r="B12" s="27" t="s">
        <v>222</v>
      </c>
      <c r="C12" s="27" t="s">
        <v>92</v>
      </c>
      <c r="D12" s="27">
        <v>0.04</v>
      </c>
      <c r="E12" s="27">
        <f xml:space="preserve"> ((((D12 + -0.011) / -0.000118) * 12 * 1) / (3 * 1000))</f>
        <v>-0.98305084745762727</v>
      </c>
      <c r="F12" s="27" t="s">
        <v>241</v>
      </c>
      <c r="J12" s="27" t="s">
        <v>242</v>
      </c>
    </row>
    <row r="13" spans="1:10">
      <c r="A13" s="32">
        <v>46224</v>
      </c>
      <c r="B13" s="27" t="s">
        <v>222</v>
      </c>
      <c r="C13" s="27" t="s">
        <v>76</v>
      </c>
      <c r="D13" s="27">
        <v>0.17299999999999999</v>
      </c>
      <c r="E13" s="27">
        <f xml:space="preserve"> ((((D13 + -0.011) / -0.000118) * 12 * 1) / (3 * 1000))</f>
        <v>-5.4915254237288122</v>
      </c>
      <c r="F13" s="27" t="e" cm="1">
        <f t="array" aca="1" ref="F13" ca="1">-0.000118*x + -0.011</f>
        <v>#NAME?</v>
      </c>
    </row>
    <row r="14" spans="1:10">
      <c r="A14" s="32">
        <v>46224</v>
      </c>
      <c r="B14" s="27" t="s">
        <v>222</v>
      </c>
      <c r="C14" s="27" t="s">
        <v>82</v>
      </c>
      <c r="D14" s="27">
        <v>4.3999999999999997E-2</v>
      </c>
      <c r="E14" s="27">
        <f xml:space="preserve"> ((((D14 + -0.011) / -0.000118) * 12 * 1) / (3 * 1000))</f>
        <v>-1.1186440677966103</v>
      </c>
    </row>
    <row r="15" spans="1:10">
      <c r="A15" s="32">
        <v>46224</v>
      </c>
      <c r="B15" s="27" t="s">
        <v>222</v>
      </c>
      <c r="C15" s="27" t="s">
        <v>83</v>
      </c>
      <c r="D15" s="27">
        <v>0.192</v>
      </c>
      <c r="E15" s="27">
        <f xml:space="preserve"> ((((D15 + -0.011) / -0.000118) * 12 * 1) / (3 * 1000))</f>
        <v>-6.1355932203389836</v>
      </c>
    </row>
    <row r="16" spans="1:10">
      <c r="A16" s="32">
        <v>46224</v>
      </c>
      <c r="B16" s="27" t="s">
        <v>222</v>
      </c>
      <c r="C16" s="27" t="s">
        <v>85</v>
      </c>
      <c r="D16" s="27">
        <v>0.214</v>
      </c>
      <c r="E16" s="27">
        <f xml:space="preserve"> ((((D16 + -0.011) / -0.000118) * 12 * 1) / (3 * 1000))</f>
        <v>-6.8813559322033893</v>
      </c>
    </row>
    <row r="17" spans="1:10">
      <c r="A17" s="33">
        <v>46225</v>
      </c>
      <c r="B17" s="34" t="s">
        <v>222</v>
      </c>
      <c r="C17" s="34" t="s">
        <v>92</v>
      </c>
      <c r="D17" s="34">
        <v>1.07</v>
      </c>
      <c r="E17" s="34">
        <f xml:space="preserve"> ((((D17 + 0.0035) / 0.0325) * 12 * 1) / (3 * 1000))</f>
        <v>0.13212307692307693</v>
      </c>
      <c r="F17" s="35" t="s">
        <v>243</v>
      </c>
      <c r="G17" s="35"/>
      <c r="H17" s="35"/>
      <c r="J17" s="27" t="s">
        <v>244</v>
      </c>
    </row>
    <row r="18" spans="1:10">
      <c r="A18" s="33">
        <v>46225</v>
      </c>
      <c r="B18" s="34" t="s">
        <v>222</v>
      </c>
      <c r="C18" s="34" t="s">
        <v>76</v>
      </c>
      <c r="D18" s="34">
        <v>1.0189999999999999</v>
      </c>
      <c r="E18" s="34">
        <f xml:space="preserve"> ((((D18 + 0.0035) / 0.0325) * 12 * 1) / (3 * 1000))</f>
        <v>0.12584615384615386</v>
      </c>
      <c r="F18" s="34" t="s">
        <v>245</v>
      </c>
      <c r="G18" s="34"/>
      <c r="H18" s="34"/>
    </row>
    <row r="19" spans="1:10">
      <c r="A19" s="33">
        <v>46225</v>
      </c>
      <c r="B19" s="34" t="s">
        <v>222</v>
      </c>
      <c r="C19" s="34" t="s">
        <v>82</v>
      </c>
      <c r="D19" s="34">
        <v>0.91500000000000004</v>
      </c>
      <c r="E19" s="34">
        <f xml:space="preserve"> ((((D19 + 0.0035) / 0.0325) * 12 * 1) / (3 * 1000))</f>
        <v>0.11304615384615384</v>
      </c>
    </row>
    <row r="20" spans="1:10">
      <c r="A20" s="33">
        <v>46225</v>
      </c>
      <c r="B20" s="34" t="s">
        <v>222</v>
      </c>
      <c r="C20" s="34" t="s">
        <v>83</v>
      </c>
      <c r="D20" s="34">
        <v>1.145</v>
      </c>
      <c r="E20" s="34">
        <f xml:space="preserve"> ((((D20 + 0.0035) / 0.0325) * 12 * 1) / (3 * 1000))</f>
        <v>0.14135384615384616</v>
      </c>
    </row>
    <row r="21" spans="1:10">
      <c r="A21" s="33">
        <v>46225</v>
      </c>
      <c r="B21" s="34" t="s">
        <v>222</v>
      </c>
      <c r="C21" s="34" t="s">
        <v>85</v>
      </c>
      <c r="D21" s="34">
        <v>1.2989999999999999</v>
      </c>
      <c r="E21" s="34">
        <f xml:space="preserve"> ((((D21 + 0.0035) / 0.0325) * 12 * 1) / (3 * 1000))</f>
        <v>0.16030769230769229</v>
      </c>
    </row>
    <row r="22" spans="1:10">
      <c r="A22" s="32">
        <v>46230</v>
      </c>
      <c r="B22" s="27" t="s">
        <v>237</v>
      </c>
      <c r="C22" s="27" t="s">
        <v>77</v>
      </c>
      <c r="D22" s="27">
        <v>0.36199999999999999</v>
      </c>
      <c r="E22" s="27">
        <f xml:space="preserve"> ((((D22 + 0.0482) / 0.00487) * 12 * 1) / (3 * 1000))</f>
        <v>0.33691991786447634</v>
      </c>
    </row>
    <row r="23" spans="1:10">
      <c r="A23" s="36">
        <v>46230</v>
      </c>
      <c r="B23" s="28" t="s">
        <v>237</v>
      </c>
      <c r="C23" s="27" t="s">
        <v>78</v>
      </c>
      <c r="D23" s="27">
        <v>0.36499999999999999</v>
      </c>
      <c r="E23" s="27">
        <f xml:space="preserve"> ((((D23 + 0.0482) / 0.00487) * 12 * 1) / (3 * 1000))</f>
        <v>0.33938398357289529</v>
      </c>
    </row>
    <row r="24" spans="1:10">
      <c r="A24" s="36">
        <v>46230</v>
      </c>
      <c r="B24" s="28" t="s">
        <v>237</v>
      </c>
      <c r="C24" s="27" t="s">
        <v>80</v>
      </c>
      <c r="D24" s="27">
        <v>0.54100000000000004</v>
      </c>
      <c r="E24" s="27">
        <f xml:space="preserve"> ((((D24 + 0.0482) / 0.00487) * 12 * 1) / (3 * 1000))</f>
        <v>0.48394250513347031</v>
      </c>
    </row>
    <row r="25" spans="1:10">
      <c r="A25" s="36">
        <v>46230</v>
      </c>
      <c r="B25" s="28" t="s">
        <v>237</v>
      </c>
      <c r="C25" s="27" t="s">
        <v>82</v>
      </c>
      <c r="D25" s="27">
        <v>0.58299999999999996</v>
      </c>
      <c r="E25" s="27">
        <f xml:space="preserve"> ((((D25 + 0.0482) / 0.00487) * 12 * 1) / (3 * 1000))</f>
        <v>0.51843942505133467</v>
      </c>
      <c r="F25" s="37" t="s">
        <v>246</v>
      </c>
      <c r="G25" s="35"/>
      <c r="H25" s="35"/>
      <c r="J25" s="27" t="s">
        <v>247</v>
      </c>
    </row>
    <row r="26" spans="1:10">
      <c r="A26" s="36">
        <v>46230</v>
      </c>
      <c r="B26" s="28" t="s">
        <v>237</v>
      </c>
      <c r="C26" s="27" t="s">
        <v>84</v>
      </c>
      <c r="D26" s="27">
        <v>0.57599999999999996</v>
      </c>
      <c r="E26" s="27">
        <f xml:space="preserve"> ((((D26 + 0.0482) / 0.00487) * 12 * 1) / (3 * 1000))</f>
        <v>0.5126899383983573</v>
      </c>
      <c r="F26" s="27" t="s">
        <v>248</v>
      </c>
    </row>
    <row r="27" spans="1:10">
      <c r="A27" s="36">
        <v>46230</v>
      </c>
      <c r="B27" s="28" t="s">
        <v>237</v>
      </c>
      <c r="C27" s="27" t="s">
        <v>87</v>
      </c>
      <c r="D27" s="27">
        <v>0.498</v>
      </c>
      <c r="E27" s="27">
        <f xml:space="preserve"> ((((D27 + 0.0482) / 0.00487) * 12 * 1) / (3 * 1000))</f>
        <v>0.4486242299794661</v>
      </c>
    </row>
    <row r="28" spans="1:10">
      <c r="A28" s="33">
        <v>46231</v>
      </c>
      <c r="B28" s="34" t="s">
        <v>237</v>
      </c>
      <c r="C28" s="34" t="s">
        <v>249</v>
      </c>
      <c r="D28" s="34">
        <v>0.14399999999999999</v>
      </c>
      <c r="E28" s="34">
        <f xml:space="preserve"> ((((D28 + 0.02506) / 0.001769) * 0.8 * 1) / (0.2 * 1000))</f>
        <v>0.38227247032221601</v>
      </c>
      <c r="F28" s="34"/>
    </row>
    <row r="29" spans="1:10">
      <c r="A29" s="33">
        <v>46231</v>
      </c>
      <c r="B29" s="38" t="s">
        <v>237</v>
      </c>
      <c r="C29" s="34" t="s">
        <v>250</v>
      </c>
      <c r="D29" s="34">
        <v>0.13800000000000001</v>
      </c>
      <c r="E29" s="34">
        <f xml:space="preserve"> ((((D29 + 0.02506) / 0.001769) * 0.8 * 1) / (0.2 * 1000))</f>
        <v>0.3687054833239119</v>
      </c>
      <c r="F29" s="34"/>
    </row>
    <row r="30" spans="1:10">
      <c r="A30" s="33">
        <v>46231</v>
      </c>
      <c r="B30" s="38" t="s">
        <v>237</v>
      </c>
      <c r="C30" s="34" t="s">
        <v>251</v>
      </c>
      <c r="D30" s="34">
        <v>0.17</v>
      </c>
      <c r="E30" s="34">
        <f xml:space="preserve"> ((((D30 + 0.02506) / 0.001769) * 0.8 * 1) / (0.2 * 1000))</f>
        <v>0.44106274731486722</v>
      </c>
      <c r="F30" s="34"/>
    </row>
    <row r="31" spans="1:10">
      <c r="A31" s="33">
        <v>46231</v>
      </c>
      <c r="B31" s="38" t="s">
        <v>237</v>
      </c>
      <c r="C31" s="34" t="s">
        <v>252</v>
      </c>
      <c r="D31" s="34">
        <v>0.13100000000000001</v>
      </c>
      <c r="E31" s="34">
        <f xml:space="preserve"> ((((D31 + 0.02506) / 0.001769) * 0.8 * 1) / (0.2 * 1000))</f>
        <v>0.35287733182589037</v>
      </c>
      <c r="F31" s="34"/>
    </row>
    <row r="32" spans="1:10">
      <c r="A32" s="33">
        <v>46231</v>
      </c>
      <c r="B32" s="38" t="s">
        <v>237</v>
      </c>
      <c r="C32" s="34" t="s">
        <v>253</v>
      </c>
      <c r="D32" s="34">
        <v>0.18</v>
      </c>
      <c r="E32" s="34">
        <f xml:space="preserve"> ((((D32 + 0.02506) / 0.001769) * 0.8 * 1) / (0.2 * 1000))</f>
        <v>0.46367439231204072</v>
      </c>
      <c r="F32" s="34"/>
    </row>
    <row r="33" spans="1:6">
      <c r="A33" s="33">
        <v>46231</v>
      </c>
      <c r="B33" s="38" t="s">
        <v>237</v>
      </c>
      <c r="C33" s="34" t="s">
        <v>254</v>
      </c>
      <c r="D33" s="34">
        <v>0.20899999999999999</v>
      </c>
      <c r="E33" s="34">
        <f xml:space="preserve"> ((((D33 + 0.02506) / 0.001769) * 0.8 * 1) / (0.2 * 1000))</f>
        <v>0.52924816280384401</v>
      </c>
      <c r="F33" s="34"/>
    </row>
    <row r="34" spans="1:6">
      <c r="A34" s="33">
        <v>46231</v>
      </c>
      <c r="B34" s="34" t="s">
        <v>237</v>
      </c>
      <c r="C34" s="34" t="s">
        <v>255</v>
      </c>
      <c r="D34" s="34">
        <v>0.29199999999999998</v>
      </c>
      <c r="E34" s="34">
        <f xml:space="preserve"> ((((D34 + 0.02506) / 0.001769) * 0.8 * 1) / (0.2 * 1000))</f>
        <v>0.71692481628038451</v>
      </c>
      <c r="F34" s="34"/>
    </row>
    <row r="35" spans="1:6">
      <c r="A35" s="33">
        <v>46231</v>
      </c>
      <c r="B35" s="38" t="s">
        <v>237</v>
      </c>
      <c r="C35" s="34" t="s">
        <v>256</v>
      </c>
      <c r="D35" s="34">
        <v>0.17699999999999999</v>
      </c>
      <c r="E35" s="34">
        <f xml:space="preserve"> ((((D35 + 0.02506) / 0.001769) * 0.8 * 1) / (0.2 * 1000))</f>
        <v>0.45689089881288864</v>
      </c>
      <c r="F35" s="34"/>
    </row>
    <row r="36" spans="1:6">
      <c r="A36" s="33">
        <v>46231</v>
      </c>
      <c r="B36" s="38" t="s">
        <v>237</v>
      </c>
      <c r="C36" s="34" t="s">
        <v>257</v>
      </c>
      <c r="D36" s="34">
        <v>0.42499999999999999</v>
      </c>
      <c r="E36" s="34">
        <f xml:space="preserve"> ((((D36 + 0.02506) / 0.001769) * 0.8 * 1) / (0.2 * 1000))</f>
        <v>1.0176596947427925</v>
      </c>
      <c r="F36" s="34"/>
    </row>
    <row r="37" spans="1:6">
      <c r="A37" s="33">
        <v>46231</v>
      </c>
      <c r="B37" s="38" t="s">
        <v>237</v>
      </c>
      <c r="C37" s="34" t="s">
        <v>258</v>
      </c>
      <c r="D37" s="34">
        <v>0.45</v>
      </c>
      <c r="E37" s="34">
        <f xml:space="preserve"> ((((D37 + 0.02506) / 0.001769) * 0.8 * 1) / (0.2 * 1000))</f>
        <v>1.0741888072357266</v>
      </c>
      <c r="F37" s="34"/>
    </row>
    <row r="38" spans="1:6">
      <c r="A38" s="33">
        <v>46231</v>
      </c>
      <c r="B38" s="38" t="s">
        <v>237</v>
      </c>
      <c r="C38" s="34" t="s">
        <v>259</v>
      </c>
      <c r="D38" s="34">
        <v>0.38900000000000001</v>
      </c>
      <c r="E38" s="34">
        <f xml:space="preserve"> ((((D38 + 0.02506) / 0.001769) * 0.8 * 1) / (0.2 * 1000))</f>
        <v>0.93625777275296784</v>
      </c>
      <c r="F38" s="34"/>
    </row>
    <row r="39" spans="1:6">
      <c r="A39" s="33">
        <v>46231</v>
      </c>
      <c r="B39" s="38" t="s">
        <v>237</v>
      </c>
      <c r="C39" s="34" t="s">
        <v>260</v>
      </c>
      <c r="D39" s="34">
        <v>0.45500000000000002</v>
      </c>
      <c r="E39" s="34">
        <f xml:space="preserve"> ((((D39 + 0.02506) / 0.001769) * 0.8 * 1) / (0.2 * 1000))</f>
        <v>1.0854946297343133</v>
      </c>
      <c r="F39" s="34"/>
    </row>
    <row r="40" spans="1:6">
      <c r="A40" s="33">
        <v>46231</v>
      </c>
      <c r="B40" s="34" t="s">
        <v>237</v>
      </c>
      <c r="C40" s="34" t="s">
        <v>261</v>
      </c>
      <c r="D40" s="34">
        <v>0.126</v>
      </c>
      <c r="E40" s="34">
        <f xml:space="preserve"> ((((D40 + 0.02506) / 0.001769) * 0.8 * 1) / (0.2 * 1000))</f>
        <v>0.34157150932730351</v>
      </c>
      <c r="F40" s="34"/>
    </row>
    <row r="41" spans="1:6">
      <c r="A41" s="33">
        <v>46231</v>
      </c>
      <c r="B41" s="34" t="s">
        <v>237</v>
      </c>
      <c r="C41" s="34" t="s">
        <v>262</v>
      </c>
      <c r="D41" s="34">
        <v>0.16400000000000001</v>
      </c>
      <c r="E41" s="34">
        <f xml:space="preserve"> ((((D41 + 0.02506) / 0.001769) * 0.8 * 1) / (0.2 * 1000))</f>
        <v>0.42749576031656311</v>
      </c>
      <c r="F41" s="34"/>
    </row>
    <row r="42" spans="1:6">
      <c r="A42" s="33">
        <v>46231</v>
      </c>
      <c r="B42" s="34" t="s">
        <v>237</v>
      </c>
      <c r="C42" s="34" t="s">
        <v>263</v>
      </c>
      <c r="D42" s="34">
        <v>0.183</v>
      </c>
      <c r="E42" s="34">
        <f xml:space="preserve"> ((((D42 + 0.02506) / 0.001769) * 0.8 * 1) / (0.2 * 1000))</f>
        <v>0.47045788581119274</v>
      </c>
      <c r="F42" s="34"/>
    </row>
    <row r="43" spans="1:6">
      <c r="A43" s="33">
        <v>46231</v>
      </c>
      <c r="B43" s="34" t="s">
        <v>237</v>
      </c>
      <c r="C43" s="34" t="s">
        <v>264</v>
      </c>
      <c r="D43" s="34">
        <v>0.21299999999999999</v>
      </c>
      <c r="E43" s="34">
        <f xml:space="preserve"> ((((D43 + 0.02506) / 0.001769) * 0.8 * 1) / (0.2 * 1000))</f>
        <v>0.53829282080271346</v>
      </c>
      <c r="F43" s="34"/>
    </row>
    <row r="44" spans="1:6">
      <c r="A44" s="33">
        <v>46231</v>
      </c>
      <c r="B44" s="38" t="s">
        <v>237</v>
      </c>
      <c r="C44" s="34" t="s">
        <v>265</v>
      </c>
      <c r="D44" s="34">
        <v>0.16200000000000001</v>
      </c>
      <c r="E44" s="34">
        <f xml:space="preserve"> ((((D44 + 0.02506) / 0.001769) * 0.8 * 1) / (0.2 * 1000))</f>
        <v>0.42297343131712833</v>
      </c>
      <c r="F44" s="34"/>
    </row>
    <row r="45" spans="1:6">
      <c r="A45" s="33">
        <v>46231</v>
      </c>
      <c r="B45" s="38" t="s">
        <v>237</v>
      </c>
      <c r="C45" s="34" t="s">
        <v>266</v>
      </c>
      <c r="D45" s="34">
        <v>0.19600000000000001</v>
      </c>
      <c r="E45" s="34">
        <f xml:space="preserve"> ((((D45 + 0.02506) / 0.001769) * 0.8 * 1) / (0.2 * 1000))</f>
        <v>0.49985302430751843</v>
      </c>
      <c r="F45" s="34"/>
    </row>
    <row r="46" spans="1:6">
      <c r="A46" s="33">
        <v>46231</v>
      </c>
      <c r="B46" s="38" t="s">
        <v>237</v>
      </c>
      <c r="C46" s="34" t="s">
        <v>267</v>
      </c>
      <c r="D46" s="34">
        <v>0.22</v>
      </c>
      <c r="E46" s="34">
        <f xml:space="preserve"> ((((D46 + 0.02506) / 0.001769) * 0.8 * 1) / (0.2 * 1000))</f>
        <v>0.55412097230073498</v>
      </c>
      <c r="F46" s="34"/>
    </row>
    <row r="47" spans="1:6">
      <c r="A47" s="33">
        <v>46231</v>
      </c>
      <c r="B47" s="38" t="s">
        <v>237</v>
      </c>
      <c r="C47" s="34" t="s">
        <v>268</v>
      </c>
      <c r="D47" s="34">
        <v>0.19600000000000001</v>
      </c>
      <c r="E47" s="34">
        <f xml:space="preserve"> ((((D47 + 0.02506) / 0.001769) * 0.8 * 1) / (0.2 * 1000))</f>
        <v>0.49985302430751843</v>
      </c>
      <c r="F47" s="34"/>
    </row>
    <row r="48" spans="1:6">
      <c r="A48" s="33">
        <v>46231</v>
      </c>
      <c r="B48" s="38" t="s">
        <v>237</v>
      </c>
      <c r="C48" s="34" t="s">
        <v>269</v>
      </c>
      <c r="D48" s="34">
        <v>0.113</v>
      </c>
      <c r="E48" s="34">
        <f xml:space="preserve"> ((((D48 + 0.02506) / 0.001769) * 0.8 * 1) / (0.2 * 1000))</f>
        <v>0.31217637083097799</v>
      </c>
      <c r="F48" s="34"/>
    </row>
    <row r="49" spans="1:6">
      <c r="A49" s="33">
        <v>46231</v>
      </c>
      <c r="B49" s="34" t="s">
        <v>237</v>
      </c>
      <c r="C49" s="34" t="s">
        <v>270</v>
      </c>
      <c r="D49" s="34">
        <v>0.108</v>
      </c>
      <c r="E49" s="34">
        <f xml:space="preserve"> ((((D49 + 0.02506) / 0.001769) * 0.8 * 1) / (0.2 * 1000))</f>
        <v>0.30087054833239124</v>
      </c>
      <c r="F49" s="34"/>
    </row>
    <row r="50" spans="1:6">
      <c r="A50" s="33">
        <v>46231</v>
      </c>
      <c r="B50" s="38" t="s">
        <v>237</v>
      </c>
      <c r="C50" s="34" t="s">
        <v>271</v>
      </c>
      <c r="D50" s="34">
        <v>0.251</v>
      </c>
      <c r="E50" s="34">
        <f xml:space="preserve"> ((((D50 + 0.02506) / 0.001769) * 0.8 * 1) / (0.2 * 1000))</f>
        <v>0.62421707179197283</v>
      </c>
      <c r="F50" s="34"/>
    </row>
    <row r="51" spans="1:6">
      <c r="A51" s="33">
        <v>46231</v>
      </c>
      <c r="B51" s="38" t="s">
        <v>237</v>
      </c>
      <c r="C51" s="34" t="s">
        <v>272</v>
      </c>
      <c r="D51" s="34">
        <v>0.14699999999999999</v>
      </c>
      <c r="E51" s="34">
        <f xml:space="preserve"> ((((D51 + 0.02506) / 0.001769) * 0.8 * 1) / (0.2 * 1000))</f>
        <v>0.38905596382136798</v>
      </c>
      <c r="F51" s="34"/>
    </row>
    <row r="52" spans="1:6">
      <c r="A52" s="33">
        <v>46231</v>
      </c>
      <c r="B52" s="38" t="s">
        <v>237</v>
      </c>
      <c r="C52" s="34" t="s">
        <v>273</v>
      </c>
      <c r="D52" s="34">
        <v>0.17799999999999999</v>
      </c>
      <c r="E52" s="34">
        <f xml:space="preserve"> ((((D52 + 0.02506) / 0.001769) * 0.8 * 1) / (0.2 * 1000))</f>
        <v>0.45915206331260605</v>
      </c>
      <c r="F52" s="34"/>
    </row>
    <row r="53" spans="1:6">
      <c r="A53" s="33">
        <v>46231</v>
      </c>
      <c r="B53" s="38" t="s">
        <v>237</v>
      </c>
      <c r="C53" s="34" t="s">
        <v>274</v>
      </c>
      <c r="D53" s="34">
        <v>0.19800000000000001</v>
      </c>
      <c r="E53" s="34">
        <f xml:space="preserve"> ((((D53 + 0.02506) / 0.001769) * 0.8 * 1) / (0.2 * 1000))</f>
        <v>0.50437535330695316</v>
      </c>
      <c r="F53" s="34"/>
    </row>
    <row r="54" spans="1:6">
      <c r="A54" s="33">
        <v>46231</v>
      </c>
      <c r="B54" s="38" t="s">
        <v>237</v>
      </c>
      <c r="C54" s="34" t="s">
        <v>275</v>
      </c>
      <c r="D54" s="34">
        <v>0.29099999999999998</v>
      </c>
      <c r="E54" s="34">
        <f xml:space="preserve"> ((((D54 + 0.02506) / 0.001769) * 0.8 * 1) / (0.2 * 1000))</f>
        <v>0.71466365178066704</v>
      </c>
      <c r="F54" s="34"/>
    </row>
    <row r="55" spans="1:6">
      <c r="A55" s="33">
        <v>46231</v>
      </c>
      <c r="B55" s="34" t="s">
        <v>237</v>
      </c>
      <c r="C55" s="34" t="s">
        <v>276</v>
      </c>
      <c r="D55" s="34">
        <v>0.17899999999999999</v>
      </c>
      <c r="E55" s="34">
        <f xml:space="preserve"> ((((D55 + 0.02506) / 0.001769) * 0.8 * 1) / (0.2 * 1000))</f>
        <v>0.4614132278123233</v>
      </c>
      <c r="F55" s="34"/>
    </row>
    <row r="56" spans="1:6">
      <c r="A56" s="33">
        <v>46231</v>
      </c>
      <c r="B56" s="34" t="s">
        <v>237</v>
      </c>
      <c r="C56" s="34" t="s">
        <v>277</v>
      </c>
      <c r="D56" s="34">
        <v>0.13900000000000001</v>
      </c>
      <c r="E56" s="34">
        <f xml:space="preserve"> ((((D56 + 0.02506) / 0.001769) * 0.8 * 1) / (0.2 * 1000))</f>
        <v>0.3709666478236292</v>
      </c>
      <c r="F56" s="34"/>
    </row>
    <row r="57" spans="1:6">
      <c r="A57" s="33">
        <v>46231</v>
      </c>
      <c r="B57" s="34" t="s">
        <v>237</v>
      </c>
      <c r="C57" s="34" t="s">
        <v>278</v>
      </c>
      <c r="D57" s="34">
        <v>0.13700000000000001</v>
      </c>
      <c r="E57" s="34">
        <f xml:space="preserve"> ((((D57 + 0.02506) / 0.001769) * 0.8 * 1) / (0.2 * 1000))</f>
        <v>0.36644431882419454</v>
      </c>
      <c r="F57" s="34"/>
    </row>
    <row r="58" spans="1:6">
      <c r="A58" s="33">
        <v>46231</v>
      </c>
      <c r="B58" s="34" t="s">
        <v>237</v>
      </c>
      <c r="C58" s="34" t="s">
        <v>279</v>
      </c>
      <c r="D58" s="34">
        <v>0.217</v>
      </c>
      <c r="E58" s="34">
        <f xml:space="preserve"> ((((D58 + 0.02506) / 0.001769) * 0.8 * 1) / (0.2 * 1000))</f>
        <v>0.5473374788015829</v>
      </c>
      <c r="F58" s="34"/>
    </row>
    <row r="59" spans="1:6">
      <c r="A59" s="33">
        <v>46231</v>
      </c>
      <c r="B59" s="38" t="s">
        <v>237</v>
      </c>
      <c r="C59" s="34" t="s">
        <v>280</v>
      </c>
      <c r="D59" s="34">
        <v>0.23799999999999999</v>
      </c>
      <c r="E59" s="34">
        <f xml:space="preserve"> ((((D59 + 0.02506) / 0.001769) * 0.8 * 1) / (0.2 * 1000))</f>
        <v>0.59482193329564725</v>
      </c>
      <c r="F59" s="34"/>
    </row>
    <row r="60" spans="1:6">
      <c r="A60" s="33">
        <v>46231</v>
      </c>
      <c r="B60" s="38" t="s">
        <v>237</v>
      </c>
      <c r="C60" s="34" t="s">
        <v>281</v>
      </c>
      <c r="D60" s="34">
        <v>0.14099999999999999</v>
      </c>
      <c r="E60" s="34">
        <f xml:space="preserve"> ((((D60 + 0.02506) / 0.001769) * 0.8 * 1) / (0.2 * 1000))</f>
        <v>0.37548897682306387</v>
      </c>
      <c r="F60" s="34"/>
    </row>
    <row r="61" spans="1:6">
      <c r="A61" s="33">
        <v>46231</v>
      </c>
      <c r="B61" s="38" t="s">
        <v>237</v>
      </c>
      <c r="C61" s="34" t="s">
        <v>282</v>
      </c>
      <c r="D61" s="34">
        <v>9.1999999999999998E-2</v>
      </c>
      <c r="E61" s="34">
        <f xml:space="preserve"> ((((D61 + 0.02506) / 0.001769) * 0.8 * 1) / (0.2 * 1000))</f>
        <v>0.26469191633691352</v>
      </c>
      <c r="F61" s="34"/>
    </row>
    <row r="62" spans="1:6">
      <c r="A62" s="33">
        <v>46231</v>
      </c>
      <c r="B62" s="38" t="s">
        <v>237</v>
      </c>
      <c r="C62" s="34" t="s">
        <v>283</v>
      </c>
      <c r="D62" s="34">
        <v>0.14699999999999999</v>
      </c>
      <c r="E62" s="34">
        <f xml:space="preserve"> ((((D62 + 0.02506) / 0.001769) * 0.8 * 1) / (0.2 * 1000))</f>
        <v>0.38905596382136798</v>
      </c>
      <c r="F62" s="34"/>
    </row>
    <row r="63" spans="1:6">
      <c r="A63" s="33">
        <v>46231</v>
      </c>
      <c r="B63" s="38" t="s">
        <v>237</v>
      </c>
      <c r="C63" s="34" t="s">
        <v>284</v>
      </c>
      <c r="D63" s="34">
        <v>0.109</v>
      </c>
      <c r="E63" s="34">
        <f xml:space="preserve"> ((((D63 + 0.02506) / 0.001769) * 0.8 * 1) / (0.2 * 1000))</f>
        <v>0.3031317128321086</v>
      </c>
      <c r="F63" s="34"/>
    </row>
    <row r="64" spans="1:6">
      <c r="A64" s="33">
        <v>46231</v>
      </c>
      <c r="B64" s="34" t="s">
        <v>237</v>
      </c>
      <c r="C64" s="34" t="s">
        <v>285</v>
      </c>
      <c r="D64" s="34">
        <v>0.217</v>
      </c>
      <c r="E64" s="34">
        <f xml:space="preserve"> ((((D64 + 0.02506) / 0.001769) * 0.8 * 1) / (0.2 * 1000))</f>
        <v>0.5473374788015829</v>
      </c>
      <c r="F64" s="34"/>
    </row>
    <row r="65" spans="1:6">
      <c r="A65" s="33">
        <v>46231</v>
      </c>
      <c r="B65" s="38" t="s">
        <v>237</v>
      </c>
      <c r="C65" s="34" t="s">
        <v>286</v>
      </c>
      <c r="D65" s="34">
        <v>0.2</v>
      </c>
      <c r="E65" s="34">
        <f xml:space="preserve"> ((((D65 + 0.02506) / 0.001769) * 0.8 * 1) / (0.2 * 1000))</f>
        <v>0.50889768230638788</v>
      </c>
      <c r="F65" s="34"/>
    </row>
    <row r="66" spans="1:6">
      <c r="A66" s="33">
        <v>46231</v>
      </c>
      <c r="B66" s="38" t="s">
        <v>237</v>
      </c>
      <c r="C66" s="34" t="s">
        <v>287</v>
      </c>
      <c r="D66" s="34">
        <v>0.25</v>
      </c>
      <c r="E66" s="34">
        <f xml:space="preserve"> ((((D66 + 0.02506) / 0.001769) * 0.8 * 1) / (0.2 * 1000))</f>
        <v>0.62195590729225547</v>
      </c>
      <c r="F66" s="34"/>
    </row>
    <row r="67" spans="1:6">
      <c r="A67" s="33">
        <v>46231</v>
      </c>
      <c r="B67" s="38" t="s">
        <v>237</v>
      </c>
      <c r="C67" s="34" t="s">
        <v>288</v>
      </c>
      <c r="D67" s="34">
        <v>0.30399999999999999</v>
      </c>
      <c r="E67" s="34">
        <f xml:space="preserve"> ((((D67 + 0.02506) / 0.001769) * 0.8 * 1) / (0.2 * 1000))</f>
        <v>0.74405879027699273</v>
      </c>
      <c r="F67" s="34"/>
    </row>
    <row r="68" spans="1:6">
      <c r="A68" s="33">
        <v>46231</v>
      </c>
      <c r="B68" s="38" t="s">
        <v>237</v>
      </c>
      <c r="C68" s="34" t="s">
        <v>289</v>
      </c>
      <c r="D68" s="34">
        <v>0.155</v>
      </c>
      <c r="E68" s="34">
        <f xml:space="preserve"> ((((D68 + 0.02506) / 0.001769) * 0.8 * 1) / (0.2 * 1000))</f>
        <v>0.40714527981910692</v>
      </c>
      <c r="F68" s="34"/>
    </row>
    <row r="69" spans="1:6">
      <c r="A69" s="33">
        <v>46231</v>
      </c>
      <c r="B69" s="38" t="s">
        <v>237</v>
      </c>
      <c r="C69" s="34" t="s">
        <v>290</v>
      </c>
      <c r="D69" s="34">
        <v>0.22</v>
      </c>
      <c r="E69" s="34">
        <f xml:space="preserve"> ((((D69 + 0.02506) / 0.001769) * 0.8 * 1) / (0.2 * 1000))</f>
        <v>0.55412097230073498</v>
      </c>
      <c r="F69" s="34"/>
    </row>
    <row r="70" spans="1:6">
      <c r="A70" s="33">
        <v>46231</v>
      </c>
      <c r="B70" s="34" t="s">
        <v>237</v>
      </c>
      <c r="C70" s="34" t="s">
        <v>291</v>
      </c>
      <c r="D70" s="34">
        <v>0.23599999999999999</v>
      </c>
      <c r="E70" s="34">
        <f xml:space="preserve"> ((((D70 + 0.02506) / 0.001769) * 0.8 * 1) / (0.2 * 1000))</f>
        <v>0.59029960429621253</v>
      </c>
      <c r="F70" s="34"/>
    </row>
    <row r="71" spans="1:6">
      <c r="A71" s="33">
        <v>46231</v>
      </c>
      <c r="B71" s="34" t="s">
        <v>237</v>
      </c>
      <c r="C71" s="34" t="s">
        <v>292</v>
      </c>
      <c r="D71" s="34">
        <v>0.20200000000000001</v>
      </c>
      <c r="E71" s="34">
        <f xml:space="preserve"> ((((D71 + 0.02506) / 0.001769) * 0.8 * 1) / (0.2 * 1000))</f>
        <v>0.51342001130582249</v>
      </c>
      <c r="F71" s="34"/>
    </row>
    <row r="72" spans="1:6">
      <c r="A72" s="33">
        <v>46231</v>
      </c>
      <c r="B72" s="34" t="s">
        <v>237</v>
      </c>
      <c r="C72" s="34" t="s">
        <v>293</v>
      </c>
      <c r="D72" s="34">
        <v>0.35599999999999998</v>
      </c>
      <c r="E72" s="34">
        <f xml:space="preserve"> ((((D72 + 0.02506) / 0.001769) * 0.8 * 1) / (0.2 * 1000))</f>
        <v>0.86163934426229505</v>
      </c>
      <c r="F72" s="34"/>
    </row>
    <row r="73" spans="1:6">
      <c r="A73" s="33">
        <v>46231</v>
      </c>
      <c r="B73" s="34" t="s">
        <v>237</v>
      </c>
      <c r="C73" s="34" t="s">
        <v>294</v>
      </c>
      <c r="D73" s="34">
        <v>0.15</v>
      </c>
      <c r="E73" s="34">
        <f xml:space="preserve"> ((((D73 + 0.02506) / 0.001769) * 0.8 * 1) / (0.2 * 1000))</f>
        <v>0.39583945732052006</v>
      </c>
      <c r="F73" s="34"/>
    </row>
    <row r="74" spans="1:6">
      <c r="A74" s="33">
        <v>46231</v>
      </c>
      <c r="B74" s="38" t="s">
        <v>237</v>
      </c>
      <c r="C74" s="34" t="s">
        <v>295</v>
      </c>
      <c r="D74" s="34">
        <v>0.19</v>
      </c>
      <c r="E74" s="34">
        <f xml:space="preserve"> ((((D74 + 0.02506) / 0.001769) * 0.8 * 1) / (0.2 * 1000))</f>
        <v>0.48628603730921427</v>
      </c>
      <c r="F74" s="34"/>
    </row>
    <row r="75" spans="1:6">
      <c r="A75" s="33">
        <v>46231</v>
      </c>
      <c r="B75" s="38" t="s">
        <v>237</v>
      </c>
      <c r="C75" s="34" t="s">
        <v>296</v>
      </c>
      <c r="D75" s="34">
        <v>0.26100000000000001</v>
      </c>
      <c r="E75" s="34">
        <f xml:space="preserve"> ((((D75 + 0.02506) / 0.001769) * 0.8 * 1) / (0.2 * 1000))</f>
        <v>0.64682871678914633</v>
      </c>
      <c r="F75" s="34"/>
    </row>
    <row r="76" spans="1:6">
      <c r="A76" s="33">
        <v>46231</v>
      </c>
      <c r="B76" s="38" t="s">
        <v>237</v>
      </c>
      <c r="C76" s="34" t="s">
        <v>297</v>
      </c>
      <c r="D76" s="34">
        <v>0.20200000000000001</v>
      </c>
      <c r="E76" s="34">
        <f xml:space="preserve"> ((((D76 + 0.02506) / 0.001769) * 0.8 * 1) / (0.2 * 1000))</f>
        <v>0.51342001130582249</v>
      </c>
      <c r="F76" s="34"/>
    </row>
    <row r="77" spans="1:6">
      <c r="A77" s="33">
        <v>46231</v>
      </c>
      <c r="B77" s="38" t="s">
        <v>237</v>
      </c>
      <c r="C77" s="34" t="s">
        <v>298</v>
      </c>
      <c r="D77" s="34">
        <v>0.25700000000000001</v>
      </c>
      <c r="E77" s="34">
        <f xml:space="preserve"> ((((D77 + 0.02506) / 0.001769) * 0.8 * 1) / (0.2 * 1000))</f>
        <v>0.637784058790277</v>
      </c>
      <c r="F77" s="34"/>
    </row>
    <row r="78" spans="1:6">
      <c r="A78" s="33">
        <v>46231</v>
      </c>
      <c r="B78" s="38" t="s">
        <v>237</v>
      </c>
      <c r="C78" s="34" t="s">
        <v>299</v>
      </c>
      <c r="D78" s="34">
        <v>0.19400000000000001</v>
      </c>
      <c r="E78" s="34">
        <f xml:space="preserve"> ((((D78 + 0.02506) / 0.001769) * 0.8 * 1) / (0.2 * 1000))</f>
        <v>0.49533069530808377</v>
      </c>
      <c r="F78" s="34"/>
    </row>
    <row r="79" spans="1:6">
      <c r="A79" s="33">
        <v>46231</v>
      </c>
      <c r="B79" s="34" t="s">
        <v>237</v>
      </c>
      <c r="C79" s="34" t="s">
        <v>300</v>
      </c>
      <c r="D79" s="34">
        <v>0.19700000000000001</v>
      </c>
      <c r="E79" s="34">
        <f xml:space="preserve"> ((((D79 + 0.02506) / 0.001769) * 0.8 * 1) / (0.2 * 1000))</f>
        <v>0.5021141888072358</v>
      </c>
      <c r="F79" s="34"/>
    </row>
    <row r="80" spans="1:6">
      <c r="A80" s="33">
        <v>46231</v>
      </c>
      <c r="B80" s="38" t="s">
        <v>237</v>
      </c>
      <c r="C80" s="34" t="s">
        <v>301</v>
      </c>
      <c r="D80" s="34">
        <v>0.16400000000000001</v>
      </c>
      <c r="E80" s="34">
        <f xml:space="preserve"> ((((D80 + 0.02506) / 0.001769) * 0.8 * 1) / (0.2 * 1000))</f>
        <v>0.42749576031656311</v>
      </c>
      <c r="F80" s="34"/>
    </row>
    <row r="81" spans="1:6">
      <c r="A81" s="33">
        <v>46231</v>
      </c>
      <c r="B81" s="38" t="s">
        <v>237</v>
      </c>
      <c r="C81" s="34" t="s">
        <v>302</v>
      </c>
      <c r="D81" s="34">
        <v>0.17799999999999999</v>
      </c>
      <c r="E81" s="34">
        <f xml:space="preserve"> ((((D81 + 0.02506) / 0.001769) * 0.8 * 1) / (0.2 * 1000))</f>
        <v>0.45915206331260605</v>
      </c>
      <c r="F81" s="34"/>
    </row>
    <row r="82" spans="1:6">
      <c r="A82" s="33">
        <v>46231</v>
      </c>
      <c r="B82" s="38" t="s">
        <v>237</v>
      </c>
      <c r="C82" s="34" t="s">
        <v>303</v>
      </c>
      <c r="D82" s="34">
        <v>0.27800000000000002</v>
      </c>
      <c r="E82" s="34">
        <f xml:space="preserve"> ((((D82 + 0.02506) / 0.001769) * 0.8 * 1) / (0.2 * 1000))</f>
        <v>0.68526851328434146</v>
      </c>
      <c r="F82" s="34"/>
    </row>
    <row r="83" spans="1:6">
      <c r="A83" s="33">
        <v>46231</v>
      </c>
      <c r="B83" s="38" t="s">
        <v>237</v>
      </c>
      <c r="C83" s="34" t="s">
        <v>304</v>
      </c>
      <c r="D83" s="34">
        <v>0.215</v>
      </c>
      <c r="E83" s="34">
        <f xml:space="preserve"> ((((D83 + 0.02506) / 0.001769) * 0.8 * 1) / (0.2 * 1000))</f>
        <v>0.54281514980214807</v>
      </c>
      <c r="F83" s="34"/>
    </row>
    <row r="84" spans="1:6">
      <c r="A84" s="33">
        <v>46231</v>
      </c>
      <c r="B84" s="38" t="s">
        <v>237</v>
      </c>
      <c r="C84" s="34" t="s">
        <v>305</v>
      </c>
      <c r="D84" s="34">
        <v>0.31900000000000001</v>
      </c>
      <c r="E84" s="34">
        <f xml:space="preserve"> ((((D84 + 0.02506) / 0.001769) * 0.8 * 1) / (0.2 * 1000))</f>
        <v>0.77797625777275314</v>
      </c>
      <c r="F84" s="34"/>
    </row>
    <row r="85" spans="1:6">
      <c r="A85" s="33">
        <v>46231</v>
      </c>
      <c r="B85" s="34" t="s">
        <v>237</v>
      </c>
      <c r="C85" s="34" t="s">
        <v>306</v>
      </c>
      <c r="D85" s="34">
        <v>0.48199999999999998</v>
      </c>
      <c r="E85" s="34">
        <f xml:space="preserve"> ((((D85 + 0.02506) / 0.001769) * 0.8 * 1) / (0.2 * 1000))</f>
        <v>1.1465460712266817</v>
      </c>
      <c r="F85" s="34"/>
    </row>
    <row r="86" spans="1:6">
      <c r="A86" s="33">
        <v>46231</v>
      </c>
      <c r="B86" s="34" t="s">
        <v>237</v>
      </c>
      <c r="C86" s="34" t="s">
        <v>307</v>
      </c>
      <c r="D86" s="34">
        <v>0.41899999999999998</v>
      </c>
      <c r="E86" s="34">
        <f xml:space="preserve"> ((((D86 + 0.02506) / 0.001769) * 0.8 * 1) / (0.2 * 1000))</f>
        <v>1.0040927077444886</v>
      </c>
      <c r="F86" s="34"/>
    </row>
    <row r="87" spans="1:6">
      <c r="A87" s="33">
        <v>46231</v>
      </c>
      <c r="B87" s="34" t="s">
        <v>237</v>
      </c>
      <c r="C87" s="34" t="s">
        <v>308</v>
      </c>
      <c r="D87" s="34">
        <v>0.317</v>
      </c>
      <c r="E87" s="34">
        <f xml:space="preserve"> ((((D87 + 0.02506) / 0.001769) * 0.8 * 1) / (0.2 * 1000))</f>
        <v>0.77345392877331842</v>
      </c>
      <c r="F87" s="34"/>
    </row>
    <row r="88" spans="1:6">
      <c r="A88" s="33">
        <v>46231</v>
      </c>
      <c r="B88" s="38" t="s">
        <v>237</v>
      </c>
      <c r="C88" s="34" t="s">
        <v>309</v>
      </c>
      <c r="D88" s="34">
        <v>0.40899999999999997</v>
      </c>
      <c r="E88" s="34">
        <f xml:space="preserve"> ((((D88 + 0.02506) / 0.001769) * 0.8 * 1) / (0.2 * 1000))</f>
        <v>0.98148106274731506</v>
      </c>
      <c r="F88" s="34"/>
    </row>
    <row r="89" spans="1:6">
      <c r="A89" s="33">
        <v>46231</v>
      </c>
      <c r="B89" s="38" t="s">
        <v>237</v>
      </c>
      <c r="C89" s="34" t="s">
        <v>310</v>
      </c>
      <c r="D89" s="34">
        <v>0.46200000000000002</v>
      </c>
      <c r="E89" s="34">
        <f xml:space="preserve"> ((((D89 + 0.02506) / 0.001769) * 0.8 * 1) / (0.2 * 1000))</f>
        <v>1.101322781232335</v>
      </c>
      <c r="F89" s="34"/>
    </row>
    <row r="90" spans="1:6">
      <c r="A90" s="33">
        <v>46231</v>
      </c>
      <c r="B90" s="38" t="s">
        <v>237</v>
      </c>
      <c r="C90" s="34" t="s">
        <v>311</v>
      </c>
      <c r="D90" s="34">
        <v>0.33300000000000002</v>
      </c>
      <c r="E90" s="34">
        <f xml:space="preserve"> ((((D90 + 0.02506) / 0.001769) * 0.8 * 1) / (0.2 * 1000))</f>
        <v>0.80963256076879597</v>
      </c>
      <c r="F90" s="34"/>
    </row>
    <row r="91" spans="1:6">
      <c r="A91" s="33">
        <v>46231</v>
      </c>
      <c r="B91" s="34" t="s">
        <v>237</v>
      </c>
      <c r="C91" s="34" t="s">
        <v>312</v>
      </c>
      <c r="D91" s="34">
        <v>0.48799999999999999</v>
      </c>
      <c r="E91" s="34">
        <f xml:space="preserve"> ((((D91 + 0.02506) / 0.001769) * 0.8 * 1) / (0.2 * 1000))</f>
        <v>1.1601130582249857</v>
      </c>
      <c r="F91" s="34"/>
    </row>
    <row r="92" spans="1:6">
      <c r="A92" s="33">
        <v>46231</v>
      </c>
      <c r="B92" s="38" t="s">
        <v>237</v>
      </c>
      <c r="C92" s="34" t="s">
        <v>313</v>
      </c>
      <c r="D92" s="34">
        <v>0.40500000000000003</v>
      </c>
      <c r="E92" s="34">
        <f xml:space="preserve"> ((((D92 + 0.02506) / 0.001769) * 0.8 * 1) / (0.2 * 1000))</f>
        <v>0.9724364047484455</v>
      </c>
      <c r="F92" s="34"/>
    </row>
    <row r="93" spans="1:6">
      <c r="A93" s="33">
        <v>46231</v>
      </c>
      <c r="B93" s="38" t="s">
        <v>237</v>
      </c>
      <c r="C93" s="34" t="s">
        <v>314</v>
      </c>
      <c r="D93" s="34">
        <v>0.49399999999999999</v>
      </c>
      <c r="E93" s="34">
        <f xml:space="preserve"> ((((D93 + 0.02506) / 0.001769) * 0.8 * 1) / (0.2 * 1000))</f>
        <v>1.1736800452232898</v>
      </c>
      <c r="F93" s="34"/>
    </row>
    <row r="94" spans="1:6">
      <c r="A94" s="33">
        <v>46231</v>
      </c>
      <c r="B94" s="38" t="s">
        <v>237</v>
      </c>
      <c r="C94" s="34" t="s">
        <v>315</v>
      </c>
      <c r="D94" s="34">
        <v>0.372</v>
      </c>
      <c r="E94" s="34">
        <f xml:space="preserve"> ((((D94 + 0.02506) / 0.001769) * 0.8 * 1) / (0.2 * 1000))</f>
        <v>0.89781797625777271</v>
      </c>
      <c r="F94" s="34"/>
    </row>
    <row r="95" spans="1:6">
      <c r="A95" s="33">
        <v>46231</v>
      </c>
      <c r="B95" s="38" t="s">
        <v>237</v>
      </c>
      <c r="C95" s="34" t="s">
        <v>316</v>
      </c>
      <c r="D95" s="34">
        <v>0.34399999999999997</v>
      </c>
      <c r="E95" s="34">
        <f xml:space="preserve"> ((((D95 + 0.02506) / 0.001769) * 0.8 * 1) / (0.2 * 1000))</f>
        <v>0.83450537026568672</v>
      </c>
      <c r="F95" s="34"/>
    </row>
    <row r="96" spans="1:6">
      <c r="A96" s="33">
        <v>46231</v>
      </c>
      <c r="B96" s="38" t="s">
        <v>237</v>
      </c>
      <c r="C96" s="34" t="s">
        <v>317</v>
      </c>
      <c r="D96" s="34">
        <v>0.14799999999999999</v>
      </c>
      <c r="E96" s="34">
        <f xml:space="preserve"> ((((D96 + 0.02506) / 0.001769) * 0.8 * 1) / (0.2 * 1000))</f>
        <v>0.39131712832108539</v>
      </c>
      <c r="F96" s="34"/>
    </row>
    <row r="97" spans="1:10">
      <c r="A97" s="33">
        <v>46231</v>
      </c>
      <c r="B97" s="34" t="s">
        <v>237</v>
      </c>
      <c r="C97" s="34" t="s">
        <v>318</v>
      </c>
      <c r="D97" s="34">
        <v>0.13</v>
      </c>
      <c r="E97" s="34">
        <f xml:space="preserve"> ((((D97 + 0.02506) / 0.001769) * 0.8 * 1) / (0.2 * 1000))</f>
        <v>0.35061616732617301</v>
      </c>
      <c r="F97" s="34"/>
    </row>
    <row r="98" spans="1:10">
      <c r="A98" s="33">
        <v>46231</v>
      </c>
      <c r="B98" s="34" t="s">
        <v>237</v>
      </c>
      <c r="C98" s="34" t="s">
        <v>319</v>
      </c>
      <c r="D98" s="34">
        <v>0.19900000000000001</v>
      </c>
      <c r="E98" s="34">
        <f xml:space="preserve"> ((((D98 + 0.02506) / 0.001769) * 0.8 * 1) / (0.2 * 1000))</f>
        <v>0.50663651780667041</v>
      </c>
      <c r="F98" s="34"/>
    </row>
    <row r="99" spans="1:10">
      <c r="A99" s="33">
        <v>46231</v>
      </c>
      <c r="B99" s="34" t="s">
        <v>237</v>
      </c>
      <c r="C99" s="34" t="s">
        <v>320</v>
      </c>
      <c r="D99" s="34">
        <v>0.15</v>
      </c>
      <c r="E99" s="34">
        <f xml:space="preserve"> ((((D99 + 0.02506) / 0.001769) * 0.8 * 1) / (0.2 * 1000))</f>
        <v>0.39583945732052006</v>
      </c>
      <c r="F99" s="34"/>
    </row>
    <row r="100" spans="1:10">
      <c r="A100" s="33">
        <v>46231</v>
      </c>
      <c r="B100" s="34" t="s">
        <v>237</v>
      </c>
      <c r="C100" s="34" t="s">
        <v>321</v>
      </c>
      <c r="D100" s="34">
        <v>0.10100000000000001</v>
      </c>
      <c r="E100" s="34">
        <f xml:space="preserve"> ((((D100 + 0.02506) / 0.001769) * 0.8 * 1) / (0.2 * 1000))</f>
        <v>0.28504239683436972</v>
      </c>
      <c r="F100" s="34"/>
    </row>
    <row r="101" spans="1:10">
      <c r="A101" s="33">
        <v>46231</v>
      </c>
      <c r="B101" s="38" t="s">
        <v>237</v>
      </c>
      <c r="C101" s="34" t="s">
        <v>322</v>
      </c>
      <c r="D101" s="34">
        <v>0.14000000000000001</v>
      </c>
      <c r="E101" s="34">
        <f xml:space="preserve"> ((((D101 + 0.02506) / 0.001769) * 0.8 * 1) / (0.2 * 1000))</f>
        <v>0.37322781232334656</v>
      </c>
      <c r="F101" s="34"/>
    </row>
    <row r="102" spans="1:10">
      <c r="A102" s="33">
        <v>46231</v>
      </c>
      <c r="B102" s="38" t="s">
        <v>237</v>
      </c>
      <c r="C102" s="34" t="s">
        <v>323</v>
      </c>
      <c r="D102" s="34">
        <v>0.152</v>
      </c>
      <c r="E102" s="34">
        <f xml:space="preserve"> ((((D102 + 0.02506) / 0.001769) * 0.8 * 1) / (0.2 * 1000))</f>
        <v>0.40036178631995484</v>
      </c>
      <c r="F102" s="34"/>
    </row>
    <row r="103" spans="1:10">
      <c r="A103" s="33">
        <v>46231</v>
      </c>
      <c r="B103" s="38" t="s">
        <v>237</v>
      </c>
      <c r="C103" s="34" t="s">
        <v>324</v>
      </c>
      <c r="D103" s="34">
        <v>9.7000000000000003E-2</v>
      </c>
      <c r="E103" s="34">
        <f xml:space="preserve"> ((((D103 + 0.02506) / 0.001769) * 0.8 * 1) / (0.2 * 1000))</f>
        <v>0.27599773883550027</v>
      </c>
      <c r="F103" s="34"/>
    </row>
    <row r="104" spans="1:10">
      <c r="A104" s="33">
        <v>46231</v>
      </c>
      <c r="B104" s="38" t="s">
        <v>237</v>
      </c>
      <c r="C104" s="34" t="s">
        <v>325</v>
      </c>
      <c r="D104" s="34">
        <v>0.121</v>
      </c>
      <c r="E104" s="34">
        <f xml:space="preserve"> ((((D104 + 0.02506) / 0.001769) * 0.8 * 1) / (0.2 * 1000))</f>
        <v>0.33026568682871682</v>
      </c>
      <c r="F104" s="34"/>
    </row>
    <row r="105" spans="1:10">
      <c r="A105" s="33">
        <v>46231</v>
      </c>
      <c r="B105" s="38" t="s">
        <v>237</v>
      </c>
      <c r="C105" s="34" t="s">
        <v>326</v>
      </c>
      <c r="D105" s="34">
        <v>0.14099999999999999</v>
      </c>
      <c r="E105" s="34">
        <f xml:space="preserve"> ((((D105 + 0.02506) / 0.001769) * 0.8 * 1) / (0.2 * 1000))</f>
        <v>0.37548897682306387</v>
      </c>
      <c r="F105" s="34"/>
    </row>
    <row r="106" spans="1:10">
      <c r="A106" s="33">
        <v>46231</v>
      </c>
      <c r="B106" s="34" t="s">
        <v>237</v>
      </c>
      <c r="C106" s="34" t="s">
        <v>327</v>
      </c>
      <c r="D106" s="34">
        <v>0.183</v>
      </c>
      <c r="E106" s="34">
        <f xml:space="preserve"> ((((D106 + 0.02506) / 0.001769) * 0.8 * 1) / (0.2 * 1000))</f>
        <v>0.47045788581119274</v>
      </c>
      <c r="F106" s="34"/>
    </row>
    <row r="107" spans="1:10">
      <c r="A107" s="33">
        <v>46231</v>
      </c>
      <c r="B107" s="38" t="s">
        <v>237</v>
      </c>
      <c r="C107" s="34" t="s">
        <v>328</v>
      </c>
      <c r="D107" s="34">
        <v>0.223</v>
      </c>
      <c r="E107" s="34">
        <f xml:space="preserve"> ((((D107 + 0.02506) / 0.001769) * 0.8 * 1) / (0.2 * 1000))</f>
        <v>0.56090446579988695</v>
      </c>
      <c r="F107" s="34"/>
    </row>
    <row r="108" spans="1:10">
      <c r="A108" s="33">
        <v>46231</v>
      </c>
      <c r="B108" s="38" t="s">
        <v>237</v>
      </c>
      <c r="C108" s="34" t="s">
        <v>329</v>
      </c>
      <c r="D108" s="34">
        <v>0.185</v>
      </c>
      <c r="E108" s="34">
        <f xml:space="preserve"> ((((D108 + 0.02506) / 0.001769) * 0.8 * 1) / (0.2 * 1000))</f>
        <v>0.47498021481062752</v>
      </c>
      <c r="F108" s="34"/>
    </row>
    <row r="109" spans="1:10">
      <c r="A109" s="33">
        <v>46231</v>
      </c>
      <c r="B109" s="38" t="s">
        <v>237</v>
      </c>
      <c r="C109" s="34" t="s">
        <v>330</v>
      </c>
      <c r="D109" s="34">
        <v>0.217</v>
      </c>
      <c r="E109" s="34">
        <f xml:space="preserve"> ((((D109 + 0.02506) / 0.001769) * 0.8 * 1) / (0.2 * 1000))</f>
        <v>0.5473374788015829</v>
      </c>
      <c r="F109" s="34"/>
    </row>
    <row r="110" spans="1:10">
      <c r="A110" s="33">
        <v>46231</v>
      </c>
      <c r="B110" s="38" t="s">
        <v>237</v>
      </c>
      <c r="C110" s="34" t="s">
        <v>331</v>
      </c>
      <c r="D110" s="34">
        <v>0.22800000000000001</v>
      </c>
      <c r="E110" s="34">
        <f xml:space="preserve"> ((((D110 + 0.02506) / 0.001769) * 0.8 * 1) / (0.2 * 1000))</f>
        <v>0.57221028829847376</v>
      </c>
      <c r="F110" s="34"/>
    </row>
    <row r="111" spans="1:10">
      <c r="A111" s="33">
        <v>46231</v>
      </c>
      <c r="B111" s="38" t="s">
        <v>237</v>
      </c>
      <c r="C111" s="34" t="s">
        <v>332</v>
      </c>
      <c r="D111" s="34">
        <v>7.1999999999999995E-2</v>
      </c>
      <c r="E111" s="34">
        <f xml:space="preserve"> ((((D111 + 0.02506) / 0.001769) * 0.8 * 1) / (0.2 * 1000))</f>
        <v>0.21946862634256642</v>
      </c>
      <c r="F111" s="34"/>
    </row>
    <row r="112" spans="1:10">
      <c r="A112" s="33">
        <v>46231</v>
      </c>
      <c r="B112" s="34" t="s">
        <v>237</v>
      </c>
      <c r="C112" s="34" t="s">
        <v>333</v>
      </c>
      <c r="D112" s="34">
        <v>0.193</v>
      </c>
      <c r="E112" s="34">
        <f xml:space="preserve"> ((((D112 + 0.02506) / 0.001769) * 0.8 * 1) / (0.2 * 1000))</f>
        <v>0.49306953080836635</v>
      </c>
      <c r="F112" s="35" t="s">
        <v>334</v>
      </c>
      <c r="J112" s="27" t="s">
        <v>335</v>
      </c>
    </row>
    <row r="113" spans="1:10">
      <c r="A113" s="33">
        <v>46231</v>
      </c>
      <c r="B113" s="34" t="s">
        <v>237</v>
      </c>
      <c r="C113" s="34" t="s">
        <v>336</v>
      </c>
      <c r="D113" s="34">
        <v>0.18</v>
      </c>
      <c r="E113" s="34">
        <f xml:space="preserve"> ((((D113 + 0.02506) / 0.001769) * 0.8 * 1) / (0.2 * 1000))</f>
        <v>0.46367439231204072</v>
      </c>
      <c r="F113" s="35" t="s">
        <v>337</v>
      </c>
      <c r="J113" s="27" t="s">
        <v>338</v>
      </c>
    </row>
    <row r="114" spans="1:10">
      <c r="A114" s="33">
        <v>46231</v>
      </c>
      <c r="B114" s="34" t="s">
        <v>237</v>
      </c>
      <c r="C114" s="34" t="s">
        <v>339</v>
      </c>
      <c r="D114" s="34">
        <v>0.13700000000000001</v>
      </c>
      <c r="E114" s="34">
        <f xml:space="preserve"> ((((D114 + 0.02506) / 0.001769) * 0.8 * 1) / (0.2 * 1000))</f>
        <v>0.36644431882419454</v>
      </c>
      <c r="F114" s="35" t="s">
        <v>340</v>
      </c>
    </row>
    <row r="115" spans="1:10">
      <c r="A115" s="33">
        <v>46231</v>
      </c>
      <c r="B115" s="34" t="s">
        <v>237</v>
      </c>
      <c r="C115" s="34" t="s">
        <v>341</v>
      </c>
      <c r="D115" s="34">
        <v>0.24099999999999999</v>
      </c>
      <c r="E115" s="34">
        <f xml:space="preserve"> ((((D115 + 0.02506) / 0.001769) * 0.8 * 1) / (0.2 * 1000))</f>
        <v>0.60160542679479923</v>
      </c>
      <c r="F115" s="35" t="s">
        <v>342</v>
      </c>
    </row>
    <row r="116" spans="1:10">
      <c r="A116" s="32">
        <v>46233</v>
      </c>
      <c r="B116" s="27" t="s">
        <v>237</v>
      </c>
      <c r="C116" s="27" t="s">
        <v>343</v>
      </c>
      <c r="D116" s="27">
        <v>0.193</v>
      </c>
      <c r="E116">
        <f xml:space="preserve"> ((((D116 + 0.03492) / 0.001784) * 0.8 * 1) / (0.2 * 1000))</f>
        <v>0.51103139013452914</v>
      </c>
    </row>
    <row r="117" spans="1:10">
      <c r="A117" s="32">
        <v>46233</v>
      </c>
      <c r="B117" s="27" t="s">
        <v>237</v>
      </c>
      <c r="C117" s="27" t="s">
        <v>344</v>
      </c>
      <c r="D117" s="27">
        <v>0.20399999999999999</v>
      </c>
      <c r="E117" s="27">
        <f xml:space="preserve"> ((((D117 + 0.03492) / 0.001784) * 0.8 * 1) / (0.2 * 1000))</f>
        <v>0.53569506726457394</v>
      </c>
    </row>
    <row r="118" spans="1:10">
      <c r="A118" s="32">
        <v>46233</v>
      </c>
      <c r="B118" s="27" t="s">
        <v>237</v>
      </c>
      <c r="C118" s="27" t="s">
        <v>345</v>
      </c>
      <c r="D118" s="27">
        <v>0.22900000000000001</v>
      </c>
      <c r="E118" s="27">
        <f xml:space="preserve"> ((((D118 + 0.03492) / 0.001784) * 0.8 * 1) / (0.2 * 1000))</f>
        <v>0.59174887892376693</v>
      </c>
    </row>
    <row r="119" spans="1:10">
      <c r="A119" s="32">
        <v>46233</v>
      </c>
      <c r="B119" s="27" t="s">
        <v>237</v>
      </c>
      <c r="C119" s="27" t="s">
        <v>346</v>
      </c>
      <c r="D119" s="27">
        <v>0.25900000000000001</v>
      </c>
      <c r="E119" s="27">
        <f xml:space="preserve"> ((((D119 + 0.03492) / 0.001784) * 0.8 * 1) / (0.2 * 1000))</f>
        <v>0.65901345291479829</v>
      </c>
    </row>
    <row r="120" spans="1:10">
      <c r="A120" s="32">
        <v>46233</v>
      </c>
      <c r="B120" s="27" t="s">
        <v>237</v>
      </c>
      <c r="C120" s="27" t="s">
        <v>347</v>
      </c>
      <c r="D120" s="27">
        <v>0.247</v>
      </c>
      <c r="E120" s="27">
        <f xml:space="preserve"> ((((D120 + 0.03492) / 0.001784) * 0.8 * 1) / (0.2 * 1000))</f>
        <v>0.63210762331838566</v>
      </c>
    </row>
    <row r="121" spans="1:10">
      <c r="A121" s="32">
        <v>46233</v>
      </c>
      <c r="B121" s="27" t="s">
        <v>237</v>
      </c>
      <c r="C121" s="27" t="s">
        <v>348</v>
      </c>
      <c r="D121" s="27">
        <v>0.10100000000000001</v>
      </c>
      <c r="E121" s="27">
        <f xml:space="preserve"> ((((D121 + 0.03492) / 0.001784) * 0.8 * 1) / (0.2 * 1000))</f>
        <v>0.30475336322869961</v>
      </c>
    </row>
    <row r="122" spans="1:10">
      <c r="A122" s="32">
        <v>46233</v>
      </c>
      <c r="B122" s="27" t="s">
        <v>237</v>
      </c>
      <c r="C122" s="27" t="s">
        <v>349</v>
      </c>
      <c r="D122" s="27">
        <v>8.5999999999999993E-2</v>
      </c>
      <c r="E122" s="27">
        <f xml:space="preserve"> ((((D122 + 0.03492) / 0.001784) * 0.8 * 1) / (0.2 * 1000))</f>
        <v>0.27112107623318382</v>
      </c>
    </row>
    <row r="123" spans="1:10">
      <c r="A123" s="32">
        <v>46233</v>
      </c>
      <c r="B123" s="27" t="s">
        <v>237</v>
      </c>
      <c r="C123" s="27" t="s">
        <v>350</v>
      </c>
      <c r="D123" s="27">
        <v>9.2999999999999999E-2</v>
      </c>
      <c r="E123" s="27">
        <f xml:space="preserve"> ((((D123 + 0.03492) / 0.001784) * 0.8 * 1) / (0.2 * 1000))</f>
        <v>0.28681614349775786</v>
      </c>
    </row>
    <row r="124" spans="1:10">
      <c r="A124" s="32">
        <v>46233</v>
      </c>
      <c r="B124" s="27" t="s">
        <v>237</v>
      </c>
      <c r="C124" s="27" t="s">
        <v>351</v>
      </c>
      <c r="D124" s="27">
        <v>6.6000000000000003E-2</v>
      </c>
      <c r="E124" s="27">
        <f xml:space="preserve"> ((((D124 + 0.03492) / 0.001784) * 0.8 * 1) / (0.2 * 1000))</f>
        <v>0.22627802690582965</v>
      </c>
    </row>
    <row r="125" spans="1:10">
      <c r="A125" s="32">
        <v>46233</v>
      </c>
      <c r="B125" s="27" t="s">
        <v>237</v>
      </c>
      <c r="C125" s="27" t="s">
        <v>352</v>
      </c>
      <c r="D125" s="27">
        <v>0.30599999999999999</v>
      </c>
      <c r="E125" s="27">
        <f xml:space="preserve"> ((((D125 + 0.03492) / 0.001784) * 0.8 * 1) / (0.2 * 1000))</f>
        <v>0.76439461883408066</v>
      </c>
    </row>
    <row r="126" spans="1:10">
      <c r="A126" s="32">
        <v>46233</v>
      </c>
      <c r="B126" s="27" t="s">
        <v>237</v>
      </c>
      <c r="C126" s="27" t="s">
        <v>353</v>
      </c>
      <c r="D126" s="27">
        <v>0.314</v>
      </c>
      <c r="E126" s="27">
        <f xml:space="preserve"> ((((D126 + 0.03492) / 0.001784) * 0.8 * 1) / (0.2 * 1000))</f>
        <v>0.78233183856502253</v>
      </c>
    </row>
    <row r="127" spans="1:10">
      <c r="A127" s="32">
        <v>46233</v>
      </c>
      <c r="B127" s="27" t="s">
        <v>237</v>
      </c>
      <c r="C127" s="27" t="s">
        <v>354</v>
      </c>
      <c r="D127" s="27">
        <v>0.34200000000000003</v>
      </c>
      <c r="E127" s="27">
        <f xml:space="preserve"> ((((D127 + 0.03492) / 0.001784) * 0.8 * 1) / (0.2 * 1000))</f>
        <v>0.84511210762331856</v>
      </c>
    </row>
    <row r="128" spans="1:10">
      <c r="A128" s="32">
        <v>46233</v>
      </c>
      <c r="B128" s="27" t="s">
        <v>237</v>
      </c>
      <c r="C128" s="27" t="s">
        <v>355</v>
      </c>
      <c r="D128" s="27">
        <v>0.39200000000000002</v>
      </c>
      <c r="E128" s="27">
        <f xml:space="preserve"> ((((D128 + 0.03492) / 0.001784) * 0.8 * 1) / (0.2 * 1000))</f>
        <v>0.95721973094170421</v>
      </c>
    </row>
    <row r="129" spans="1:5">
      <c r="A129" s="32">
        <v>46233</v>
      </c>
      <c r="B129" s="27" t="s">
        <v>237</v>
      </c>
      <c r="C129" s="27" t="s">
        <v>356</v>
      </c>
      <c r="D129" s="27">
        <v>0.37</v>
      </c>
      <c r="E129" s="27">
        <f xml:space="preserve"> ((((D129 + 0.03492) / 0.001784) * 0.8 * 1) / (0.2 * 1000))</f>
        <v>0.90789237668161438</v>
      </c>
    </row>
    <row r="130" spans="1:5">
      <c r="A130" s="32">
        <v>46233</v>
      </c>
      <c r="B130" s="27" t="s">
        <v>237</v>
      </c>
      <c r="C130" s="27" t="s">
        <v>357</v>
      </c>
      <c r="D130" s="27">
        <v>0.14799999999999999</v>
      </c>
      <c r="E130" s="27">
        <f xml:space="preserve"> ((((D130 + 0.03492) / 0.001784) * 0.8 * 1) / (0.2 * 1000))</f>
        <v>0.4101345291479821</v>
      </c>
    </row>
    <row r="131" spans="1:5">
      <c r="A131" s="32">
        <v>46233</v>
      </c>
      <c r="B131" s="27" t="s">
        <v>237</v>
      </c>
      <c r="C131" s="27" t="s">
        <v>358</v>
      </c>
      <c r="D131" s="27">
        <v>0.17</v>
      </c>
      <c r="E131" s="27">
        <f xml:space="preserve"> ((((D131 + 0.03492) / 0.001784) * 0.8 * 1) / (0.2 * 1000))</f>
        <v>0.45946188340807181</v>
      </c>
    </row>
    <row r="132" spans="1:5">
      <c r="A132" s="32">
        <v>46233</v>
      </c>
      <c r="B132" s="27" t="s">
        <v>237</v>
      </c>
      <c r="C132" s="27" t="s">
        <v>359</v>
      </c>
      <c r="D132" s="27">
        <v>0.17199999999999999</v>
      </c>
      <c r="E132" s="27">
        <f xml:space="preserve"> ((((D132 + 0.03492) / 0.001784) * 0.8 * 1) / (0.2 * 1000))</f>
        <v>0.46394618834080714</v>
      </c>
    </row>
    <row r="133" spans="1:5">
      <c r="A133" s="32">
        <v>46233</v>
      </c>
      <c r="B133" s="27" t="s">
        <v>237</v>
      </c>
      <c r="C133" s="27" t="s">
        <v>360</v>
      </c>
      <c r="D133" s="27">
        <v>0.14199999999999999</v>
      </c>
      <c r="E133" s="27">
        <f xml:space="preserve"> ((((D133 + 0.03492) / 0.001784) * 0.8 * 1) / (0.2 * 1000))</f>
        <v>0.39668161434977578</v>
      </c>
    </row>
    <row r="134" spans="1:5">
      <c r="A134" s="32">
        <v>46233</v>
      </c>
      <c r="B134" s="27" t="s">
        <v>237</v>
      </c>
      <c r="C134" s="27" t="s">
        <v>361</v>
      </c>
      <c r="D134" s="27">
        <v>0.19600000000000001</v>
      </c>
      <c r="E134" s="27">
        <f xml:space="preserve"> ((((D134 + 0.03492) / 0.001784) * 0.8 * 1) / (0.2 * 1000))</f>
        <v>0.51775784753363241</v>
      </c>
    </row>
    <row r="135" spans="1:5">
      <c r="A135" s="32">
        <v>46233</v>
      </c>
      <c r="B135" s="27" t="s">
        <v>237</v>
      </c>
      <c r="C135" s="27" t="s">
        <v>362</v>
      </c>
      <c r="D135" s="27">
        <v>0.22500000000000001</v>
      </c>
      <c r="E135" s="27">
        <f xml:space="preserve"> ((((D135 + 0.03492) / 0.001784) * 0.8 * 1) / (0.2 * 1000))</f>
        <v>0.58278026905829594</v>
      </c>
    </row>
    <row r="136" spans="1:5">
      <c r="A136" s="32">
        <v>46233</v>
      </c>
      <c r="B136" s="27" t="s">
        <v>237</v>
      </c>
      <c r="C136" s="27" t="s">
        <v>363</v>
      </c>
      <c r="D136" s="27">
        <v>0.17499999999999999</v>
      </c>
      <c r="E136" s="27">
        <f xml:space="preserve"> ((((D136 + 0.03492) / 0.001784) * 0.8 * 1) / (0.2 * 1000))</f>
        <v>0.4706726457399103</v>
      </c>
    </row>
    <row r="137" spans="1:5">
      <c r="A137" s="32">
        <v>46233</v>
      </c>
      <c r="B137" s="27" t="s">
        <v>237</v>
      </c>
      <c r="C137" s="27" t="s">
        <v>364</v>
      </c>
      <c r="D137" s="27">
        <v>0.246</v>
      </c>
      <c r="E137" s="27">
        <f xml:space="preserve"> ((((D137 + 0.03492) / 0.001784) * 0.8 * 1) / (0.2 * 1000))</f>
        <v>0.62986547085201794</v>
      </c>
    </row>
    <row r="138" spans="1:5">
      <c r="A138" s="32">
        <v>46233</v>
      </c>
      <c r="B138" s="27" t="s">
        <v>237</v>
      </c>
      <c r="C138" s="27" t="s">
        <v>365</v>
      </c>
      <c r="D138" s="27">
        <v>0.224</v>
      </c>
      <c r="E138" s="27">
        <f xml:space="preserve"> ((((D138 + 0.03492) / 0.001784) * 0.8 * 1) / (0.2 * 1000))</f>
        <v>0.58053811659192822</v>
      </c>
    </row>
    <row r="139" spans="1:5">
      <c r="A139" s="32">
        <v>46233</v>
      </c>
      <c r="B139" s="27" t="s">
        <v>237</v>
      </c>
      <c r="C139" s="27" t="s">
        <v>366</v>
      </c>
      <c r="D139" s="27">
        <v>0.217</v>
      </c>
      <c r="E139" s="27">
        <f xml:space="preserve"> ((((D139 + 0.03492) / 0.001784) * 0.8 * 1) / (0.2 * 1000))</f>
        <v>0.5648430493273543</v>
      </c>
    </row>
    <row r="140" spans="1:5">
      <c r="A140" s="32">
        <v>46233</v>
      </c>
      <c r="B140" s="27" t="s">
        <v>237</v>
      </c>
      <c r="C140" s="27" t="s">
        <v>367</v>
      </c>
      <c r="D140" s="27">
        <v>0.218</v>
      </c>
      <c r="E140" s="27">
        <f xml:space="preserve"> ((((D140 + 0.03492) / 0.001784) * 0.8 * 1) / (0.2 * 1000))</f>
        <v>0.5670852017937219</v>
      </c>
    </row>
    <row r="141" spans="1:5">
      <c r="A141" s="32">
        <v>46233</v>
      </c>
      <c r="B141" s="27" t="s">
        <v>237</v>
      </c>
      <c r="C141" s="27" t="s">
        <v>368</v>
      </c>
      <c r="D141" s="27">
        <v>0.21099999999999999</v>
      </c>
      <c r="E141" s="27">
        <f xml:space="preserve"> ((((D141 + 0.03492) / 0.001784) * 0.8 * 1) / (0.2 * 1000))</f>
        <v>0.55139013452914798</v>
      </c>
    </row>
    <row r="142" spans="1:5">
      <c r="A142" s="32">
        <v>46233</v>
      </c>
      <c r="B142" s="27" t="s">
        <v>237</v>
      </c>
      <c r="C142" s="27" t="s">
        <v>369</v>
      </c>
      <c r="D142" s="27">
        <v>0.20899999999999999</v>
      </c>
      <c r="E142" s="27">
        <f xml:space="preserve"> ((((D142 + 0.03492) / 0.001784) * 0.8 * 1) / (0.2 * 1000))</f>
        <v>0.54690582959641265</v>
      </c>
    </row>
    <row r="143" spans="1:5">
      <c r="A143" s="32">
        <v>46233</v>
      </c>
      <c r="B143" s="27" t="s">
        <v>237</v>
      </c>
      <c r="C143" s="39" t="s">
        <v>370</v>
      </c>
      <c r="D143" s="27">
        <v>0.216</v>
      </c>
      <c r="E143" s="27">
        <f xml:space="preserve"> ((((D143 + 0.03492) / 0.001784) * 0.8 * 1) / (0.2 * 1000))</f>
        <v>0.56260089686098658</v>
      </c>
    </row>
    <row r="144" spans="1:5">
      <c r="A144" s="32">
        <v>46233</v>
      </c>
      <c r="B144" s="27" t="s">
        <v>237</v>
      </c>
      <c r="C144" s="39" t="s">
        <v>371</v>
      </c>
      <c r="D144" s="27">
        <v>0.24</v>
      </c>
      <c r="E144" s="27">
        <f xml:space="preserve"> ((((D144 + 0.03492) / 0.001784) * 0.8 * 1) / (0.2 * 1000))</f>
        <v>0.61641255605381162</v>
      </c>
    </row>
    <row r="145" spans="1:5">
      <c r="A145" s="32">
        <v>46233</v>
      </c>
      <c r="B145" s="27" t="s">
        <v>237</v>
      </c>
      <c r="C145" s="39" t="s">
        <v>372</v>
      </c>
      <c r="D145" s="27">
        <v>0.16500000000000001</v>
      </c>
      <c r="E145" s="27">
        <f xml:space="preserve"> ((((D145 + 0.03492) / 0.001784) * 0.8 * 1) / (0.2 * 1000))</f>
        <v>0.44825112107623327</v>
      </c>
    </row>
    <row r="146" spans="1:5">
      <c r="A146" s="32">
        <v>46233</v>
      </c>
      <c r="B146" s="27" t="s">
        <v>237</v>
      </c>
      <c r="C146" s="39" t="s">
        <v>373</v>
      </c>
      <c r="D146" s="27">
        <v>0.27500000000000002</v>
      </c>
      <c r="E146" s="27">
        <f xml:space="preserve"> ((((D146 + 0.03492) / 0.001784) * 0.8 * 1) / (0.2 * 1000))</f>
        <v>0.69488789237668169</v>
      </c>
    </row>
    <row r="147" spans="1:5">
      <c r="A147" s="32">
        <v>46233</v>
      </c>
      <c r="B147" s="27" t="s">
        <v>237</v>
      </c>
      <c r="C147" s="39" t="s">
        <v>374</v>
      </c>
      <c r="D147" s="27">
        <v>0.28599999999999998</v>
      </c>
      <c r="E147" s="27">
        <f xml:space="preserve"> ((((D147 + 0.03492) / 0.001784) * 0.8 * 1) / (0.2 * 1000))</f>
        <v>0.7195515695067265</v>
      </c>
    </row>
    <row r="148" spans="1:5">
      <c r="A148" s="32">
        <v>46233</v>
      </c>
      <c r="B148" s="27" t="s">
        <v>237</v>
      </c>
      <c r="C148" s="28" t="s">
        <v>375</v>
      </c>
      <c r="D148" s="27">
        <v>0.2</v>
      </c>
      <c r="E148" s="27">
        <f xml:space="preserve"> ((((D148 + 0.03492) / 0.001784) * 0.8 * 1) / (0.2 * 1000))</f>
        <v>0.52672645739910318</v>
      </c>
    </row>
    <row r="149" spans="1:5">
      <c r="A149" s="32">
        <v>46233</v>
      </c>
      <c r="B149" s="27" t="s">
        <v>237</v>
      </c>
      <c r="C149" s="28" t="s">
        <v>376</v>
      </c>
      <c r="D149" s="27">
        <v>0.17599999999999999</v>
      </c>
      <c r="E149" s="27">
        <f xml:space="preserve"> ((((D149 + 0.03492) / 0.001784) * 0.8 * 1) / (0.2 * 1000))</f>
        <v>0.47291479820627808</v>
      </c>
    </row>
    <row r="150" spans="1:5">
      <c r="A150" s="32">
        <v>46233</v>
      </c>
      <c r="B150" s="27" t="s">
        <v>237</v>
      </c>
      <c r="C150" s="28" t="s">
        <v>377</v>
      </c>
      <c r="D150" s="27">
        <v>0.22800000000000001</v>
      </c>
      <c r="E150" s="27">
        <f xml:space="preserve"> ((((D150 + 0.03492) / 0.001784) * 0.8 * 1) / (0.2 * 1000))</f>
        <v>0.5895067264573991</v>
      </c>
    </row>
    <row r="151" spans="1:5">
      <c r="A151" s="32">
        <v>46233</v>
      </c>
      <c r="B151" s="27" t="s">
        <v>237</v>
      </c>
      <c r="C151" s="28" t="s">
        <v>378</v>
      </c>
      <c r="D151" s="27">
        <v>0.156</v>
      </c>
      <c r="E151" s="27">
        <f xml:space="preserve"> ((((D151 + 0.03492) / 0.001784) * 0.8 * 1) / (0.2 * 1000))</f>
        <v>0.4280717488789238</v>
      </c>
    </row>
    <row r="152" spans="1:5">
      <c r="A152" s="32">
        <v>46233</v>
      </c>
      <c r="B152" s="27" t="s">
        <v>237</v>
      </c>
      <c r="C152" s="27" t="s">
        <v>379</v>
      </c>
      <c r="D152" s="27">
        <v>0.23</v>
      </c>
      <c r="E152" s="27">
        <f xml:space="preserve"> ((((D152 + 0.03492) / 0.001784) * 0.8 * 1) / (0.2 * 1000))</f>
        <v>0.59399103139013443</v>
      </c>
    </row>
    <row r="153" spans="1:5">
      <c r="A153" s="32">
        <v>46233</v>
      </c>
      <c r="B153" s="27" t="s">
        <v>237</v>
      </c>
      <c r="C153" s="27" t="s">
        <v>380</v>
      </c>
      <c r="D153" s="27">
        <v>0.26200000000000001</v>
      </c>
      <c r="E153" s="27">
        <f xml:space="preserve"> ((((D153 + 0.03492) / 0.001784) * 0.8 * 1) / (0.2 * 1000))</f>
        <v>0.66573991031390145</v>
      </c>
    </row>
    <row r="154" spans="1:5">
      <c r="A154" s="32">
        <v>46233</v>
      </c>
      <c r="B154" s="27" t="s">
        <v>237</v>
      </c>
      <c r="C154" s="27" t="s">
        <v>381</v>
      </c>
      <c r="D154" s="27">
        <v>0.224</v>
      </c>
      <c r="E154" s="27">
        <f xml:space="preserve"> ((((D154 + 0.03492) / 0.001784) * 0.8 * 1) / (0.2 * 1000))</f>
        <v>0.58053811659192822</v>
      </c>
    </row>
    <row r="155" spans="1:5">
      <c r="A155" s="32">
        <v>46233</v>
      </c>
      <c r="B155" s="27" t="s">
        <v>237</v>
      </c>
      <c r="C155" s="27" t="s">
        <v>382</v>
      </c>
      <c r="D155" s="27">
        <v>0.28999999999999998</v>
      </c>
      <c r="E155" s="27">
        <f xml:space="preserve"> ((((D155 + 0.03492) / 0.001784) * 0.8 * 1) / (0.2 * 1000))</f>
        <v>0.72852017937219726</v>
      </c>
    </row>
    <row r="156" spans="1:5">
      <c r="A156" s="32">
        <v>46233</v>
      </c>
      <c r="B156" s="27" t="s">
        <v>237</v>
      </c>
      <c r="C156" s="27" t="s">
        <v>383</v>
      </c>
      <c r="D156" s="27">
        <v>0.26</v>
      </c>
      <c r="E156" s="27">
        <f xml:space="preserve"> ((((D156 + 0.03492) / 0.001784) * 0.8 * 1) / (0.2 * 1000))</f>
        <v>0.66125560538116601</v>
      </c>
    </row>
    <row r="157" spans="1:5">
      <c r="A157" s="32">
        <v>46233</v>
      </c>
      <c r="B157" s="27" t="s">
        <v>237</v>
      </c>
      <c r="C157" s="27" t="s">
        <v>384</v>
      </c>
      <c r="D157" s="27">
        <v>0.28199999999999997</v>
      </c>
      <c r="E157" s="27">
        <f xml:space="preserve"> ((((D157 + 0.03492) / 0.001784) * 0.8 * 1) / (0.2 * 1000))</f>
        <v>0.71058295964125562</v>
      </c>
    </row>
    <row r="158" spans="1:5">
      <c r="A158" s="32">
        <v>46233</v>
      </c>
      <c r="B158" s="27" t="s">
        <v>237</v>
      </c>
      <c r="C158" s="27" t="s">
        <v>385</v>
      </c>
      <c r="D158" s="27">
        <v>0.246</v>
      </c>
      <c r="E158" s="27">
        <f xml:space="preserve"> ((((D158 + 0.03492) / 0.001784) * 0.8 * 1) / (0.2 * 1000))</f>
        <v>0.62986547085201794</v>
      </c>
    </row>
    <row r="159" spans="1:5">
      <c r="A159" s="32">
        <v>46233</v>
      </c>
      <c r="B159" s="27" t="s">
        <v>237</v>
      </c>
      <c r="C159" s="27" t="s">
        <v>386</v>
      </c>
      <c r="D159" s="27">
        <v>0.26300000000000001</v>
      </c>
      <c r="E159" s="27">
        <f xml:space="preserve"> ((((D159 + 0.03492) / 0.001784) * 0.8 * 1) / (0.2 * 1000))</f>
        <v>0.66798206278026906</v>
      </c>
    </row>
    <row r="160" spans="1:5">
      <c r="A160" s="32">
        <v>46233</v>
      </c>
      <c r="B160" s="27" t="s">
        <v>237</v>
      </c>
      <c r="C160" s="27" t="s">
        <v>387</v>
      </c>
      <c r="D160" s="27">
        <v>0.26200000000000001</v>
      </c>
      <c r="E160" s="27">
        <f xml:space="preserve"> ((((D160 + 0.03492) / 0.001784) * 0.8 * 1) / (0.2 * 1000))</f>
        <v>0.66573991031390145</v>
      </c>
    </row>
    <row r="161" spans="1:5">
      <c r="A161" s="32">
        <v>46233</v>
      </c>
      <c r="B161" s="27" t="s">
        <v>237</v>
      </c>
      <c r="C161" s="27" t="s">
        <v>388</v>
      </c>
      <c r="D161" s="27">
        <v>0.308</v>
      </c>
      <c r="E161" s="27">
        <f xml:space="preserve"> ((((D161 + 0.03492) / 0.001784) * 0.8 * 1) / (0.2 * 1000))</f>
        <v>0.76887892376681621</v>
      </c>
    </row>
    <row r="162" spans="1:5">
      <c r="A162" s="32">
        <v>46233</v>
      </c>
      <c r="B162" s="27" t="s">
        <v>237</v>
      </c>
      <c r="C162" s="27" t="s">
        <v>389</v>
      </c>
      <c r="D162" s="27">
        <v>0.3</v>
      </c>
      <c r="E162" s="27">
        <f xml:space="preserve"> ((((D162 + 0.03492) / 0.001784) * 0.8 * 1) / (0.2 * 1000))</f>
        <v>0.75094170403587446</v>
      </c>
    </row>
    <row r="163" spans="1:5">
      <c r="A163" s="32">
        <v>46233</v>
      </c>
      <c r="B163" s="27" t="s">
        <v>237</v>
      </c>
      <c r="C163" s="27" t="s">
        <v>390</v>
      </c>
      <c r="D163" s="27">
        <v>0.316</v>
      </c>
      <c r="E163" s="27">
        <f xml:space="preserve"> ((((D163 + 0.03492) / 0.001784) * 0.8 * 1) / (0.2 * 1000))</f>
        <v>0.78681614349775786</v>
      </c>
    </row>
    <row r="164" spans="1:5">
      <c r="A164" s="32">
        <v>46233</v>
      </c>
      <c r="B164" s="27" t="s">
        <v>237</v>
      </c>
      <c r="C164" s="27" t="s">
        <v>391</v>
      </c>
      <c r="D164" s="27">
        <v>0.35899999999999999</v>
      </c>
      <c r="E164" s="27">
        <f xml:space="preserve"> ((((D164 + 0.03492) / 0.001784) * 0.8 * 1) / (0.2 * 1000))</f>
        <v>0.88322869955156957</v>
      </c>
    </row>
    <row r="165" spans="1:5">
      <c r="A165" s="32">
        <v>46233</v>
      </c>
      <c r="B165" s="27" t="s">
        <v>237</v>
      </c>
      <c r="C165" s="27" t="s">
        <v>392</v>
      </c>
      <c r="D165" s="27">
        <v>0.34300000000000003</v>
      </c>
      <c r="E165" s="27">
        <f xml:space="preserve"> ((((D165 + 0.03492) / 0.001784) * 0.8 * 1) / (0.2 * 1000))</f>
        <v>0.84735426008968617</v>
      </c>
    </row>
    <row r="166" spans="1:5">
      <c r="A166" s="32">
        <v>46233</v>
      </c>
      <c r="B166" s="27" t="s">
        <v>237</v>
      </c>
      <c r="C166" s="27" t="s">
        <v>393</v>
      </c>
      <c r="D166" s="27">
        <v>0.26300000000000001</v>
      </c>
      <c r="E166" s="27">
        <f xml:space="preserve"> ((((D166 + 0.03492) / 0.001784) * 0.8 * 1) / (0.2 * 1000))</f>
        <v>0.66798206278026906</v>
      </c>
    </row>
    <row r="167" spans="1:5">
      <c r="A167" s="32">
        <v>46233</v>
      </c>
      <c r="B167" s="27" t="s">
        <v>237</v>
      </c>
      <c r="C167" s="27" t="s">
        <v>394</v>
      </c>
      <c r="D167" s="27">
        <v>0.19500000000000001</v>
      </c>
      <c r="E167" s="27">
        <f xml:space="preserve"> ((((D167 + 0.03492) / 0.001784) * 0.8 * 1) / (0.2 * 1000))</f>
        <v>0.51551569506726458</v>
      </c>
    </row>
    <row r="168" spans="1:5">
      <c r="A168" s="32">
        <v>46233</v>
      </c>
      <c r="B168" s="27" t="s">
        <v>237</v>
      </c>
      <c r="C168" s="27" t="s">
        <v>395</v>
      </c>
      <c r="D168" s="27">
        <v>0.221</v>
      </c>
      <c r="E168" s="27">
        <f xml:space="preserve"> ((((D168 + 0.03492) / 0.001784) * 0.8 * 1) / (0.2 * 1000))</f>
        <v>0.57381165919282517</v>
      </c>
    </row>
    <row r="169" spans="1:5">
      <c r="A169" s="32">
        <v>46233</v>
      </c>
      <c r="B169" s="27" t="s">
        <v>237</v>
      </c>
      <c r="C169" s="27" t="s">
        <v>396</v>
      </c>
      <c r="D169" s="27">
        <v>0.23</v>
      </c>
      <c r="E169" s="27">
        <f xml:space="preserve"> ((((D169 + 0.03492) / 0.001784) * 0.8 * 1) / (0.2 * 1000))</f>
        <v>0.59399103139013443</v>
      </c>
    </row>
    <row r="170" spans="1:5">
      <c r="A170" s="32">
        <v>46233</v>
      </c>
      <c r="B170" s="27" t="s">
        <v>237</v>
      </c>
      <c r="C170" s="27" t="s">
        <v>397</v>
      </c>
      <c r="D170" s="27">
        <v>0.27400000000000002</v>
      </c>
      <c r="E170" s="27">
        <f xml:space="preserve"> ((((D170 + 0.03492) / 0.001784) * 0.8 * 1) / (0.2 * 1000))</f>
        <v>0.69264573991031397</v>
      </c>
    </row>
    <row r="171" spans="1:5">
      <c r="A171" s="32">
        <v>46233</v>
      </c>
      <c r="B171" s="27" t="s">
        <v>237</v>
      </c>
      <c r="C171" s="27" t="s">
        <v>398</v>
      </c>
      <c r="D171" s="27">
        <v>0.32100000000000001</v>
      </c>
      <c r="E171" s="27">
        <f xml:space="preserve"> ((((D171 + 0.03492) / 0.001784) * 0.8 * 1) / (0.2 * 1000))</f>
        <v>0.79802690582959657</v>
      </c>
    </row>
    <row r="172" spans="1:5">
      <c r="A172" s="32">
        <v>46233</v>
      </c>
      <c r="B172" s="27" t="s">
        <v>237</v>
      </c>
      <c r="C172" s="27" t="s">
        <v>399</v>
      </c>
      <c r="D172" s="27">
        <v>0.28899999999999998</v>
      </c>
      <c r="E172" s="27">
        <f xml:space="preserve"> ((((D172 + 0.03492) / 0.001784) * 0.8 * 1) / (0.2 * 1000))</f>
        <v>0.72627802690582965</v>
      </c>
    </row>
    <row r="173" spans="1:5">
      <c r="A173" s="32">
        <v>46233</v>
      </c>
      <c r="B173" s="27" t="s">
        <v>237</v>
      </c>
      <c r="C173" s="27" t="s">
        <v>400</v>
      </c>
      <c r="D173" s="27">
        <v>0.307</v>
      </c>
      <c r="E173" s="27">
        <f xml:space="preserve"> ((((D173 + 0.03492) / 0.001784) * 0.8 * 1) / (0.2 * 1000))</f>
        <v>0.76663677130044849</v>
      </c>
    </row>
    <row r="174" spans="1:5">
      <c r="A174" s="32">
        <v>46233</v>
      </c>
      <c r="B174" s="27" t="s">
        <v>237</v>
      </c>
      <c r="C174" s="27" t="s">
        <v>401</v>
      </c>
      <c r="D174" s="27">
        <v>0.34499999999999997</v>
      </c>
      <c r="E174" s="27">
        <f xml:space="preserve"> ((((D174 + 0.03492) / 0.001784) * 0.8 * 1) / (0.2 * 1000))</f>
        <v>0.8518385650224215</v>
      </c>
    </row>
    <row r="175" spans="1:5">
      <c r="A175" s="32">
        <v>46233</v>
      </c>
      <c r="B175" s="27" t="s">
        <v>237</v>
      </c>
      <c r="C175" s="27" t="s">
        <v>402</v>
      </c>
      <c r="D175" s="27">
        <v>0.35899999999999999</v>
      </c>
      <c r="E175" s="27">
        <f xml:space="preserve"> ((((D175 + 0.03492) / 0.001784) * 0.8 * 1) / (0.2 * 1000))</f>
        <v>0.88322869955156957</v>
      </c>
    </row>
    <row r="176" spans="1:5">
      <c r="A176" s="32">
        <v>46233</v>
      </c>
      <c r="B176" s="27" t="s">
        <v>237</v>
      </c>
      <c r="C176" s="27" t="s">
        <v>403</v>
      </c>
      <c r="D176" s="27">
        <v>0.33100000000000002</v>
      </c>
      <c r="E176" s="27">
        <f xml:space="preserve"> ((((D176 + 0.03492) / 0.001784) * 0.8 * 1) / (0.2 * 1000))</f>
        <v>0.82044843049327365</v>
      </c>
    </row>
    <row r="177" spans="1:8">
      <c r="A177" s="32">
        <v>46233</v>
      </c>
      <c r="B177" s="27" t="s">
        <v>237</v>
      </c>
      <c r="C177" s="27" t="s">
        <v>404</v>
      </c>
      <c r="D177" s="27">
        <v>0.39</v>
      </c>
      <c r="E177" s="27">
        <f xml:space="preserve"> ((((D177 + 0.03492) / 0.001784) * 0.8 * 1) / (0.2 * 1000))</f>
        <v>0.95273542600896866</v>
      </c>
    </row>
    <row r="178" spans="1:8">
      <c r="A178" s="32">
        <v>46233</v>
      </c>
      <c r="B178" s="27" t="s">
        <v>237</v>
      </c>
      <c r="C178" s="27" t="s">
        <v>405</v>
      </c>
      <c r="D178" s="27">
        <v>0.33600000000000002</v>
      </c>
      <c r="E178" s="27">
        <f xml:space="preserve"> ((((D178 + 0.03492) / 0.001784) * 0.8 * 1) / (0.2 * 1000))</f>
        <v>0.83165919282511225</v>
      </c>
    </row>
    <row r="179" spans="1:8">
      <c r="A179" s="32">
        <v>46233</v>
      </c>
      <c r="B179" s="27" t="s">
        <v>237</v>
      </c>
      <c r="C179" s="27" t="s">
        <v>406</v>
      </c>
      <c r="D179" s="27">
        <v>0.311</v>
      </c>
      <c r="E179" s="27">
        <f xml:space="preserve"> ((((D179 + 0.03492) / 0.001784) * 0.8 * 1) / (0.2 * 1000))</f>
        <v>0.77560538116591937</v>
      </c>
    </row>
    <row r="180" spans="1:8">
      <c r="A180" s="32">
        <v>46233</v>
      </c>
      <c r="B180" s="27" t="s">
        <v>237</v>
      </c>
      <c r="C180" s="27" t="s">
        <v>407</v>
      </c>
      <c r="D180" s="27">
        <v>0.42</v>
      </c>
      <c r="E180" s="27">
        <f xml:space="preserve"> ((((D180 + 0.03492) / 0.001784) * 0.8 * 1) / (0.2 * 1000))</f>
        <v>1.02</v>
      </c>
    </row>
    <row r="181" spans="1:8">
      <c r="A181" s="32">
        <v>46233</v>
      </c>
      <c r="B181" s="27" t="s">
        <v>237</v>
      </c>
      <c r="C181" s="27" t="s">
        <v>408</v>
      </c>
      <c r="D181" s="27">
        <v>0.39900000000000002</v>
      </c>
      <c r="E181" s="27">
        <f xml:space="preserve"> ((((D181 + 0.03492) / 0.001784) * 0.8 * 1) / (0.2 * 1000))</f>
        <v>0.97291479820627813</v>
      </c>
    </row>
    <row r="182" spans="1:8">
      <c r="A182" s="32">
        <v>46233</v>
      </c>
      <c r="B182" s="27" t="s">
        <v>237</v>
      </c>
      <c r="C182" s="27" t="s">
        <v>409</v>
      </c>
      <c r="D182" s="27">
        <v>0.40200000000000002</v>
      </c>
      <c r="E182" s="27">
        <f xml:space="preserve"> ((((D182 + 0.03492) / 0.001784) * 0.8 * 1) / (0.2 * 1000))</f>
        <v>0.9796412556053814</v>
      </c>
    </row>
    <row r="183" spans="1:8">
      <c r="A183" s="32">
        <v>46233</v>
      </c>
      <c r="B183" s="27" t="s">
        <v>237</v>
      </c>
      <c r="C183" s="27" t="s">
        <v>410</v>
      </c>
      <c r="D183" s="27">
        <v>0.45800000000000002</v>
      </c>
      <c r="E183" s="27">
        <f xml:space="preserve"> ((((D183 + 0.03492) / 0.001784) * 0.8 * 1) / (0.2 * 1000))</f>
        <v>1.1052017937219734</v>
      </c>
    </row>
    <row r="184" spans="1:8">
      <c r="A184" s="32">
        <v>46233</v>
      </c>
      <c r="B184" s="27" t="s">
        <v>237</v>
      </c>
      <c r="C184" s="27" t="s">
        <v>411</v>
      </c>
      <c r="D184" s="27">
        <v>0.20699999999999999</v>
      </c>
      <c r="E184" s="27">
        <f xml:space="preserve"> ((((D184 + 0.03492) / 0.001784) * 0.8 * 1) / (0.2 * 1000))</f>
        <v>0.5424215246636771</v>
      </c>
      <c r="F184" s="37" t="s">
        <v>412</v>
      </c>
      <c r="H184" s="27" t="s">
        <v>413</v>
      </c>
    </row>
    <row r="185" spans="1:8">
      <c r="A185" s="32">
        <v>46233</v>
      </c>
      <c r="B185" s="27" t="s">
        <v>237</v>
      </c>
      <c r="C185" s="27" t="s">
        <v>414</v>
      </c>
      <c r="D185" s="27">
        <v>0.188</v>
      </c>
      <c r="E185" s="27">
        <f xml:space="preserve"> ((((D185 + 0.03492) / 0.001784) * 0.8 * 1) / (0.2 * 1000))</f>
        <v>0.4998206278026906</v>
      </c>
      <c r="F185" s="37" t="s">
        <v>415</v>
      </c>
    </row>
    <row r="186" spans="1:8">
      <c r="A186" s="32">
        <v>46233</v>
      </c>
      <c r="B186" s="27" t="s">
        <v>237</v>
      </c>
      <c r="C186" s="27" t="s">
        <v>416</v>
      </c>
      <c r="D186" s="27">
        <v>0.22700000000000001</v>
      </c>
      <c r="E186" s="27">
        <f xml:space="preserve"> ((((D186 + 0.03492) / 0.001784) * 0.8 * 1) / (0.2 * 1000))</f>
        <v>0.58726457399103138</v>
      </c>
      <c r="F186" s="37" t="s">
        <v>417</v>
      </c>
    </row>
    <row r="187" spans="1:8">
      <c r="A187" s="32">
        <v>46233</v>
      </c>
      <c r="B187" s="27" t="s">
        <v>237</v>
      </c>
      <c r="C187" s="27" t="s">
        <v>418</v>
      </c>
      <c r="D187" s="27">
        <v>0.17399999999999999</v>
      </c>
      <c r="E187" s="27">
        <f xml:space="preserve"> ((((D187 + 0.03492) / 0.001784) * 0.8 * 1) / (0.2 * 1000))</f>
        <v>0.46843049327354264</v>
      </c>
      <c r="F187" s="37" t="s">
        <v>419</v>
      </c>
    </row>
  </sheetData>
  <mergeCells count="2">
    <mergeCell ref="E1:G1"/>
    <mergeCell ref="F2: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59488-1690-480C-A08F-867A7A4B6C64}">
  <dimension ref="A1:I10"/>
  <sheetViews>
    <sheetView zoomScaleNormal="150" zoomScaleSheetLayoutView="100" workbookViewId="0"/>
  </sheetViews>
  <sheetFormatPr defaultRowHeight="16.5"/>
  <sheetData>
    <row r="1" spans="1:9">
      <c r="A1" t="s">
        <v>204</v>
      </c>
      <c r="B1" t="s">
        <v>205</v>
      </c>
      <c r="C1" t="s">
        <v>206</v>
      </c>
      <c r="D1" t="s">
        <v>420</v>
      </c>
      <c r="E1" s="55" t="s">
        <v>421</v>
      </c>
      <c r="F1" s="55"/>
      <c r="G1" s="55"/>
      <c r="I1" t="s">
        <v>221</v>
      </c>
    </row>
    <row r="2" spans="1:9">
      <c r="A2" s="8"/>
      <c r="D2" s="12"/>
      <c r="E2" s="12">
        <f>((((D2 - 0.0704) / 0.0128) * 20) * 170.12 / 1000000) / 0.02</f>
        <v>-0.93565999999999994</v>
      </c>
      <c r="I2" t="s">
        <v>422</v>
      </c>
    </row>
    <row r="3" spans="1:9">
      <c r="A3" s="16"/>
      <c r="D3" s="12"/>
      <c r="E3" s="12"/>
      <c r="I3" t="s">
        <v>423</v>
      </c>
    </row>
    <row r="4" spans="1:9">
      <c r="A4" s="16"/>
      <c r="D4" s="12"/>
      <c r="E4" s="12"/>
      <c r="I4" t="s">
        <v>424</v>
      </c>
    </row>
    <row r="5" spans="1:9">
      <c r="A5" s="16"/>
      <c r="D5" s="12"/>
      <c r="E5" s="12"/>
    </row>
    <row r="6" spans="1:9">
      <c r="A6" s="13"/>
      <c r="B6" s="12"/>
      <c r="C6" s="12"/>
      <c r="D6" s="12"/>
      <c r="E6" s="12"/>
    </row>
    <row r="7" spans="1:9">
      <c r="A7" s="8"/>
    </row>
    <row r="8" spans="1:9">
      <c r="A8" s="8"/>
    </row>
    <row r="9" spans="1:9">
      <c r="A9" s="8"/>
    </row>
    <row r="10" spans="1:9">
      <c r="A10" s="8"/>
    </row>
  </sheetData>
  <mergeCells count="1">
    <mergeCell ref="E1:G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B0ACB-3053-4F8C-873E-A0BAFC11CFF7}">
  <dimension ref="A1:K154"/>
  <sheetViews>
    <sheetView zoomScaleNormal="150" zoomScaleSheetLayoutView="100" workbookViewId="0"/>
  </sheetViews>
  <sheetFormatPr defaultRowHeight="16.5"/>
  <cols>
    <col min="2" max="2" width="11.125" bestFit="1" customWidth="1"/>
    <col min="3" max="3" width="9.75" bestFit="1" customWidth="1"/>
    <col min="4" max="4" width="13.25" bestFit="1" customWidth="1"/>
    <col min="5" max="5" width="7.125" bestFit="1" customWidth="1"/>
    <col min="6" max="6" width="23.75" bestFit="1" customWidth="1"/>
    <col min="7" max="7" width="24.5" bestFit="1" customWidth="1"/>
    <col min="8" max="8" width="20.5" bestFit="1" customWidth="1"/>
    <col min="9" max="9" width="20.75" bestFit="1" customWidth="1"/>
    <col min="10" max="10" width="20.875" customWidth="1"/>
    <col min="11" max="11" width="21.625" customWidth="1"/>
  </cols>
  <sheetData>
    <row r="1" spans="1:11">
      <c r="A1" s="17" t="s">
        <v>0</v>
      </c>
      <c r="B1" s="17" t="s">
        <v>1</v>
      </c>
      <c r="C1" s="17" t="s">
        <v>2</v>
      </c>
      <c r="D1" s="17" t="s">
        <v>3</v>
      </c>
      <c r="E1" s="17" t="s">
        <v>4</v>
      </c>
      <c r="F1" s="17" t="s">
        <v>5</v>
      </c>
      <c r="G1" s="17" t="s">
        <v>6</v>
      </c>
      <c r="H1" s="17" t="s">
        <v>9</v>
      </c>
      <c r="I1" s="17" t="s">
        <v>10</v>
      </c>
      <c r="J1" t="s">
        <v>425</v>
      </c>
      <c r="K1" t="s">
        <v>426</v>
      </c>
    </row>
    <row r="2" spans="1:11">
      <c r="A2" s="18">
        <v>1</v>
      </c>
      <c r="B2" s="18" t="s">
        <v>427</v>
      </c>
      <c r="C2" s="18" t="s">
        <v>98</v>
      </c>
      <c r="D2" s="19">
        <v>46226</v>
      </c>
      <c r="E2" s="18" t="s">
        <v>13</v>
      </c>
      <c r="F2" s="18">
        <v>132</v>
      </c>
      <c r="G2" s="18">
        <v>4</v>
      </c>
      <c r="H2" s="18">
        <v>1168</v>
      </c>
      <c r="I2" s="18">
        <v>6</v>
      </c>
    </row>
    <row r="3" spans="1:11">
      <c r="A3" s="18">
        <v>2</v>
      </c>
      <c r="B3" s="18" t="s">
        <v>428</v>
      </c>
      <c r="C3" s="18"/>
      <c r="D3" s="19"/>
      <c r="E3" s="18"/>
      <c r="F3" s="18">
        <v>3440</v>
      </c>
      <c r="G3" s="18">
        <v>10</v>
      </c>
      <c r="H3" s="18">
        <v>3040</v>
      </c>
      <c r="I3" s="18">
        <v>10</v>
      </c>
    </row>
    <row r="4" spans="1:11">
      <c r="A4" s="18">
        <v>3</v>
      </c>
      <c r="B4" s="18" t="s">
        <v>429</v>
      </c>
      <c r="C4" s="18"/>
      <c r="D4" s="19"/>
      <c r="E4" s="18"/>
      <c r="F4" s="18">
        <v>644</v>
      </c>
      <c r="G4" s="18">
        <v>2</v>
      </c>
      <c r="H4" s="18">
        <v>1084</v>
      </c>
      <c r="I4" s="18">
        <v>3</v>
      </c>
    </row>
    <row r="5" spans="1:11">
      <c r="A5" s="18">
        <v>4</v>
      </c>
      <c r="B5" s="18" t="s">
        <v>430</v>
      </c>
      <c r="C5" s="18"/>
      <c r="D5" s="19"/>
      <c r="E5" s="18"/>
      <c r="F5" s="18">
        <v>882</v>
      </c>
      <c r="G5" s="18">
        <v>3</v>
      </c>
      <c r="H5" s="18">
        <v>1637</v>
      </c>
      <c r="I5" s="18">
        <v>5</v>
      </c>
    </row>
    <row r="6" spans="1:11">
      <c r="A6" s="18">
        <v>5</v>
      </c>
      <c r="B6" s="18" t="s">
        <v>431</v>
      </c>
      <c r="C6" s="18"/>
      <c r="D6" s="19"/>
      <c r="E6" s="18"/>
      <c r="F6" s="18">
        <v>800</v>
      </c>
      <c r="G6" s="18">
        <v>3</v>
      </c>
      <c r="H6" s="18">
        <v>668</v>
      </c>
      <c r="I6" s="18">
        <v>3</v>
      </c>
    </row>
    <row r="7" spans="1:11">
      <c r="A7" s="18">
        <v>6</v>
      </c>
      <c r="B7" s="18" t="s">
        <v>432</v>
      </c>
      <c r="C7" s="18"/>
      <c r="D7" s="19"/>
      <c r="E7" s="18"/>
      <c r="F7" s="18">
        <v>1308</v>
      </c>
      <c r="G7" s="18">
        <v>5</v>
      </c>
      <c r="H7" s="18">
        <v>1324</v>
      </c>
      <c r="I7" s="18">
        <v>4</v>
      </c>
    </row>
    <row r="8" spans="1:11">
      <c r="A8">
        <v>7</v>
      </c>
      <c r="B8" t="s">
        <v>433</v>
      </c>
      <c r="F8">
        <v>1772</v>
      </c>
      <c r="G8">
        <v>6</v>
      </c>
      <c r="H8">
        <v>707</v>
      </c>
      <c r="I8">
        <v>4</v>
      </c>
    </row>
    <row r="9" spans="1:11">
      <c r="A9">
        <v>8</v>
      </c>
      <c r="B9" t="s">
        <v>434</v>
      </c>
      <c r="F9">
        <v>721</v>
      </c>
      <c r="G9">
        <v>3</v>
      </c>
      <c r="H9">
        <v>707</v>
      </c>
      <c r="I9">
        <v>4</v>
      </c>
    </row>
    <row r="10" spans="1:11">
      <c r="A10">
        <v>9</v>
      </c>
      <c r="B10" t="s">
        <v>435</v>
      </c>
      <c r="F10">
        <v>916</v>
      </c>
      <c r="G10">
        <v>4</v>
      </c>
      <c r="H10">
        <v>1143</v>
      </c>
      <c r="I10">
        <v>4</v>
      </c>
    </row>
    <row r="11" spans="1:11">
      <c r="A11">
        <v>10</v>
      </c>
      <c r="B11" t="s">
        <v>436</v>
      </c>
      <c r="F11">
        <v>1057</v>
      </c>
      <c r="G11">
        <v>4</v>
      </c>
      <c r="H11">
        <v>1673</v>
      </c>
      <c r="I11">
        <v>6</v>
      </c>
    </row>
    <row r="12" spans="1:11">
      <c r="A12">
        <v>11</v>
      </c>
      <c r="B12" t="s">
        <v>437</v>
      </c>
      <c r="F12">
        <v>2603</v>
      </c>
      <c r="G12">
        <v>13</v>
      </c>
      <c r="H12">
        <v>1277</v>
      </c>
      <c r="I12">
        <v>4</v>
      </c>
    </row>
    <row r="13" spans="1:11">
      <c r="A13">
        <v>12</v>
      </c>
      <c r="B13" t="s">
        <v>438</v>
      </c>
      <c r="F13">
        <v>155</v>
      </c>
      <c r="G13">
        <v>1</v>
      </c>
      <c r="H13">
        <v>1023</v>
      </c>
      <c r="I13">
        <v>6</v>
      </c>
    </row>
    <row r="14" spans="1:11">
      <c r="A14">
        <v>13</v>
      </c>
      <c r="B14" t="s">
        <v>439</v>
      </c>
      <c r="F14">
        <v>0</v>
      </c>
      <c r="G14">
        <v>0</v>
      </c>
      <c r="H14">
        <v>694</v>
      </c>
      <c r="I14">
        <v>4</v>
      </c>
    </row>
    <row r="15" spans="1:11">
      <c r="A15">
        <v>14</v>
      </c>
      <c r="B15" t="s">
        <v>440</v>
      </c>
      <c r="F15">
        <v>1062</v>
      </c>
      <c r="G15">
        <v>4</v>
      </c>
      <c r="H15">
        <v>467</v>
      </c>
      <c r="I15">
        <v>3</v>
      </c>
    </row>
    <row r="16" spans="1:11">
      <c r="A16">
        <v>15</v>
      </c>
      <c r="B16" t="s">
        <v>441</v>
      </c>
      <c r="F16">
        <v>997</v>
      </c>
      <c r="G16">
        <v>3</v>
      </c>
      <c r="H16">
        <v>1315</v>
      </c>
      <c r="I16">
        <v>4</v>
      </c>
    </row>
    <row r="17" spans="1:9">
      <c r="A17">
        <v>16</v>
      </c>
      <c r="B17" t="s">
        <v>442</v>
      </c>
      <c r="F17">
        <v>208</v>
      </c>
      <c r="G17">
        <v>1</v>
      </c>
      <c r="H17">
        <v>0</v>
      </c>
      <c r="I17">
        <v>0</v>
      </c>
    </row>
    <row r="18" spans="1:9">
      <c r="A18">
        <v>17</v>
      </c>
      <c r="B18" t="s">
        <v>443</v>
      </c>
      <c r="F18">
        <v>1167</v>
      </c>
      <c r="G18">
        <v>4</v>
      </c>
      <c r="H18">
        <v>1093</v>
      </c>
      <c r="I18">
        <v>6</v>
      </c>
    </row>
    <row r="19" spans="1:9">
      <c r="A19">
        <v>18</v>
      </c>
      <c r="B19" t="s">
        <v>444</v>
      </c>
      <c r="F19">
        <v>862</v>
      </c>
      <c r="G19">
        <v>6</v>
      </c>
      <c r="H19">
        <v>425</v>
      </c>
      <c r="I19">
        <v>2</v>
      </c>
    </row>
    <row r="20" spans="1:9">
      <c r="A20">
        <v>19</v>
      </c>
      <c r="B20" t="s">
        <v>445</v>
      </c>
      <c r="F20">
        <v>439</v>
      </c>
      <c r="G20">
        <v>2</v>
      </c>
      <c r="H20">
        <v>0</v>
      </c>
      <c r="I20">
        <v>0</v>
      </c>
    </row>
    <row r="21" spans="1:9">
      <c r="A21">
        <v>20</v>
      </c>
      <c r="B21" t="s">
        <v>446</v>
      </c>
      <c r="F21">
        <v>2152</v>
      </c>
      <c r="G21">
        <v>54</v>
      </c>
      <c r="H21">
        <v>1086</v>
      </c>
      <c r="I21">
        <v>30</v>
      </c>
    </row>
    <row r="22" spans="1:9">
      <c r="A22">
        <v>21</v>
      </c>
      <c r="B22" t="s">
        <v>156</v>
      </c>
      <c r="F22">
        <v>474</v>
      </c>
      <c r="G22">
        <v>3</v>
      </c>
      <c r="H22">
        <v>0</v>
      </c>
      <c r="I22">
        <v>0</v>
      </c>
    </row>
    <row r="23" spans="1:9">
      <c r="A23">
        <v>22</v>
      </c>
      <c r="B23" t="s">
        <v>447</v>
      </c>
      <c r="F23">
        <v>1628</v>
      </c>
      <c r="G23">
        <v>6</v>
      </c>
      <c r="H23">
        <v>2182</v>
      </c>
      <c r="I23">
        <v>8</v>
      </c>
    </row>
    <row r="24" spans="1:9">
      <c r="A24">
        <v>23</v>
      </c>
      <c r="B24" t="s">
        <v>448</v>
      </c>
      <c r="F24">
        <v>0</v>
      </c>
      <c r="G24">
        <v>0</v>
      </c>
      <c r="H24">
        <v>1046</v>
      </c>
      <c r="I24">
        <v>3</v>
      </c>
    </row>
    <row r="25" spans="1:9">
      <c r="A25">
        <v>24</v>
      </c>
      <c r="B25" t="s">
        <v>105</v>
      </c>
      <c r="F25">
        <v>1355</v>
      </c>
      <c r="G25">
        <v>6</v>
      </c>
      <c r="H25">
        <v>2353</v>
      </c>
      <c r="I25">
        <v>10</v>
      </c>
    </row>
    <row r="26" spans="1:9">
      <c r="A26">
        <v>25</v>
      </c>
      <c r="B26" t="s">
        <v>449</v>
      </c>
      <c r="F26">
        <v>0</v>
      </c>
      <c r="G26">
        <v>0</v>
      </c>
      <c r="H26">
        <v>995</v>
      </c>
      <c r="I26">
        <v>3</v>
      </c>
    </row>
    <row r="27" spans="1:9">
      <c r="A27">
        <v>26</v>
      </c>
      <c r="B27" t="s">
        <v>450</v>
      </c>
      <c r="F27">
        <v>0</v>
      </c>
      <c r="G27">
        <v>0</v>
      </c>
      <c r="H27">
        <v>152</v>
      </c>
      <c r="I27">
        <v>1</v>
      </c>
    </row>
    <row r="28" spans="1:9">
      <c r="A28">
        <v>27</v>
      </c>
      <c r="B28" t="s">
        <v>451</v>
      </c>
      <c r="F28">
        <v>1085</v>
      </c>
      <c r="G28">
        <v>4</v>
      </c>
      <c r="H28">
        <v>0</v>
      </c>
      <c r="I28">
        <v>0</v>
      </c>
    </row>
    <row r="29" spans="1:9">
      <c r="A29">
        <v>28</v>
      </c>
      <c r="B29" t="s">
        <v>452</v>
      </c>
      <c r="F29">
        <v>722</v>
      </c>
      <c r="G29">
        <v>5</v>
      </c>
      <c r="H29">
        <v>141</v>
      </c>
      <c r="I29">
        <v>1</v>
      </c>
    </row>
    <row r="30" spans="1:9">
      <c r="A30">
        <v>29</v>
      </c>
      <c r="B30" t="s">
        <v>453</v>
      </c>
      <c r="F30">
        <v>0</v>
      </c>
      <c r="G30">
        <v>0</v>
      </c>
      <c r="H30">
        <v>212</v>
      </c>
      <c r="I30">
        <v>1</v>
      </c>
    </row>
    <row r="31" spans="1:9">
      <c r="A31">
        <v>30</v>
      </c>
      <c r="B31" t="s">
        <v>454</v>
      </c>
      <c r="F31">
        <v>568</v>
      </c>
      <c r="G31">
        <v>3</v>
      </c>
      <c r="H31">
        <v>1046</v>
      </c>
      <c r="I31">
        <v>10</v>
      </c>
    </row>
    <row r="32" spans="1:9">
      <c r="A32">
        <v>31</v>
      </c>
      <c r="B32" t="s">
        <v>455</v>
      </c>
      <c r="F32">
        <v>567</v>
      </c>
      <c r="G32">
        <v>3</v>
      </c>
      <c r="H32">
        <v>988</v>
      </c>
      <c r="I32">
        <v>4</v>
      </c>
    </row>
    <row r="33" spans="1:10">
      <c r="A33">
        <v>32</v>
      </c>
      <c r="B33" t="s">
        <v>456</v>
      </c>
      <c r="F33">
        <v>3105</v>
      </c>
      <c r="G33">
        <v>13</v>
      </c>
      <c r="H33">
        <v>1492</v>
      </c>
      <c r="I33">
        <v>6</v>
      </c>
    </row>
    <row r="34" spans="1:10">
      <c r="A34">
        <v>33</v>
      </c>
      <c r="B34" t="s">
        <v>457</v>
      </c>
      <c r="F34">
        <v>490</v>
      </c>
      <c r="G34">
        <v>1</v>
      </c>
      <c r="H34">
        <v>0</v>
      </c>
      <c r="I34">
        <v>0</v>
      </c>
    </row>
    <row r="35" spans="1:10">
      <c r="A35">
        <v>34</v>
      </c>
      <c r="B35" t="s">
        <v>458</v>
      </c>
      <c r="F35">
        <v>1392</v>
      </c>
      <c r="G35">
        <v>3</v>
      </c>
      <c r="H35">
        <v>0</v>
      </c>
      <c r="I35">
        <v>0</v>
      </c>
    </row>
    <row r="36" spans="1:10">
      <c r="A36">
        <v>35</v>
      </c>
      <c r="B36" t="s">
        <v>459</v>
      </c>
      <c r="F36">
        <v>1821</v>
      </c>
      <c r="G36">
        <v>7</v>
      </c>
      <c r="H36">
        <v>1984</v>
      </c>
      <c r="I36">
        <v>11</v>
      </c>
    </row>
    <row r="37" spans="1:10">
      <c r="A37">
        <v>36</v>
      </c>
      <c r="B37" t="s">
        <v>460</v>
      </c>
      <c r="F37">
        <v>583</v>
      </c>
      <c r="G37">
        <v>3</v>
      </c>
      <c r="H37">
        <v>865</v>
      </c>
      <c r="I37">
        <v>5</v>
      </c>
    </row>
    <row r="38" spans="1:10">
      <c r="A38">
        <v>37</v>
      </c>
      <c r="B38" t="s">
        <v>461</v>
      </c>
      <c r="F38">
        <v>147</v>
      </c>
      <c r="G38">
        <v>1</v>
      </c>
      <c r="H38">
        <v>267</v>
      </c>
      <c r="I38">
        <v>2</v>
      </c>
    </row>
    <row r="39" spans="1:10">
      <c r="A39">
        <v>38</v>
      </c>
      <c r="B39" t="s">
        <v>462</v>
      </c>
      <c r="F39">
        <v>647</v>
      </c>
      <c r="G39">
        <v>2</v>
      </c>
      <c r="H39">
        <v>797</v>
      </c>
      <c r="I39">
        <v>8</v>
      </c>
    </row>
    <row r="40" spans="1:10">
      <c r="A40">
        <v>39</v>
      </c>
      <c r="B40" t="s">
        <v>463</v>
      </c>
      <c r="F40">
        <v>2186</v>
      </c>
      <c r="G40">
        <v>9</v>
      </c>
      <c r="H40">
        <v>844</v>
      </c>
      <c r="I40">
        <v>5</v>
      </c>
    </row>
    <row r="41" spans="1:10">
      <c r="A41">
        <v>40</v>
      </c>
      <c r="B41" t="s">
        <v>464</v>
      </c>
      <c r="F41">
        <v>450</v>
      </c>
      <c r="G41">
        <v>3</v>
      </c>
      <c r="H41">
        <v>975</v>
      </c>
      <c r="I41">
        <v>5</v>
      </c>
    </row>
    <row r="42" spans="1:10">
      <c r="A42">
        <v>41</v>
      </c>
      <c r="B42" t="s">
        <v>465</v>
      </c>
      <c r="F42">
        <v>1259</v>
      </c>
      <c r="G42">
        <v>6</v>
      </c>
      <c r="H42">
        <v>583</v>
      </c>
      <c r="I42">
        <v>2</v>
      </c>
    </row>
    <row r="43" spans="1:10">
      <c r="A43">
        <v>42</v>
      </c>
      <c r="B43" t="s">
        <v>466</v>
      </c>
      <c r="F43">
        <v>1491</v>
      </c>
      <c r="G43">
        <v>5</v>
      </c>
      <c r="H43">
        <v>578</v>
      </c>
      <c r="I43">
        <v>2</v>
      </c>
    </row>
    <row r="44" spans="1:10">
      <c r="A44">
        <v>43</v>
      </c>
      <c r="B44" t="s">
        <v>467</v>
      </c>
      <c r="F44">
        <v>235</v>
      </c>
      <c r="G44">
        <v>1</v>
      </c>
      <c r="H44">
        <v>0</v>
      </c>
      <c r="I44">
        <v>0</v>
      </c>
      <c r="J44" t="s">
        <v>468</v>
      </c>
    </row>
    <row r="45" spans="1:10">
      <c r="A45">
        <v>44</v>
      </c>
      <c r="B45" t="s">
        <v>469</v>
      </c>
      <c r="F45">
        <v>481</v>
      </c>
      <c r="G45">
        <v>2</v>
      </c>
      <c r="H45">
        <v>718</v>
      </c>
      <c r="I45">
        <v>2</v>
      </c>
    </row>
    <row r="46" spans="1:10">
      <c r="A46">
        <v>45</v>
      </c>
      <c r="B46" t="s">
        <v>453</v>
      </c>
      <c r="F46">
        <v>0</v>
      </c>
      <c r="G46">
        <v>0</v>
      </c>
      <c r="H46">
        <v>2343</v>
      </c>
      <c r="I46">
        <v>6</v>
      </c>
    </row>
    <row r="47" spans="1:10">
      <c r="A47">
        <v>46</v>
      </c>
      <c r="B47" t="s">
        <v>470</v>
      </c>
      <c r="F47">
        <v>1669</v>
      </c>
      <c r="G47">
        <v>7</v>
      </c>
      <c r="H47">
        <v>1493</v>
      </c>
      <c r="I47">
        <v>7</v>
      </c>
    </row>
    <row r="48" spans="1:10">
      <c r="A48">
        <v>47</v>
      </c>
      <c r="B48" t="s">
        <v>471</v>
      </c>
      <c r="F48">
        <v>741</v>
      </c>
      <c r="G48">
        <v>3</v>
      </c>
      <c r="H48">
        <v>2099</v>
      </c>
      <c r="I48">
        <v>6</v>
      </c>
    </row>
    <row r="49" spans="1:10">
      <c r="A49">
        <v>48</v>
      </c>
      <c r="B49" t="s">
        <v>472</v>
      </c>
      <c r="F49">
        <v>828</v>
      </c>
      <c r="G49">
        <v>3</v>
      </c>
      <c r="H49">
        <v>335</v>
      </c>
      <c r="I49">
        <v>1</v>
      </c>
    </row>
    <row r="50" spans="1:10">
      <c r="A50">
        <v>49</v>
      </c>
      <c r="B50" t="s">
        <v>473</v>
      </c>
      <c r="F50">
        <v>2681</v>
      </c>
      <c r="H50">
        <v>111</v>
      </c>
      <c r="I50">
        <v>7</v>
      </c>
      <c r="J50">
        <v>267</v>
      </c>
    </row>
    <row r="51" spans="1:10">
      <c r="A51">
        <v>50</v>
      </c>
      <c r="B51" t="s">
        <v>474</v>
      </c>
      <c r="F51">
        <v>1193</v>
      </c>
      <c r="G51">
        <v>116</v>
      </c>
      <c r="H51">
        <v>315</v>
      </c>
      <c r="I51">
        <v>22</v>
      </c>
    </row>
    <row r="52" spans="1:10">
      <c r="A52">
        <v>51</v>
      </c>
      <c r="B52" t="s">
        <v>475</v>
      </c>
      <c r="F52">
        <v>1959</v>
      </c>
      <c r="G52">
        <v>94</v>
      </c>
      <c r="H52">
        <v>179</v>
      </c>
      <c r="I52">
        <v>9</v>
      </c>
    </row>
    <row r="53" spans="1:10">
      <c r="A53">
        <v>52</v>
      </c>
      <c r="B53" t="s">
        <v>476</v>
      </c>
      <c r="F53">
        <v>1882</v>
      </c>
      <c r="G53">
        <v>100</v>
      </c>
      <c r="H53">
        <v>52</v>
      </c>
      <c r="I53">
        <v>2</v>
      </c>
    </row>
    <row r="54" spans="1:10">
      <c r="A54">
        <v>53</v>
      </c>
      <c r="B54" t="s">
        <v>477</v>
      </c>
      <c r="F54">
        <v>3525</v>
      </c>
      <c r="H54">
        <v>85</v>
      </c>
      <c r="I54">
        <v>7</v>
      </c>
      <c r="J54">
        <v>319</v>
      </c>
    </row>
    <row r="55" spans="1:10">
      <c r="A55">
        <v>54</v>
      </c>
      <c r="B55" t="s">
        <v>478</v>
      </c>
      <c r="F55">
        <v>676</v>
      </c>
      <c r="G55">
        <v>2</v>
      </c>
      <c r="H55">
        <v>593</v>
      </c>
      <c r="I55">
        <v>1</v>
      </c>
    </row>
    <row r="56" spans="1:10">
      <c r="A56">
        <v>55</v>
      </c>
      <c r="B56" t="s">
        <v>479</v>
      </c>
      <c r="F56">
        <v>362</v>
      </c>
      <c r="G56">
        <v>1</v>
      </c>
      <c r="H56">
        <v>439</v>
      </c>
      <c r="I56">
        <v>1</v>
      </c>
    </row>
    <row r="57" spans="1:10">
      <c r="A57">
        <v>56</v>
      </c>
      <c r="B57" t="s">
        <v>480</v>
      </c>
      <c r="F57">
        <v>732</v>
      </c>
      <c r="G57">
        <v>2</v>
      </c>
      <c r="H57">
        <v>0</v>
      </c>
      <c r="I57">
        <v>0</v>
      </c>
    </row>
    <row r="58" spans="1:10">
      <c r="A58">
        <v>57</v>
      </c>
      <c r="B58" t="s">
        <v>481</v>
      </c>
      <c r="F58">
        <v>390</v>
      </c>
      <c r="G58">
        <v>1</v>
      </c>
      <c r="H58">
        <v>0</v>
      </c>
      <c r="I58">
        <v>0</v>
      </c>
    </row>
    <row r="59" spans="1:10">
      <c r="A59">
        <v>58</v>
      </c>
      <c r="B59" t="s">
        <v>482</v>
      </c>
      <c r="F59">
        <v>310</v>
      </c>
      <c r="G59">
        <v>1</v>
      </c>
      <c r="H59">
        <v>658</v>
      </c>
      <c r="I59">
        <v>2</v>
      </c>
    </row>
    <row r="60" spans="1:10">
      <c r="A60">
        <v>59</v>
      </c>
      <c r="B60" t="s">
        <v>483</v>
      </c>
      <c r="F60">
        <v>404</v>
      </c>
      <c r="G60">
        <v>1</v>
      </c>
      <c r="H60">
        <v>237</v>
      </c>
      <c r="I60">
        <v>1</v>
      </c>
    </row>
    <row r="61" spans="1:10">
      <c r="A61">
        <v>60</v>
      </c>
      <c r="B61" t="s">
        <v>484</v>
      </c>
      <c r="F61">
        <v>347</v>
      </c>
      <c r="G61">
        <v>1</v>
      </c>
      <c r="H61">
        <v>686</v>
      </c>
      <c r="I61">
        <v>3</v>
      </c>
    </row>
    <row r="62" spans="1:10">
      <c r="A62">
        <v>61</v>
      </c>
      <c r="B62" t="s">
        <v>485</v>
      </c>
      <c r="F62">
        <v>881</v>
      </c>
      <c r="G62">
        <v>4</v>
      </c>
      <c r="H62">
        <v>81</v>
      </c>
      <c r="I62">
        <v>1</v>
      </c>
    </row>
    <row r="63" spans="1:10">
      <c r="A63">
        <v>62</v>
      </c>
      <c r="B63" t="s">
        <v>486</v>
      </c>
      <c r="F63">
        <v>670</v>
      </c>
      <c r="G63">
        <v>5</v>
      </c>
      <c r="H63">
        <v>0</v>
      </c>
      <c r="I63">
        <v>0</v>
      </c>
    </row>
    <row r="64" spans="1:10">
      <c r="A64">
        <v>63</v>
      </c>
      <c r="B64" t="s">
        <v>487</v>
      </c>
      <c r="F64">
        <v>312</v>
      </c>
      <c r="G64">
        <v>3</v>
      </c>
      <c r="H64">
        <v>218</v>
      </c>
      <c r="I64">
        <v>1</v>
      </c>
    </row>
    <row r="65" spans="1:9">
      <c r="A65">
        <v>64</v>
      </c>
      <c r="B65" t="s">
        <v>457</v>
      </c>
      <c r="F65">
        <v>588</v>
      </c>
      <c r="G65">
        <v>2</v>
      </c>
      <c r="H65">
        <v>1899</v>
      </c>
      <c r="I65">
        <v>5</v>
      </c>
    </row>
    <row r="66" spans="1:9">
      <c r="A66">
        <v>65</v>
      </c>
      <c r="B66" t="s">
        <v>126</v>
      </c>
      <c r="F66">
        <v>334</v>
      </c>
      <c r="G66">
        <v>1</v>
      </c>
      <c r="H66">
        <v>0</v>
      </c>
      <c r="I66">
        <v>0</v>
      </c>
    </row>
    <row r="67" spans="1:9">
      <c r="A67">
        <v>66</v>
      </c>
      <c r="B67" t="s">
        <v>488</v>
      </c>
      <c r="F67">
        <v>488</v>
      </c>
      <c r="G67">
        <v>5</v>
      </c>
      <c r="H67">
        <v>156</v>
      </c>
      <c r="I67">
        <v>2</v>
      </c>
    </row>
    <row r="68" spans="1:9">
      <c r="A68">
        <v>67</v>
      </c>
      <c r="B68" t="s">
        <v>489</v>
      </c>
      <c r="F68">
        <v>1262</v>
      </c>
      <c r="G68">
        <v>5</v>
      </c>
      <c r="H68">
        <v>344</v>
      </c>
      <c r="I68">
        <v>2</v>
      </c>
    </row>
    <row r="69" spans="1:9">
      <c r="A69">
        <v>68</v>
      </c>
      <c r="B69" t="s">
        <v>132</v>
      </c>
      <c r="F69">
        <v>519</v>
      </c>
      <c r="G69">
        <v>4</v>
      </c>
      <c r="H69">
        <v>168</v>
      </c>
      <c r="I69">
        <v>1</v>
      </c>
    </row>
    <row r="70" spans="1:9">
      <c r="A70">
        <v>69</v>
      </c>
      <c r="B70" t="s">
        <v>490</v>
      </c>
      <c r="F70">
        <v>1198</v>
      </c>
      <c r="G70">
        <v>12</v>
      </c>
      <c r="H70">
        <v>769</v>
      </c>
      <c r="I70">
        <v>7</v>
      </c>
    </row>
    <row r="71" spans="1:9">
      <c r="A71">
        <v>70</v>
      </c>
      <c r="B71" t="s">
        <v>491</v>
      </c>
      <c r="F71">
        <v>1789</v>
      </c>
      <c r="G71">
        <v>13</v>
      </c>
      <c r="H71">
        <v>501</v>
      </c>
      <c r="I71">
        <v>3</v>
      </c>
    </row>
    <row r="72" spans="1:9">
      <c r="A72">
        <v>71</v>
      </c>
      <c r="B72" t="s">
        <v>197</v>
      </c>
      <c r="F72">
        <v>2378</v>
      </c>
      <c r="G72">
        <v>16</v>
      </c>
      <c r="H72">
        <v>107</v>
      </c>
      <c r="I72">
        <v>1</v>
      </c>
    </row>
    <row r="73" spans="1:9">
      <c r="A73">
        <v>72</v>
      </c>
      <c r="B73" t="s">
        <v>492</v>
      </c>
      <c r="F73">
        <v>1618</v>
      </c>
      <c r="G73">
        <v>13</v>
      </c>
      <c r="H73">
        <v>0</v>
      </c>
      <c r="I73">
        <v>0</v>
      </c>
    </row>
    <row r="74" spans="1:9">
      <c r="A74">
        <v>73</v>
      </c>
      <c r="B74" t="s">
        <v>493</v>
      </c>
      <c r="F74">
        <v>1959</v>
      </c>
      <c r="G74">
        <v>15</v>
      </c>
      <c r="H74">
        <v>288</v>
      </c>
      <c r="I74">
        <v>2</v>
      </c>
    </row>
    <row r="75" spans="1:9">
      <c r="A75">
        <v>74</v>
      </c>
      <c r="B75" t="s">
        <v>494</v>
      </c>
      <c r="F75">
        <v>0</v>
      </c>
      <c r="G75">
        <v>0</v>
      </c>
      <c r="H75">
        <v>3110</v>
      </c>
      <c r="I75">
        <v>12</v>
      </c>
    </row>
    <row r="76" spans="1:9">
      <c r="A76">
        <v>75</v>
      </c>
      <c r="B76" t="s">
        <v>495</v>
      </c>
      <c r="F76">
        <v>1114</v>
      </c>
      <c r="G76">
        <v>6</v>
      </c>
      <c r="H76">
        <v>677</v>
      </c>
      <c r="I76">
        <v>2</v>
      </c>
    </row>
    <row r="77" spans="1:9">
      <c r="A77">
        <v>76</v>
      </c>
      <c r="B77" t="s">
        <v>496</v>
      </c>
      <c r="F77">
        <v>969</v>
      </c>
      <c r="G77">
        <v>3</v>
      </c>
      <c r="H77">
        <v>649</v>
      </c>
      <c r="I77">
        <v>3</v>
      </c>
    </row>
    <row r="78" spans="1:9">
      <c r="A78">
        <v>77</v>
      </c>
      <c r="B78" t="s">
        <v>497</v>
      </c>
      <c r="F78">
        <v>1842</v>
      </c>
      <c r="G78">
        <v>48</v>
      </c>
      <c r="H78">
        <v>0</v>
      </c>
      <c r="I78">
        <v>0</v>
      </c>
    </row>
    <row r="79" spans="1:9">
      <c r="A79">
        <v>78</v>
      </c>
      <c r="B79" t="s">
        <v>498</v>
      </c>
      <c r="F79">
        <v>1352</v>
      </c>
      <c r="G79">
        <v>111</v>
      </c>
      <c r="H79">
        <v>66</v>
      </c>
      <c r="I79">
        <v>7</v>
      </c>
    </row>
    <row r="80" spans="1:9">
      <c r="A80">
        <v>79</v>
      </c>
      <c r="B80" t="s">
        <v>499</v>
      </c>
      <c r="F80">
        <v>503</v>
      </c>
      <c r="G80">
        <v>1</v>
      </c>
      <c r="H80">
        <v>0</v>
      </c>
      <c r="I80">
        <v>0</v>
      </c>
    </row>
    <row r="81" spans="1:9">
      <c r="A81">
        <v>80</v>
      </c>
      <c r="B81" t="s">
        <v>500</v>
      </c>
      <c r="F81">
        <v>2112</v>
      </c>
      <c r="G81">
        <v>12</v>
      </c>
      <c r="H81">
        <v>633</v>
      </c>
      <c r="I81">
        <v>5</v>
      </c>
    </row>
    <row r="82" spans="1:9">
      <c r="A82">
        <v>81</v>
      </c>
      <c r="B82" t="s">
        <v>501</v>
      </c>
      <c r="F82">
        <v>0</v>
      </c>
      <c r="G82">
        <v>0</v>
      </c>
      <c r="H82">
        <v>0</v>
      </c>
      <c r="I82">
        <v>0</v>
      </c>
    </row>
    <row r="83" spans="1:9">
      <c r="A83">
        <v>82</v>
      </c>
      <c r="B83" t="s">
        <v>502</v>
      </c>
      <c r="F83">
        <v>601</v>
      </c>
      <c r="G83">
        <v>3</v>
      </c>
      <c r="H83">
        <v>514</v>
      </c>
      <c r="I83">
        <v>5</v>
      </c>
    </row>
    <row r="84" spans="1:9">
      <c r="A84">
        <v>83</v>
      </c>
      <c r="B84" t="s">
        <v>503</v>
      </c>
      <c r="F84">
        <v>1119</v>
      </c>
      <c r="G84">
        <v>11</v>
      </c>
      <c r="H84">
        <v>0</v>
      </c>
      <c r="I84">
        <v>0</v>
      </c>
    </row>
    <row r="85" spans="1:9">
      <c r="A85">
        <v>84</v>
      </c>
      <c r="B85" t="s">
        <v>504</v>
      </c>
      <c r="F85">
        <v>436</v>
      </c>
      <c r="G85">
        <v>7</v>
      </c>
      <c r="H85">
        <v>0</v>
      </c>
      <c r="I85">
        <v>0</v>
      </c>
    </row>
    <row r="86" spans="1:9">
      <c r="A86">
        <v>85</v>
      </c>
      <c r="B86" t="s">
        <v>505</v>
      </c>
      <c r="F86">
        <v>3611</v>
      </c>
      <c r="G86">
        <v>10</v>
      </c>
      <c r="H86">
        <v>1286</v>
      </c>
      <c r="I86">
        <v>3</v>
      </c>
    </row>
    <row r="87" spans="1:9">
      <c r="A87">
        <v>86</v>
      </c>
      <c r="B87" t="s">
        <v>506</v>
      </c>
      <c r="F87">
        <v>896</v>
      </c>
      <c r="G87">
        <v>6</v>
      </c>
      <c r="H87">
        <v>77</v>
      </c>
      <c r="I87">
        <v>1</v>
      </c>
    </row>
    <row r="88" spans="1:9">
      <c r="A88">
        <v>87</v>
      </c>
      <c r="B88" t="s">
        <v>507</v>
      </c>
      <c r="F88">
        <v>345</v>
      </c>
      <c r="G88">
        <v>3</v>
      </c>
      <c r="H88">
        <v>533</v>
      </c>
      <c r="I88">
        <v>4</v>
      </c>
    </row>
    <row r="89" spans="1:9">
      <c r="A89">
        <v>88</v>
      </c>
      <c r="B89" t="s">
        <v>508</v>
      </c>
      <c r="F89">
        <v>1537</v>
      </c>
      <c r="G89">
        <v>9</v>
      </c>
      <c r="H89">
        <v>0</v>
      </c>
      <c r="I89">
        <v>0</v>
      </c>
    </row>
    <row r="90" spans="1:9">
      <c r="A90">
        <v>89</v>
      </c>
      <c r="B90" t="s">
        <v>509</v>
      </c>
      <c r="F90">
        <v>882</v>
      </c>
      <c r="G90">
        <v>6</v>
      </c>
      <c r="H90">
        <v>182</v>
      </c>
      <c r="I90">
        <v>1</v>
      </c>
    </row>
    <row r="91" spans="1:9">
      <c r="A91">
        <v>90</v>
      </c>
      <c r="B91" t="s">
        <v>510</v>
      </c>
      <c r="F91">
        <v>1260</v>
      </c>
      <c r="G91">
        <v>10</v>
      </c>
      <c r="H91">
        <v>168</v>
      </c>
      <c r="I91">
        <v>1</v>
      </c>
    </row>
    <row r="92" spans="1:9">
      <c r="A92">
        <v>91</v>
      </c>
      <c r="B92" t="s">
        <v>511</v>
      </c>
      <c r="F92">
        <v>0</v>
      </c>
      <c r="G92">
        <v>0</v>
      </c>
      <c r="H92">
        <v>0</v>
      </c>
      <c r="I92">
        <v>0</v>
      </c>
    </row>
    <row r="93" spans="1:9">
      <c r="A93">
        <v>92</v>
      </c>
      <c r="B93" t="s">
        <v>512</v>
      </c>
      <c r="F93">
        <v>1985</v>
      </c>
      <c r="G93">
        <v>15</v>
      </c>
      <c r="H93">
        <v>712</v>
      </c>
      <c r="I93">
        <v>5</v>
      </c>
    </row>
    <row r="94" spans="1:9">
      <c r="A94">
        <v>93</v>
      </c>
      <c r="B94" t="s">
        <v>513</v>
      </c>
      <c r="F94">
        <v>1141</v>
      </c>
      <c r="G94">
        <v>8</v>
      </c>
      <c r="H94">
        <v>645</v>
      </c>
      <c r="I94">
        <v>3</v>
      </c>
    </row>
    <row r="95" spans="1:9">
      <c r="A95">
        <v>94</v>
      </c>
      <c r="B95" t="s">
        <v>514</v>
      </c>
      <c r="F95">
        <v>392</v>
      </c>
      <c r="G95">
        <v>2</v>
      </c>
      <c r="H95">
        <v>300</v>
      </c>
      <c r="I95">
        <v>1</v>
      </c>
    </row>
    <row r="96" spans="1:9">
      <c r="A96">
        <v>95</v>
      </c>
      <c r="B96" t="s">
        <v>515</v>
      </c>
      <c r="F96">
        <v>1972</v>
      </c>
      <c r="G96">
        <v>14</v>
      </c>
      <c r="H96">
        <v>0</v>
      </c>
      <c r="I96">
        <v>0</v>
      </c>
    </row>
    <row r="97" spans="1:10">
      <c r="A97">
        <v>96</v>
      </c>
      <c r="B97" t="s">
        <v>516</v>
      </c>
      <c r="F97">
        <v>289</v>
      </c>
      <c r="G97">
        <v>31</v>
      </c>
      <c r="H97">
        <v>43</v>
      </c>
      <c r="I97">
        <v>4</v>
      </c>
    </row>
    <row r="98" spans="1:10">
      <c r="A98">
        <v>97</v>
      </c>
      <c r="B98" t="s">
        <v>517</v>
      </c>
      <c r="F98">
        <v>1322</v>
      </c>
      <c r="G98">
        <v>4</v>
      </c>
      <c r="H98">
        <v>0</v>
      </c>
      <c r="I98">
        <v>0</v>
      </c>
    </row>
    <row r="99" spans="1:10">
      <c r="A99">
        <v>98</v>
      </c>
      <c r="B99" t="s">
        <v>518</v>
      </c>
      <c r="F99">
        <v>323</v>
      </c>
      <c r="G99">
        <v>1</v>
      </c>
      <c r="H99">
        <v>0</v>
      </c>
      <c r="I99">
        <v>0</v>
      </c>
    </row>
    <row r="100" spans="1:10">
      <c r="A100">
        <v>99</v>
      </c>
      <c r="B100" t="s">
        <v>519</v>
      </c>
      <c r="F100">
        <v>420</v>
      </c>
      <c r="G100">
        <v>3</v>
      </c>
      <c r="H100">
        <v>0</v>
      </c>
      <c r="I100">
        <v>0</v>
      </c>
    </row>
    <row r="101" spans="1:10">
      <c r="A101">
        <v>100</v>
      </c>
      <c r="B101" t="s">
        <v>520</v>
      </c>
      <c r="F101">
        <v>945</v>
      </c>
      <c r="G101">
        <v>2</v>
      </c>
      <c r="H101">
        <v>425</v>
      </c>
      <c r="I101">
        <v>3</v>
      </c>
    </row>
    <row r="102" spans="1:10">
      <c r="A102">
        <v>101</v>
      </c>
      <c r="B102" t="s">
        <v>521</v>
      </c>
      <c r="F102">
        <v>2605</v>
      </c>
      <c r="G102">
        <v>110</v>
      </c>
      <c r="H102">
        <v>452</v>
      </c>
      <c r="I102">
        <v>26</v>
      </c>
    </row>
    <row r="103" spans="1:10">
      <c r="A103">
        <v>102</v>
      </c>
      <c r="B103" t="s">
        <v>522</v>
      </c>
      <c r="F103">
        <v>3587</v>
      </c>
      <c r="H103">
        <v>262</v>
      </c>
      <c r="I103">
        <v>15</v>
      </c>
      <c r="J103">
        <v>497</v>
      </c>
    </row>
    <row r="104" spans="1:10">
      <c r="A104">
        <v>103</v>
      </c>
      <c r="B104" t="s">
        <v>523</v>
      </c>
      <c r="F104">
        <v>250</v>
      </c>
      <c r="G104">
        <v>1</v>
      </c>
      <c r="H104">
        <v>1240</v>
      </c>
      <c r="I104">
        <v>4</v>
      </c>
    </row>
    <row r="105" spans="1:10">
      <c r="A105">
        <v>104</v>
      </c>
      <c r="B105" t="s">
        <v>524</v>
      </c>
      <c r="F105">
        <v>0</v>
      </c>
      <c r="G105">
        <v>0</v>
      </c>
      <c r="H105">
        <v>682</v>
      </c>
      <c r="I105">
        <v>2</v>
      </c>
    </row>
    <row r="106" spans="1:10">
      <c r="A106">
        <v>105</v>
      </c>
      <c r="B106" t="s">
        <v>525</v>
      </c>
      <c r="F106">
        <v>1389</v>
      </c>
      <c r="G106">
        <v>4</v>
      </c>
      <c r="H106">
        <v>9976</v>
      </c>
      <c r="I106">
        <v>2</v>
      </c>
    </row>
    <row r="107" spans="1:10">
      <c r="A107">
        <v>106</v>
      </c>
      <c r="B107" t="s">
        <v>526</v>
      </c>
      <c r="F107">
        <v>854</v>
      </c>
      <c r="G107">
        <v>3</v>
      </c>
      <c r="H107">
        <v>925</v>
      </c>
      <c r="I107">
        <v>4</v>
      </c>
    </row>
    <row r="108" spans="1:10">
      <c r="A108">
        <v>107</v>
      </c>
      <c r="B108" t="s">
        <v>527</v>
      </c>
      <c r="F108">
        <v>240</v>
      </c>
      <c r="G108">
        <v>1</v>
      </c>
      <c r="H108">
        <v>0</v>
      </c>
      <c r="I108">
        <v>0</v>
      </c>
    </row>
    <row r="109" spans="1:10">
      <c r="A109">
        <v>108</v>
      </c>
      <c r="B109" t="s">
        <v>528</v>
      </c>
      <c r="F109">
        <v>903</v>
      </c>
      <c r="G109">
        <v>4</v>
      </c>
      <c r="H109">
        <v>2210</v>
      </c>
      <c r="I109">
        <v>9</v>
      </c>
    </row>
    <row r="110" spans="1:10">
      <c r="A110">
        <v>109</v>
      </c>
      <c r="B110" t="s">
        <v>529</v>
      </c>
      <c r="F110">
        <v>397</v>
      </c>
      <c r="G110">
        <v>1</v>
      </c>
      <c r="H110">
        <v>388</v>
      </c>
      <c r="I110">
        <v>1</v>
      </c>
    </row>
    <row r="111" spans="1:10">
      <c r="A111">
        <v>110</v>
      </c>
      <c r="B111" t="s">
        <v>530</v>
      </c>
      <c r="F111">
        <v>950</v>
      </c>
      <c r="G111">
        <v>3</v>
      </c>
      <c r="H111">
        <v>2416</v>
      </c>
      <c r="I111">
        <v>8</v>
      </c>
    </row>
    <row r="112" spans="1:10">
      <c r="A112">
        <v>111</v>
      </c>
      <c r="B112" t="s">
        <v>531</v>
      </c>
      <c r="F112">
        <v>303</v>
      </c>
      <c r="G112">
        <v>2</v>
      </c>
      <c r="H112">
        <v>790</v>
      </c>
      <c r="I112">
        <v>2</v>
      </c>
    </row>
    <row r="113" spans="1:10">
      <c r="A113">
        <v>112</v>
      </c>
      <c r="B113" t="s">
        <v>532</v>
      </c>
      <c r="F113">
        <v>900</v>
      </c>
      <c r="G113">
        <v>3</v>
      </c>
      <c r="H113">
        <v>0</v>
      </c>
      <c r="I113">
        <v>0</v>
      </c>
    </row>
    <row r="114" spans="1:10">
      <c r="A114">
        <v>113</v>
      </c>
      <c r="B114" t="s">
        <v>533</v>
      </c>
      <c r="F114">
        <v>1977</v>
      </c>
      <c r="G114">
        <v>5</v>
      </c>
      <c r="H114">
        <v>1136</v>
      </c>
      <c r="I114">
        <v>3</v>
      </c>
    </row>
    <row r="115" spans="1:10">
      <c r="A115">
        <v>114</v>
      </c>
      <c r="B115" t="s">
        <v>534</v>
      </c>
      <c r="F115">
        <v>603</v>
      </c>
      <c r="G115">
        <v>2</v>
      </c>
      <c r="H115">
        <v>0</v>
      </c>
      <c r="I115">
        <v>0</v>
      </c>
    </row>
    <row r="116" spans="1:10">
      <c r="A116">
        <v>115</v>
      </c>
      <c r="B116" t="s">
        <v>535</v>
      </c>
      <c r="F116">
        <v>344</v>
      </c>
      <c r="G116">
        <v>1</v>
      </c>
      <c r="H116">
        <v>0</v>
      </c>
      <c r="I116">
        <v>0</v>
      </c>
    </row>
    <row r="117" spans="1:10">
      <c r="A117">
        <v>116</v>
      </c>
      <c r="B117" t="s">
        <v>536</v>
      </c>
      <c r="F117">
        <v>369</v>
      </c>
      <c r="G117">
        <v>1</v>
      </c>
      <c r="H117">
        <v>0</v>
      </c>
      <c r="I117">
        <v>0</v>
      </c>
    </row>
    <row r="118" spans="1:10">
      <c r="A118">
        <v>117</v>
      </c>
      <c r="B118" t="s">
        <v>524</v>
      </c>
      <c r="F118">
        <v>305</v>
      </c>
      <c r="G118">
        <v>3</v>
      </c>
      <c r="H118">
        <v>623</v>
      </c>
      <c r="I118">
        <v>2</v>
      </c>
    </row>
    <row r="119" spans="1:10">
      <c r="A119">
        <v>118</v>
      </c>
      <c r="B119" t="s">
        <v>537</v>
      </c>
      <c r="F119">
        <v>342</v>
      </c>
      <c r="G119">
        <v>1</v>
      </c>
      <c r="H119">
        <v>0</v>
      </c>
      <c r="I119">
        <v>0</v>
      </c>
    </row>
    <row r="120" spans="1:10">
      <c r="A120">
        <v>119</v>
      </c>
      <c r="B120" t="s">
        <v>538</v>
      </c>
      <c r="F120">
        <v>1239</v>
      </c>
      <c r="G120">
        <v>70</v>
      </c>
      <c r="H120">
        <v>98</v>
      </c>
      <c r="I120">
        <v>4</v>
      </c>
    </row>
    <row r="121" spans="1:10">
      <c r="A121">
        <v>120</v>
      </c>
      <c r="B121" t="s">
        <v>539</v>
      </c>
      <c r="F121">
        <v>2132</v>
      </c>
      <c r="G121">
        <v>115</v>
      </c>
      <c r="H121">
        <v>136</v>
      </c>
      <c r="I121">
        <v>9</v>
      </c>
    </row>
    <row r="122" spans="1:10">
      <c r="A122">
        <v>133</v>
      </c>
      <c r="B122" t="s">
        <v>540</v>
      </c>
      <c r="F122">
        <v>1791</v>
      </c>
      <c r="G122">
        <v>100</v>
      </c>
      <c r="H122">
        <v>196</v>
      </c>
      <c r="I122">
        <v>9</v>
      </c>
    </row>
    <row r="123" spans="1:10">
      <c r="A123">
        <v>134</v>
      </c>
      <c r="B123" t="s">
        <v>541</v>
      </c>
      <c r="F123">
        <v>2774</v>
      </c>
      <c r="H123">
        <v>969</v>
      </c>
      <c r="I123">
        <v>52</v>
      </c>
      <c r="J123">
        <v>350</v>
      </c>
    </row>
    <row r="124" spans="1:10">
      <c r="A124">
        <v>135</v>
      </c>
      <c r="B124" t="s">
        <v>542</v>
      </c>
      <c r="F124">
        <v>153</v>
      </c>
      <c r="G124">
        <v>1</v>
      </c>
      <c r="H124">
        <v>940</v>
      </c>
      <c r="I124">
        <v>4</v>
      </c>
    </row>
    <row r="125" spans="1:10">
      <c r="A125">
        <v>136</v>
      </c>
      <c r="B125" t="s">
        <v>543</v>
      </c>
      <c r="F125">
        <v>934</v>
      </c>
      <c r="G125">
        <v>3</v>
      </c>
      <c r="H125">
        <v>876</v>
      </c>
      <c r="I125">
        <v>4</v>
      </c>
    </row>
    <row r="126" spans="1:10">
      <c r="A126">
        <v>137</v>
      </c>
      <c r="B126" t="s">
        <v>544</v>
      </c>
      <c r="F126">
        <v>221</v>
      </c>
      <c r="G126">
        <v>1</v>
      </c>
      <c r="H126">
        <v>247</v>
      </c>
      <c r="I126">
        <v>1</v>
      </c>
    </row>
    <row r="127" spans="1:10">
      <c r="A127">
        <v>138</v>
      </c>
      <c r="B127" t="s">
        <v>545</v>
      </c>
      <c r="F127">
        <v>1105</v>
      </c>
      <c r="G127">
        <v>4</v>
      </c>
      <c r="H127">
        <v>1121</v>
      </c>
      <c r="I127">
        <v>3</v>
      </c>
    </row>
    <row r="128" spans="1:10">
      <c r="A128">
        <v>139</v>
      </c>
      <c r="B128" t="s">
        <v>546</v>
      </c>
      <c r="F128">
        <v>386</v>
      </c>
      <c r="G128">
        <v>1</v>
      </c>
      <c r="H128">
        <v>0</v>
      </c>
      <c r="I128">
        <v>0</v>
      </c>
    </row>
    <row r="129" spans="1:10">
      <c r="A129">
        <v>140</v>
      </c>
      <c r="B129" t="s">
        <v>547</v>
      </c>
      <c r="F129">
        <v>1317</v>
      </c>
      <c r="G129">
        <v>11</v>
      </c>
      <c r="H129">
        <v>191</v>
      </c>
      <c r="I129">
        <v>1</v>
      </c>
    </row>
    <row r="130" spans="1:10">
      <c r="A130">
        <v>141</v>
      </c>
      <c r="B130" t="s">
        <v>548</v>
      </c>
      <c r="F130">
        <v>1179</v>
      </c>
      <c r="G130">
        <v>12</v>
      </c>
      <c r="H130">
        <v>347</v>
      </c>
      <c r="I130">
        <v>4</v>
      </c>
    </row>
    <row r="131" spans="1:10">
      <c r="A131">
        <v>142</v>
      </c>
      <c r="B131" t="s">
        <v>549</v>
      </c>
      <c r="F131">
        <v>1159</v>
      </c>
      <c r="G131">
        <v>16</v>
      </c>
      <c r="H131">
        <v>476</v>
      </c>
      <c r="I131">
        <v>7</v>
      </c>
    </row>
    <row r="132" spans="1:10">
      <c r="A132">
        <v>143</v>
      </c>
      <c r="B132" t="s">
        <v>535</v>
      </c>
      <c r="F132">
        <v>1233</v>
      </c>
      <c r="G132">
        <v>6</v>
      </c>
      <c r="H132">
        <v>1747</v>
      </c>
      <c r="I132">
        <v>5</v>
      </c>
    </row>
    <row r="133" spans="1:10">
      <c r="A133">
        <v>144</v>
      </c>
      <c r="B133" t="s">
        <v>550</v>
      </c>
      <c r="F133">
        <v>1152</v>
      </c>
      <c r="G133">
        <v>3</v>
      </c>
      <c r="H133">
        <v>0</v>
      </c>
      <c r="I133">
        <v>0</v>
      </c>
    </row>
    <row r="134" spans="1:10">
      <c r="A134">
        <v>145</v>
      </c>
      <c r="B134" t="s">
        <v>551</v>
      </c>
      <c r="F134">
        <v>584</v>
      </c>
      <c r="G134">
        <v>7</v>
      </c>
      <c r="H134">
        <v>183</v>
      </c>
      <c r="I134">
        <v>2</v>
      </c>
    </row>
    <row r="135" spans="1:10">
      <c r="A135">
        <v>146</v>
      </c>
      <c r="B135" t="s">
        <v>552</v>
      </c>
      <c r="F135">
        <v>3050</v>
      </c>
      <c r="G135">
        <v>26</v>
      </c>
      <c r="H135">
        <v>785</v>
      </c>
      <c r="I135">
        <v>7</v>
      </c>
    </row>
    <row r="136" spans="1:10">
      <c r="A136">
        <v>147</v>
      </c>
      <c r="B136" t="s">
        <v>553</v>
      </c>
      <c r="F136">
        <v>2420</v>
      </c>
      <c r="G136">
        <v>8</v>
      </c>
      <c r="H136">
        <v>644</v>
      </c>
      <c r="I136">
        <v>2</v>
      </c>
    </row>
    <row r="137" spans="1:10">
      <c r="A137">
        <v>148</v>
      </c>
      <c r="B137" t="s">
        <v>554</v>
      </c>
      <c r="F137">
        <v>1894</v>
      </c>
      <c r="G137">
        <v>20</v>
      </c>
      <c r="H137">
        <v>93</v>
      </c>
      <c r="I137">
        <v>1</v>
      </c>
    </row>
    <row r="138" spans="1:10">
      <c r="A138">
        <v>149</v>
      </c>
      <c r="B138" t="s">
        <v>555</v>
      </c>
      <c r="F138">
        <v>4266</v>
      </c>
      <c r="H138">
        <v>243</v>
      </c>
      <c r="I138">
        <v>14</v>
      </c>
      <c r="J138">
        <v>399</v>
      </c>
    </row>
    <row r="139" spans="1:10">
      <c r="A139">
        <v>150</v>
      </c>
      <c r="B139" t="s">
        <v>556</v>
      </c>
      <c r="F139">
        <v>3081</v>
      </c>
      <c r="H139">
        <v>225</v>
      </c>
      <c r="I139">
        <v>16</v>
      </c>
      <c r="J139">
        <v>365</v>
      </c>
    </row>
    <row r="140" spans="1:10">
      <c r="A140">
        <v>151</v>
      </c>
      <c r="B140" t="s">
        <v>557</v>
      </c>
      <c r="F140">
        <v>3349</v>
      </c>
      <c r="H140">
        <v>472</v>
      </c>
      <c r="I140">
        <v>36</v>
      </c>
      <c r="J140">
        <v>349</v>
      </c>
    </row>
    <row r="141" spans="1:10">
      <c r="A141">
        <v>152</v>
      </c>
      <c r="B141" t="s">
        <v>558</v>
      </c>
      <c r="F141">
        <v>774</v>
      </c>
      <c r="G141">
        <v>40</v>
      </c>
      <c r="H141">
        <v>65</v>
      </c>
      <c r="I141">
        <v>3</v>
      </c>
    </row>
    <row r="142" spans="1:10">
      <c r="A142">
        <v>153</v>
      </c>
      <c r="B142" t="s">
        <v>559</v>
      </c>
      <c r="F142">
        <v>1973</v>
      </c>
      <c r="H142">
        <v>120</v>
      </c>
      <c r="I142">
        <v>10</v>
      </c>
      <c r="J142">
        <v>241</v>
      </c>
    </row>
    <row r="143" spans="1:10">
      <c r="A143">
        <v>154</v>
      </c>
      <c r="B143" t="s">
        <v>560</v>
      </c>
      <c r="F143">
        <v>2550</v>
      </c>
      <c r="H143">
        <v>94</v>
      </c>
      <c r="I143">
        <v>4</v>
      </c>
      <c r="J143">
        <v>318</v>
      </c>
    </row>
    <row r="144" spans="1:10">
      <c r="A144">
        <v>155</v>
      </c>
      <c r="B144" t="s">
        <v>561</v>
      </c>
      <c r="F144">
        <v>2532</v>
      </c>
      <c r="H144">
        <v>190</v>
      </c>
      <c r="I144">
        <v>9</v>
      </c>
      <c r="J144">
        <v>339</v>
      </c>
    </row>
    <row r="145" spans="1:10">
      <c r="A145">
        <v>156</v>
      </c>
      <c r="B145" t="s">
        <v>562</v>
      </c>
      <c r="F145">
        <v>2592</v>
      </c>
      <c r="H145">
        <v>201</v>
      </c>
      <c r="I145">
        <v>13</v>
      </c>
      <c r="J145">
        <v>243</v>
      </c>
    </row>
    <row r="146" spans="1:10">
      <c r="A146">
        <v>157</v>
      </c>
      <c r="B146" t="s">
        <v>563</v>
      </c>
      <c r="F146">
        <v>3996</v>
      </c>
      <c r="H146">
        <v>118</v>
      </c>
      <c r="I146">
        <v>6</v>
      </c>
      <c r="J146">
        <v>430</v>
      </c>
    </row>
    <row r="147" spans="1:10">
      <c r="A147">
        <v>158</v>
      </c>
      <c r="B147" t="s">
        <v>564</v>
      </c>
      <c r="F147">
        <v>1095</v>
      </c>
      <c r="H147">
        <v>201</v>
      </c>
      <c r="I147">
        <v>17</v>
      </c>
      <c r="J147">
        <v>185</v>
      </c>
    </row>
    <row r="148" spans="1:10">
      <c r="A148">
        <v>159</v>
      </c>
      <c r="B148" t="s">
        <v>565</v>
      </c>
      <c r="F148">
        <v>3120</v>
      </c>
      <c r="H148">
        <v>179</v>
      </c>
      <c r="I148">
        <v>8</v>
      </c>
      <c r="J148">
        <v>426</v>
      </c>
    </row>
    <row r="149" spans="1:10">
      <c r="A149">
        <v>160</v>
      </c>
      <c r="B149" t="s">
        <v>566</v>
      </c>
      <c r="F149">
        <v>1661</v>
      </c>
      <c r="H149">
        <v>115</v>
      </c>
      <c r="I149">
        <v>6</v>
      </c>
      <c r="J149">
        <v>387</v>
      </c>
    </row>
    <row r="150" spans="1:10">
      <c r="A150">
        <v>161</v>
      </c>
      <c r="B150" t="s">
        <v>567</v>
      </c>
      <c r="F150">
        <v>3041</v>
      </c>
      <c r="H150">
        <v>180</v>
      </c>
      <c r="I150">
        <v>13</v>
      </c>
      <c r="J150">
        <v>331</v>
      </c>
    </row>
    <row r="151" spans="1:10">
      <c r="A151">
        <v>162</v>
      </c>
      <c r="B151" t="s">
        <v>568</v>
      </c>
      <c r="F151">
        <v>1409</v>
      </c>
      <c r="H151">
        <v>181</v>
      </c>
      <c r="I151">
        <v>11</v>
      </c>
      <c r="J151">
        <v>354</v>
      </c>
    </row>
    <row r="152" spans="1:10">
      <c r="A152">
        <v>163</v>
      </c>
      <c r="B152" t="s">
        <v>569</v>
      </c>
      <c r="F152">
        <v>2451</v>
      </c>
      <c r="H152">
        <v>253</v>
      </c>
      <c r="I152">
        <v>11</v>
      </c>
      <c r="J152">
        <v>480</v>
      </c>
    </row>
    <row r="153" spans="1:10">
      <c r="A153">
        <v>164</v>
      </c>
      <c r="B153" t="s">
        <v>570</v>
      </c>
      <c r="F153">
        <v>2455</v>
      </c>
      <c r="H153">
        <v>96</v>
      </c>
      <c r="I153">
        <v>6</v>
      </c>
      <c r="J153">
        <v>315</v>
      </c>
    </row>
    <row r="154" spans="1:10">
      <c r="A154">
        <v>165</v>
      </c>
      <c r="B154" t="s">
        <v>571</v>
      </c>
      <c r="F154">
        <v>2560</v>
      </c>
      <c r="H154">
        <v>83</v>
      </c>
      <c r="I154">
        <v>4</v>
      </c>
      <c r="J154">
        <v>390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1277B-4FE6-4FA2-B966-09DC2270BABA}">
  <dimension ref="A1:L84"/>
  <sheetViews>
    <sheetView zoomScaleNormal="150" zoomScaleSheetLayoutView="100" workbookViewId="0"/>
  </sheetViews>
  <sheetFormatPr defaultRowHeight="16.5"/>
  <cols>
    <col min="2" max="2" width="11.125" bestFit="1" customWidth="1"/>
    <col min="3" max="3" width="9.75" bestFit="1" customWidth="1"/>
    <col min="4" max="4" width="13.25" bestFit="1" customWidth="1"/>
    <col min="5" max="5" width="7.125" bestFit="1" customWidth="1"/>
    <col min="6" max="6" width="23.75" bestFit="1" customWidth="1"/>
    <col min="7" max="7" width="24.5" bestFit="1" customWidth="1"/>
    <col min="8" max="8" width="20.5" bestFit="1" customWidth="1"/>
    <col min="9" max="9" width="20.75" bestFit="1" customWidth="1"/>
    <col min="10" max="10" width="20.875" customWidth="1"/>
    <col min="11" max="11" width="21.625" customWidth="1"/>
  </cols>
  <sheetData>
    <row r="1" spans="1:12">
      <c r="A1" s="17" t="s">
        <v>0</v>
      </c>
      <c r="B1" s="17" t="s">
        <v>1</v>
      </c>
      <c r="C1" s="17" t="s">
        <v>2</v>
      </c>
      <c r="D1" s="17" t="s">
        <v>3</v>
      </c>
      <c r="E1" s="17" t="s">
        <v>4</v>
      </c>
      <c r="F1" s="17" t="s">
        <v>5</v>
      </c>
      <c r="G1" s="17" t="s">
        <v>6</v>
      </c>
      <c r="H1" s="17" t="s">
        <v>9</v>
      </c>
      <c r="I1" s="17"/>
      <c r="J1" t="s">
        <v>425</v>
      </c>
      <c r="K1" t="s">
        <v>426</v>
      </c>
      <c r="L1" t="s">
        <v>572</v>
      </c>
    </row>
    <row r="2" spans="1:12">
      <c r="A2" s="18" t="s">
        <v>573</v>
      </c>
      <c r="B2" s="18"/>
      <c r="C2" s="18"/>
      <c r="D2" s="19"/>
      <c r="E2" s="18"/>
      <c r="F2" s="18">
        <v>1164</v>
      </c>
      <c r="G2" s="18"/>
      <c r="H2" s="18">
        <v>156</v>
      </c>
      <c r="I2" s="18"/>
      <c r="J2">
        <v>258</v>
      </c>
    </row>
    <row r="3" spans="1:12">
      <c r="A3" s="18" t="s">
        <v>574</v>
      </c>
      <c r="B3" s="18"/>
      <c r="C3" s="18"/>
      <c r="D3" s="19"/>
      <c r="E3" s="18"/>
      <c r="F3" s="18">
        <v>890</v>
      </c>
      <c r="G3" s="18"/>
      <c r="H3" s="18">
        <v>91</v>
      </c>
      <c r="I3" s="18"/>
      <c r="J3">
        <v>386</v>
      </c>
    </row>
    <row r="4" spans="1:12">
      <c r="A4" s="18" t="s">
        <v>575</v>
      </c>
      <c r="B4" s="18"/>
      <c r="C4" s="18"/>
      <c r="D4" s="19"/>
      <c r="E4" s="18"/>
      <c r="F4" s="18">
        <v>1215</v>
      </c>
      <c r="G4" s="18"/>
      <c r="H4" s="18">
        <v>427</v>
      </c>
      <c r="I4" s="18"/>
      <c r="J4">
        <v>215</v>
      </c>
    </row>
    <row r="5" spans="1:12">
      <c r="A5" s="18" t="s">
        <v>576</v>
      </c>
      <c r="B5" s="18"/>
      <c r="C5" s="18"/>
      <c r="D5" s="19"/>
      <c r="E5" s="18"/>
      <c r="F5" s="18">
        <v>582</v>
      </c>
      <c r="G5" s="18"/>
      <c r="H5" s="18">
        <v>114</v>
      </c>
      <c r="I5" s="18"/>
      <c r="J5">
        <v>225</v>
      </c>
    </row>
    <row r="6" spans="1:12">
      <c r="A6" s="18" t="s">
        <v>577</v>
      </c>
      <c r="B6" s="18"/>
      <c r="C6" s="18"/>
      <c r="D6" s="19"/>
      <c r="E6" s="18"/>
      <c r="F6" s="18">
        <v>2912</v>
      </c>
      <c r="G6" s="18"/>
      <c r="H6" s="18">
        <v>553</v>
      </c>
      <c r="I6" s="18"/>
      <c r="J6">
        <v>396</v>
      </c>
    </row>
    <row r="7" spans="1:12">
      <c r="A7" s="18" t="s">
        <v>578</v>
      </c>
      <c r="B7" s="18"/>
      <c r="C7" s="18"/>
      <c r="D7" s="19"/>
      <c r="E7" s="18"/>
      <c r="F7" s="18">
        <v>1176</v>
      </c>
      <c r="G7" s="18"/>
      <c r="H7" s="18">
        <v>784</v>
      </c>
      <c r="I7" s="18"/>
      <c r="J7">
        <v>393</v>
      </c>
    </row>
    <row r="8" spans="1:12">
      <c r="A8" t="s">
        <v>579</v>
      </c>
      <c r="F8">
        <v>3033</v>
      </c>
      <c r="H8">
        <v>510</v>
      </c>
      <c r="J8">
        <v>355</v>
      </c>
    </row>
    <row r="9" spans="1:12">
      <c r="A9" t="s">
        <v>580</v>
      </c>
      <c r="F9">
        <v>1790</v>
      </c>
      <c r="H9">
        <v>442</v>
      </c>
      <c r="J9">
        <v>432</v>
      </c>
    </row>
    <row r="10" spans="1:12">
      <c r="A10" t="s">
        <v>581</v>
      </c>
      <c r="F10">
        <v>3050</v>
      </c>
      <c r="H10">
        <v>618</v>
      </c>
      <c r="J10">
        <v>385</v>
      </c>
    </row>
    <row r="11" spans="1:12">
      <c r="A11" t="s">
        <v>582</v>
      </c>
      <c r="F11">
        <v>1908</v>
      </c>
      <c r="H11">
        <v>787</v>
      </c>
      <c r="J11">
        <v>497</v>
      </c>
    </row>
    <row r="12" spans="1:12">
      <c r="A12" t="s">
        <v>583</v>
      </c>
      <c r="F12">
        <v>3505</v>
      </c>
      <c r="H12">
        <v>531</v>
      </c>
      <c r="J12">
        <v>456</v>
      </c>
    </row>
    <row r="13" spans="1:12">
      <c r="A13" t="s">
        <v>584</v>
      </c>
      <c r="F13">
        <v>1563</v>
      </c>
      <c r="H13">
        <v>845</v>
      </c>
      <c r="J13">
        <v>387</v>
      </c>
    </row>
    <row r="14" spans="1:12">
      <c r="A14" t="s">
        <v>585</v>
      </c>
      <c r="F14">
        <v>1409</v>
      </c>
      <c r="H14">
        <v>415</v>
      </c>
      <c r="J14">
        <v>404</v>
      </c>
    </row>
    <row r="15" spans="1:12">
      <c r="A15" t="s">
        <v>586</v>
      </c>
      <c r="F15">
        <v>2127</v>
      </c>
      <c r="H15">
        <v>479</v>
      </c>
      <c r="J15">
        <v>441</v>
      </c>
    </row>
    <row r="16" spans="1:12">
      <c r="A16" t="s">
        <v>587</v>
      </c>
      <c r="F16">
        <v>1689</v>
      </c>
      <c r="H16">
        <v>344</v>
      </c>
      <c r="J16">
        <v>387</v>
      </c>
    </row>
    <row r="17" spans="1:10">
      <c r="A17" t="s">
        <v>588</v>
      </c>
      <c r="F17">
        <v>2758</v>
      </c>
      <c r="H17">
        <v>656</v>
      </c>
      <c r="J17">
        <v>446</v>
      </c>
    </row>
    <row r="18" spans="1:10">
      <c r="A18" t="s">
        <v>589</v>
      </c>
      <c r="F18">
        <v>1369</v>
      </c>
      <c r="H18">
        <v>463</v>
      </c>
      <c r="J18">
        <v>448</v>
      </c>
    </row>
    <row r="19" spans="1:10">
      <c r="A19" t="s">
        <v>590</v>
      </c>
      <c r="F19">
        <v>433</v>
      </c>
      <c r="H19">
        <v>2806</v>
      </c>
    </row>
    <row r="20" spans="1:10">
      <c r="A20" t="s">
        <v>591</v>
      </c>
      <c r="F20">
        <v>1783</v>
      </c>
      <c r="H20">
        <v>546</v>
      </c>
    </row>
    <row r="21" spans="1:10">
      <c r="A21" t="s">
        <v>592</v>
      </c>
      <c r="F21">
        <v>1757</v>
      </c>
      <c r="H21">
        <v>438</v>
      </c>
    </row>
    <row r="22" spans="1:10">
      <c r="A22" t="s">
        <v>593</v>
      </c>
      <c r="F22">
        <v>1466</v>
      </c>
      <c r="H22">
        <v>871</v>
      </c>
    </row>
    <row r="23" spans="1:10">
      <c r="A23" t="s">
        <v>594</v>
      </c>
      <c r="F23">
        <v>591</v>
      </c>
      <c r="H23">
        <v>2335</v>
      </c>
    </row>
    <row r="24" spans="1:10">
      <c r="A24" t="s">
        <v>595</v>
      </c>
      <c r="F24">
        <v>2427</v>
      </c>
      <c r="H24">
        <v>1077</v>
      </c>
    </row>
    <row r="25" spans="1:10">
      <c r="A25" t="s">
        <v>596</v>
      </c>
      <c r="F25">
        <v>3009</v>
      </c>
      <c r="H25">
        <v>912</v>
      </c>
    </row>
    <row r="26" spans="1:10">
      <c r="A26" t="s">
        <v>597</v>
      </c>
      <c r="F26">
        <v>1126</v>
      </c>
      <c r="H26">
        <v>6084</v>
      </c>
    </row>
    <row r="27" spans="1:10">
      <c r="A27" t="s">
        <v>598</v>
      </c>
      <c r="F27">
        <v>3605</v>
      </c>
      <c r="H27">
        <v>758</v>
      </c>
    </row>
    <row r="28" spans="1:10">
      <c r="A28" s="12" t="s">
        <v>599</v>
      </c>
      <c r="F28">
        <v>1423</v>
      </c>
      <c r="H28">
        <v>1081</v>
      </c>
    </row>
    <row r="29" spans="1:10">
      <c r="A29" t="s">
        <v>600</v>
      </c>
      <c r="F29">
        <v>1116</v>
      </c>
      <c r="H29">
        <v>2886</v>
      </c>
    </row>
    <row r="30" spans="1:10">
      <c r="A30" t="s">
        <v>601</v>
      </c>
      <c r="F30">
        <v>760</v>
      </c>
      <c r="H30">
        <v>930</v>
      </c>
    </row>
    <row r="31" spans="1:10">
      <c r="A31" t="s">
        <v>602</v>
      </c>
      <c r="F31">
        <v>1795</v>
      </c>
      <c r="H31">
        <v>1576</v>
      </c>
    </row>
    <row r="32" spans="1:10">
      <c r="A32" t="s">
        <v>603</v>
      </c>
      <c r="F32">
        <v>701</v>
      </c>
      <c r="H32">
        <v>953</v>
      </c>
    </row>
    <row r="33" spans="1:9">
      <c r="A33" t="s">
        <v>604</v>
      </c>
      <c r="F33">
        <v>2412</v>
      </c>
      <c r="G33">
        <v>10</v>
      </c>
      <c r="H33">
        <v>2248</v>
      </c>
      <c r="I33">
        <v>9</v>
      </c>
    </row>
    <row r="34" spans="1:9">
      <c r="A34" t="s">
        <v>605</v>
      </c>
      <c r="F34">
        <v>854</v>
      </c>
      <c r="G34">
        <v>2</v>
      </c>
      <c r="H34">
        <v>733</v>
      </c>
      <c r="I34">
        <v>3</v>
      </c>
    </row>
    <row r="35" spans="1:9">
      <c r="A35" t="s">
        <v>606</v>
      </c>
      <c r="F35">
        <v>217</v>
      </c>
      <c r="G35">
        <v>2</v>
      </c>
      <c r="H35">
        <v>1308</v>
      </c>
      <c r="I35">
        <v>6</v>
      </c>
    </row>
    <row r="36" spans="1:9">
      <c r="A36" t="s">
        <v>92</v>
      </c>
      <c r="F36">
        <v>552</v>
      </c>
      <c r="G36">
        <v>9</v>
      </c>
      <c r="H36">
        <v>977</v>
      </c>
      <c r="I36">
        <v>14</v>
      </c>
    </row>
    <row r="37" spans="1:9">
      <c r="A37" t="s">
        <v>607</v>
      </c>
      <c r="F37">
        <v>2812</v>
      </c>
      <c r="G37">
        <v>45</v>
      </c>
      <c r="H37">
        <v>609</v>
      </c>
      <c r="I37">
        <v>4</v>
      </c>
    </row>
    <row r="38" spans="1:9">
      <c r="A38" t="s">
        <v>608</v>
      </c>
      <c r="F38">
        <v>1200</v>
      </c>
      <c r="G38">
        <v>4</v>
      </c>
      <c r="H38">
        <v>1565</v>
      </c>
      <c r="I38">
        <v>6</v>
      </c>
    </row>
    <row r="39" spans="1:9">
      <c r="A39" t="s">
        <v>609</v>
      </c>
      <c r="F39">
        <v>1589</v>
      </c>
      <c r="G39">
        <v>9</v>
      </c>
      <c r="H39">
        <v>802</v>
      </c>
      <c r="I39">
        <v>5</v>
      </c>
    </row>
    <row r="40" spans="1:9">
      <c r="A40" t="s">
        <v>610</v>
      </c>
      <c r="F40">
        <v>1545</v>
      </c>
      <c r="G40">
        <v>12</v>
      </c>
      <c r="H40">
        <v>1765</v>
      </c>
      <c r="I40">
        <v>13</v>
      </c>
    </row>
    <row r="41" spans="1:9">
      <c r="A41" t="s">
        <v>611</v>
      </c>
      <c r="F41">
        <v>471</v>
      </c>
      <c r="G41">
        <v>2</v>
      </c>
      <c r="H41">
        <v>1498</v>
      </c>
      <c r="I41">
        <v>6</v>
      </c>
    </row>
    <row r="42" spans="1:9">
      <c r="A42" t="s">
        <v>612</v>
      </c>
      <c r="F42">
        <v>555</v>
      </c>
      <c r="G42">
        <v>4</v>
      </c>
      <c r="H42">
        <v>673</v>
      </c>
      <c r="I42">
        <v>6</v>
      </c>
    </row>
    <row r="43" spans="1:9">
      <c r="A43" t="s">
        <v>613</v>
      </c>
      <c r="F43">
        <v>1439</v>
      </c>
      <c r="G43">
        <v>6</v>
      </c>
      <c r="H43">
        <v>1329</v>
      </c>
      <c r="I43">
        <v>5</v>
      </c>
    </row>
    <row r="44" spans="1:9">
      <c r="A44" t="s">
        <v>88</v>
      </c>
      <c r="F44">
        <v>598</v>
      </c>
      <c r="G44">
        <v>41</v>
      </c>
      <c r="H44">
        <v>85</v>
      </c>
      <c r="I44">
        <v>7</v>
      </c>
    </row>
    <row r="45" spans="1:9">
      <c r="A45" t="s">
        <v>536</v>
      </c>
      <c r="F45">
        <v>432</v>
      </c>
      <c r="G45">
        <v>2</v>
      </c>
      <c r="H45">
        <v>700</v>
      </c>
      <c r="I45">
        <v>2</v>
      </c>
    </row>
    <row r="46" spans="1:9">
      <c r="A46" t="s">
        <v>614</v>
      </c>
      <c r="F46">
        <v>1592</v>
      </c>
      <c r="G46">
        <v>4</v>
      </c>
      <c r="H46">
        <v>922</v>
      </c>
      <c r="I46">
        <v>6</v>
      </c>
    </row>
    <row r="47" spans="1:9">
      <c r="A47" t="s">
        <v>615</v>
      </c>
      <c r="F47">
        <v>0</v>
      </c>
      <c r="G47">
        <v>0</v>
      </c>
      <c r="H47">
        <v>561</v>
      </c>
      <c r="I47">
        <v>2</v>
      </c>
    </row>
    <row r="48" spans="1:9">
      <c r="A48" t="s">
        <v>544</v>
      </c>
      <c r="F48">
        <v>343</v>
      </c>
      <c r="G48">
        <v>1</v>
      </c>
      <c r="H48">
        <v>1116</v>
      </c>
      <c r="I48">
        <v>4</v>
      </c>
    </row>
    <row r="49" spans="1:12">
      <c r="A49" t="s">
        <v>123</v>
      </c>
      <c r="F49">
        <v>2096</v>
      </c>
      <c r="G49">
        <v>9</v>
      </c>
      <c r="H49">
        <v>1065</v>
      </c>
      <c r="I49">
        <v>5</v>
      </c>
    </row>
    <row r="50" spans="1:12">
      <c r="A50" t="s">
        <v>616</v>
      </c>
      <c r="F50">
        <v>0</v>
      </c>
      <c r="G50">
        <v>0</v>
      </c>
      <c r="H50">
        <v>998</v>
      </c>
      <c r="I50">
        <v>4</v>
      </c>
    </row>
    <row r="51" spans="1:12">
      <c r="A51" t="s">
        <v>617</v>
      </c>
      <c r="F51">
        <v>1050</v>
      </c>
      <c r="G51">
        <v>3</v>
      </c>
      <c r="H51">
        <v>1646</v>
      </c>
      <c r="I51">
        <v>6</v>
      </c>
    </row>
    <row r="52" spans="1:12">
      <c r="A52" t="s">
        <v>618</v>
      </c>
      <c r="F52">
        <v>0</v>
      </c>
      <c r="G52">
        <v>0</v>
      </c>
      <c r="H52">
        <v>820</v>
      </c>
      <c r="I52">
        <v>2</v>
      </c>
    </row>
    <row r="53" spans="1:12">
      <c r="A53" t="s">
        <v>149</v>
      </c>
      <c r="F53">
        <v>4262</v>
      </c>
      <c r="G53">
        <v>14</v>
      </c>
      <c r="H53">
        <v>1872</v>
      </c>
      <c r="I53">
        <v>5</v>
      </c>
    </row>
    <row r="54" spans="1:12">
      <c r="A54" t="s">
        <v>619</v>
      </c>
      <c r="F54">
        <v>2690</v>
      </c>
      <c r="G54">
        <v>10</v>
      </c>
      <c r="H54">
        <v>1728</v>
      </c>
      <c r="I54">
        <v>6</v>
      </c>
    </row>
    <row r="55" spans="1:12">
      <c r="A55" t="s">
        <v>136</v>
      </c>
      <c r="G55">
        <v>8</v>
      </c>
      <c r="I55">
        <v>10</v>
      </c>
      <c r="L55">
        <v>4891</v>
      </c>
    </row>
    <row r="56" spans="1:12">
      <c r="A56" t="s">
        <v>620</v>
      </c>
      <c r="G56">
        <v>5</v>
      </c>
      <c r="I56">
        <v>6</v>
      </c>
      <c r="L56">
        <v>4620</v>
      </c>
    </row>
    <row r="57" spans="1:12">
      <c r="A57" t="s">
        <v>621</v>
      </c>
      <c r="G57">
        <v>16</v>
      </c>
      <c r="I57">
        <v>8</v>
      </c>
      <c r="L57">
        <v>5595</v>
      </c>
    </row>
    <row r="58" spans="1:12">
      <c r="A58" t="s">
        <v>188</v>
      </c>
      <c r="G58">
        <v>11</v>
      </c>
      <c r="I58">
        <v>8</v>
      </c>
      <c r="L58">
        <v>3567</v>
      </c>
    </row>
    <row r="59" spans="1:12">
      <c r="A59" t="s">
        <v>145</v>
      </c>
      <c r="G59">
        <v>10</v>
      </c>
      <c r="I59">
        <v>8</v>
      </c>
      <c r="L59">
        <v>4268</v>
      </c>
    </row>
    <row r="60" spans="1:12">
      <c r="A60" t="s">
        <v>622</v>
      </c>
      <c r="G60">
        <v>6</v>
      </c>
      <c r="I60">
        <v>6</v>
      </c>
      <c r="L60">
        <v>3277</v>
      </c>
    </row>
    <row r="61" spans="1:12">
      <c r="A61" t="s">
        <v>156</v>
      </c>
      <c r="G61">
        <v>2</v>
      </c>
      <c r="I61">
        <v>11</v>
      </c>
      <c r="L61">
        <v>2904</v>
      </c>
    </row>
    <row r="62" spans="1:12">
      <c r="A62" t="s">
        <v>623</v>
      </c>
      <c r="G62">
        <v>14</v>
      </c>
      <c r="I62">
        <v>11</v>
      </c>
      <c r="L62">
        <v>6632</v>
      </c>
    </row>
    <row r="63" spans="1:12">
      <c r="A63" t="s">
        <v>143</v>
      </c>
      <c r="G63">
        <v>9</v>
      </c>
      <c r="I63">
        <v>10</v>
      </c>
      <c r="L63">
        <v>3701</v>
      </c>
    </row>
    <row r="64" spans="1:12">
      <c r="A64" t="s">
        <v>171</v>
      </c>
      <c r="G64">
        <v>0</v>
      </c>
      <c r="I64">
        <v>5</v>
      </c>
      <c r="L64">
        <v>2171</v>
      </c>
    </row>
    <row r="65" spans="1:12">
      <c r="A65" t="s">
        <v>624</v>
      </c>
      <c r="G65">
        <v>9</v>
      </c>
      <c r="I65">
        <v>9</v>
      </c>
      <c r="L65">
        <v>6186</v>
      </c>
    </row>
    <row r="66" spans="1:12">
      <c r="A66" t="s">
        <v>625</v>
      </c>
      <c r="G66">
        <v>11</v>
      </c>
      <c r="I66">
        <v>4</v>
      </c>
      <c r="L66">
        <v>3874</v>
      </c>
    </row>
    <row r="67" spans="1:12">
      <c r="A67" t="s">
        <v>164</v>
      </c>
      <c r="G67">
        <v>3</v>
      </c>
      <c r="I67">
        <v>4</v>
      </c>
      <c r="L67">
        <v>1555</v>
      </c>
    </row>
    <row r="68" spans="1:12">
      <c r="A68" t="s">
        <v>626</v>
      </c>
      <c r="G68">
        <v>2</v>
      </c>
      <c r="I68">
        <v>2</v>
      </c>
      <c r="L68">
        <v>957</v>
      </c>
    </row>
    <row r="69" spans="1:12">
      <c r="A69" t="s">
        <v>146</v>
      </c>
      <c r="F69">
        <v>2876</v>
      </c>
      <c r="G69">
        <v>9</v>
      </c>
      <c r="I69">
        <v>11</v>
      </c>
      <c r="L69">
        <v>5542</v>
      </c>
    </row>
    <row r="70" spans="1:12">
      <c r="A70" t="s">
        <v>627</v>
      </c>
      <c r="F70">
        <v>1371</v>
      </c>
      <c r="G70">
        <v>5</v>
      </c>
      <c r="I70">
        <v>4</v>
      </c>
      <c r="L70">
        <v>2464</v>
      </c>
    </row>
    <row r="71" spans="1:12">
      <c r="A71" t="s">
        <v>628</v>
      </c>
      <c r="F71">
        <v>1471</v>
      </c>
      <c r="G71">
        <v>7</v>
      </c>
      <c r="I71">
        <v>14</v>
      </c>
      <c r="L71">
        <v>4340</v>
      </c>
    </row>
    <row r="72" spans="1:12">
      <c r="A72" t="s">
        <v>629</v>
      </c>
      <c r="F72">
        <v>1053</v>
      </c>
      <c r="G72">
        <v>3</v>
      </c>
      <c r="I72">
        <v>3</v>
      </c>
      <c r="L72">
        <v>1731</v>
      </c>
    </row>
    <row r="73" spans="1:12">
      <c r="A73" t="s">
        <v>630</v>
      </c>
      <c r="G73">
        <v>2</v>
      </c>
      <c r="I73">
        <v>0</v>
      </c>
      <c r="L73">
        <v>651</v>
      </c>
    </row>
    <row r="74" spans="1:12">
      <c r="A74" t="s">
        <v>160</v>
      </c>
      <c r="F74">
        <v>1400</v>
      </c>
      <c r="G74">
        <v>8</v>
      </c>
      <c r="I74">
        <v>7</v>
      </c>
      <c r="L74">
        <v>2739</v>
      </c>
    </row>
    <row r="75" spans="1:12">
      <c r="A75" t="s">
        <v>133</v>
      </c>
      <c r="F75">
        <v>673</v>
      </c>
      <c r="G75">
        <v>3</v>
      </c>
      <c r="I75">
        <v>6</v>
      </c>
      <c r="L75">
        <v>2065</v>
      </c>
    </row>
    <row r="76" spans="1:12">
      <c r="A76" t="s">
        <v>631</v>
      </c>
      <c r="F76">
        <v>2399</v>
      </c>
      <c r="G76">
        <v>12</v>
      </c>
      <c r="I76">
        <v>5</v>
      </c>
      <c r="L76">
        <v>3044</v>
      </c>
    </row>
    <row r="77" spans="1:12">
      <c r="A77" t="s">
        <v>632</v>
      </c>
      <c r="F77">
        <v>709</v>
      </c>
      <c r="G77">
        <v>3</v>
      </c>
      <c r="I77">
        <v>8</v>
      </c>
      <c r="L77">
        <v>4825</v>
      </c>
    </row>
    <row r="78" spans="1:12">
      <c r="A78" t="s">
        <v>150</v>
      </c>
      <c r="F78">
        <v>3678</v>
      </c>
      <c r="G78">
        <v>12</v>
      </c>
      <c r="I78">
        <v>10</v>
      </c>
      <c r="L78">
        <v>7153</v>
      </c>
    </row>
    <row r="79" spans="1:12">
      <c r="A79" t="s">
        <v>633</v>
      </c>
      <c r="F79">
        <v>1385</v>
      </c>
      <c r="G79">
        <v>5</v>
      </c>
      <c r="I79">
        <v>5</v>
      </c>
      <c r="L79">
        <v>3329</v>
      </c>
    </row>
    <row r="80" spans="1:12">
      <c r="A80" t="s">
        <v>170</v>
      </c>
      <c r="F80">
        <v>0</v>
      </c>
      <c r="G80">
        <v>0</v>
      </c>
      <c r="H80">
        <v>0</v>
      </c>
      <c r="I80">
        <v>6</v>
      </c>
      <c r="L80">
        <v>2083</v>
      </c>
    </row>
    <row r="81" spans="1:12">
      <c r="A81" t="s">
        <v>634</v>
      </c>
      <c r="F81">
        <v>1250</v>
      </c>
      <c r="G81">
        <v>5</v>
      </c>
      <c r="I81">
        <v>6</v>
      </c>
      <c r="L81">
        <v>3486</v>
      </c>
    </row>
    <row r="82" spans="1:12">
      <c r="A82" t="s">
        <v>635</v>
      </c>
      <c r="F82">
        <v>1153</v>
      </c>
      <c r="G82">
        <v>5</v>
      </c>
      <c r="I82">
        <v>5</v>
      </c>
      <c r="L82">
        <v>2535</v>
      </c>
    </row>
    <row r="83" spans="1:12">
      <c r="A83" t="s">
        <v>636</v>
      </c>
      <c r="F83">
        <v>3139</v>
      </c>
      <c r="G83">
        <v>96</v>
      </c>
      <c r="I83">
        <v>7</v>
      </c>
      <c r="L83">
        <v>3368</v>
      </c>
    </row>
    <row r="84" spans="1:12">
      <c r="A84">
        <v>25304</v>
      </c>
      <c r="F84">
        <v>1198</v>
      </c>
      <c r="G84">
        <v>6</v>
      </c>
      <c r="I84">
        <v>5</v>
      </c>
      <c r="L84">
        <v>2623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32079-6445-4FA4-883F-3D2AE394B999}">
  <dimension ref="A1:N39"/>
  <sheetViews>
    <sheetView zoomScaleNormal="150" zoomScaleSheetLayoutView="100" workbookViewId="0"/>
  </sheetViews>
  <sheetFormatPr defaultRowHeight="16.5"/>
  <cols>
    <col min="5" max="5" width="7.125" bestFit="1" customWidth="1"/>
    <col min="6" max="6" width="23.75" bestFit="1" customWidth="1"/>
    <col min="7" max="7" width="24.5" bestFit="1" customWidth="1"/>
    <col min="8" max="8" width="26" customWidth="1"/>
    <col min="9" max="9" width="22" customWidth="1"/>
    <col min="10" max="10" width="27" customWidth="1"/>
    <col min="11" max="11" width="21" customWidth="1"/>
    <col min="13" max="13" width="14.375" bestFit="1" customWidth="1"/>
  </cols>
  <sheetData>
    <row r="1" spans="1:14">
      <c r="A1" s="17" t="s">
        <v>0</v>
      </c>
      <c r="B1" s="17" t="s">
        <v>1</v>
      </c>
      <c r="C1" s="17" t="s">
        <v>2</v>
      </c>
      <c r="D1" s="17" t="s">
        <v>3</v>
      </c>
      <c r="E1" s="17" t="s">
        <v>4</v>
      </c>
      <c r="F1" s="17" t="s">
        <v>5</v>
      </c>
      <c r="G1" s="17" t="s">
        <v>6</v>
      </c>
      <c r="H1" s="17" t="s">
        <v>9</v>
      </c>
      <c r="I1" t="s">
        <v>637</v>
      </c>
      <c r="J1" t="s">
        <v>426</v>
      </c>
      <c r="K1" t="s">
        <v>572</v>
      </c>
      <c r="L1" t="s">
        <v>638</v>
      </c>
      <c r="M1" t="s">
        <v>639</v>
      </c>
      <c r="N1" t="s">
        <v>640</v>
      </c>
    </row>
    <row r="2" spans="1:14">
      <c r="A2">
        <f>ROW() - ROW($A$2) + 1</f>
        <v>1</v>
      </c>
      <c r="B2" t="s">
        <v>163</v>
      </c>
      <c r="F2">
        <v>3163</v>
      </c>
      <c r="G2">
        <v>12</v>
      </c>
      <c r="H2">
        <v>6956</v>
      </c>
      <c r="I2">
        <v>23</v>
      </c>
      <c r="L2">
        <f>(F2+H2)</f>
        <v>10119</v>
      </c>
      <c r="M2">
        <f>L2/1000</f>
        <v>10.119</v>
      </c>
    </row>
    <row r="3" spans="1:14">
      <c r="A3">
        <f>ROW() - ROW($A$2) + 1</f>
        <v>2</v>
      </c>
      <c r="B3" t="s">
        <v>641</v>
      </c>
      <c r="F3">
        <v>3117</v>
      </c>
      <c r="G3">
        <v>9</v>
      </c>
      <c r="H3">
        <v>3262</v>
      </c>
      <c r="I3">
        <v>9</v>
      </c>
      <c r="L3">
        <f>(F3+H3)</f>
        <v>6379</v>
      </c>
      <c r="M3">
        <f>L3/1000</f>
        <v>6.3789999999999996</v>
      </c>
    </row>
    <row r="4" spans="1:14">
      <c r="A4">
        <f>ROW() - ROW($A$2) + 1</f>
        <v>3</v>
      </c>
      <c r="B4" t="s">
        <v>642</v>
      </c>
      <c r="F4">
        <v>6813</v>
      </c>
      <c r="G4">
        <v>25</v>
      </c>
      <c r="H4">
        <v>3977</v>
      </c>
      <c r="I4">
        <v>19</v>
      </c>
      <c r="L4">
        <f>(F4+H4)</f>
        <v>10790</v>
      </c>
      <c r="M4">
        <f>L4/1000</f>
        <v>10.79</v>
      </c>
    </row>
    <row r="5" spans="1:14">
      <c r="A5">
        <f>ROW() - ROW($A$2) + 1</f>
        <v>4</v>
      </c>
      <c r="B5" t="s">
        <v>643</v>
      </c>
      <c r="F5">
        <v>7673</v>
      </c>
      <c r="G5">
        <v>23</v>
      </c>
      <c r="H5">
        <v>2758</v>
      </c>
      <c r="I5">
        <v>10</v>
      </c>
      <c r="L5">
        <f>(F5+H5)</f>
        <v>10431</v>
      </c>
      <c r="M5">
        <f>L5/1000</f>
        <v>10.430999999999999</v>
      </c>
    </row>
    <row r="6" spans="1:14">
      <c r="A6">
        <f>ROW() - ROW($A$2) + 1</f>
        <v>5</v>
      </c>
      <c r="B6" t="s">
        <v>644</v>
      </c>
      <c r="F6">
        <v>3633</v>
      </c>
      <c r="G6">
        <v>10</v>
      </c>
      <c r="H6">
        <v>4224</v>
      </c>
      <c r="I6">
        <v>19</v>
      </c>
      <c r="L6">
        <f>(F6+H6)</f>
        <v>7857</v>
      </c>
      <c r="M6">
        <f>L6/1000</f>
        <v>7.8570000000000002</v>
      </c>
    </row>
    <row r="7" spans="1:14">
      <c r="A7">
        <f>ROW() - ROW($A$2) + 1</f>
        <v>6</v>
      </c>
      <c r="B7" t="s">
        <v>645</v>
      </c>
      <c r="F7">
        <v>2930</v>
      </c>
      <c r="G7">
        <v>10</v>
      </c>
      <c r="H7">
        <v>3273</v>
      </c>
      <c r="I7">
        <v>11</v>
      </c>
      <c r="L7">
        <f>(F7+H7)</f>
        <v>6203</v>
      </c>
      <c r="M7">
        <f>L7/1000</f>
        <v>6.2030000000000003</v>
      </c>
    </row>
    <row r="8" spans="1:14">
      <c r="A8">
        <f>ROW() - ROW($A$2) + 1</f>
        <v>7</v>
      </c>
      <c r="B8" t="s">
        <v>145</v>
      </c>
      <c r="F8">
        <v>2483</v>
      </c>
      <c r="G8">
        <v>7</v>
      </c>
      <c r="H8">
        <v>4262</v>
      </c>
      <c r="I8">
        <v>14</v>
      </c>
      <c r="L8">
        <f>(F8+H8)</f>
        <v>6745</v>
      </c>
      <c r="M8">
        <f>L8/1000</f>
        <v>6.7450000000000001</v>
      </c>
    </row>
    <row r="9" spans="1:14">
      <c r="A9">
        <f>ROW() - ROW($A$2) + 1</f>
        <v>8</v>
      </c>
      <c r="B9" t="s">
        <v>646</v>
      </c>
      <c r="F9">
        <v>3443</v>
      </c>
      <c r="G9">
        <v>9</v>
      </c>
      <c r="H9">
        <v>4592</v>
      </c>
      <c r="I9">
        <v>12</v>
      </c>
      <c r="L9">
        <f>(F9+H9)</f>
        <v>8035</v>
      </c>
      <c r="M9">
        <f>L9/1000</f>
        <v>8.0350000000000001</v>
      </c>
    </row>
    <row r="10" spans="1:14">
      <c r="A10">
        <f>ROW() - ROW($A$2) + 1</f>
        <v>9</v>
      </c>
      <c r="B10" t="s">
        <v>647</v>
      </c>
      <c r="F10">
        <v>5442</v>
      </c>
      <c r="G10">
        <v>12</v>
      </c>
      <c r="H10">
        <v>7010</v>
      </c>
      <c r="I10">
        <v>17</v>
      </c>
      <c r="L10">
        <f>(F10+H10)</f>
        <v>12452</v>
      </c>
      <c r="M10">
        <f>L10/1000</f>
        <v>12.452</v>
      </c>
    </row>
    <row r="11" spans="1:14">
      <c r="A11">
        <f>ROW() - ROW($A$2) + 1</f>
        <v>10</v>
      </c>
      <c r="B11" t="s">
        <v>138</v>
      </c>
      <c r="F11">
        <v>1827</v>
      </c>
      <c r="G11">
        <v>6</v>
      </c>
      <c r="H11">
        <v>941</v>
      </c>
      <c r="I11">
        <v>4</v>
      </c>
      <c r="L11">
        <f>(F11+H11)</f>
        <v>2768</v>
      </c>
      <c r="M11">
        <f>L11/1000</f>
        <v>2.7679999999999998</v>
      </c>
    </row>
    <row r="12" spans="1:14">
      <c r="A12">
        <f>ROW() - ROW($A$2) + 1</f>
        <v>11</v>
      </c>
      <c r="B12" t="s">
        <v>146</v>
      </c>
      <c r="F12">
        <v>4747</v>
      </c>
      <c r="G12">
        <v>23</v>
      </c>
      <c r="H12">
        <v>4382</v>
      </c>
      <c r="I12">
        <v>18</v>
      </c>
      <c r="L12">
        <f>(F12+H12)</f>
        <v>9129</v>
      </c>
      <c r="M12">
        <f>L12/1000</f>
        <v>9.1289999999999996</v>
      </c>
    </row>
    <row r="13" spans="1:14">
      <c r="A13">
        <f>ROW() - ROW($A$2) + 1</f>
        <v>12</v>
      </c>
      <c r="B13" t="s">
        <v>159</v>
      </c>
      <c r="F13">
        <v>7625</v>
      </c>
      <c r="G13">
        <v>26</v>
      </c>
      <c r="H13">
        <v>3106</v>
      </c>
      <c r="I13">
        <v>12</v>
      </c>
      <c r="L13">
        <f>(F13+H13)</f>
        <v>10731</v>
      </c>
      <c r="M13">
        <f>L13/1000</f>
        <v>10.731</v>
      </c>
    </row>
    <row r="14" spans="1:14">
      <c r="A14">
        <f>ROW() - ROW($A$2) + 1</f>
        <v>13</v>
      </c>
      <c r="B14">
        <v>25311</v>
      </c>
      <c r="F14">
        <v>4433</v>
      </c>
      <c r="G14">
        <v>12</v>
      </c>
      <c r="H14">
        <v>3601</v>
      </c>
      <c r="I14">
        <v>13</v>
      </c>
      <c r="L14">
        <f>(F14+H14)</f>
        <v>8034</v>
      </c>
      <c r="M14">
        <f>L14/1000</f>
        <v>8.0340000000000007</v>
      </c>
    </row>
    <row r="15" spans="1:14">
      <c r="A15">
        <v>14</v>
      </c>
      <c r="B15" t="s">
        <v>648</v>
      </c>
      <c r="F15">
        <v>5854</v>
      </c>
      <c r="G15">
        <v>17</v>
      </c>
      <c r="H15">
        <v>2014</v>
      </c>
      <c r="I15">
        <v>7</v>
      </c>
      <c r="L15">
        <f>(F15+H15)</f>
        <v>7868</v>
      </c>
      <c r="M15">
        <f>L15/1000</f>
        <v>7.8680000000000003</v>
      </c>
    </row>
    <row r="16" spans="1:14">
      <c r="A16">
        <v>15</v>
      </c>
      <c r="B16" t="s">
        <v>649</v>
      </c>
      <c r="F16">
        <v>4331</v>
      </c>
      <c r="G16">
        <v>16</v>
      </c>
      <c r="H16">
        <v>2418</v>
      </c>
      <c r="I16">
        <v>11</v>
      </c>
      <c r="L16">
        <f>(F16+H16)</f>
        <v>6749</v>
      </c>
      <c r="M16">
        <f>L16/1000</f>
        <v>6.7489999999999997</v>
      </c>
      <c r="N16" t="s">
        <v>650</v>
      </c>
    </row>
    <row r="17" spans="1:13">
      <c r="A17">
        <v>16</v>
      </c>
      <c r="B17" t="s">
        <v>148</v>
      </c>
      <c r="F17">
        <v>1893</v>
      </c>
      <c r="G17">
        <v>7</v>
      </c>
      <c r="H17">
        <v>2992</v>
      </c>
      <c r="I17">
        <v>12</v>
      </c>
      <c r="L17">
        <f>(F17+H17)</f>
        <v>4885</v>
      </c>
      <c r="M17">
        <f>L17/1000</f>
        <v>4.8849999999999998</v>
      </c>
    </row>
    <row r="18" spans="1:13">
      <c r="A18">
        <v>17</v>
      </c>
      <c r="B18" t="s">
        <v>651</v>
      </c>
      <c r="F18">
        <v>4385</v>
      </c>
      <c r="G18">
        <v>11</v>
      </c>
      <c r="H18">
        <v>997</v>
      </c>
      <c r="I18">
        <v>3</v>
      </c>
      <c r="L18">
        <f>(F18+H18)</f>
        <v>5382</v>
      </c>
      <c r="M18">
        <f>L18/1000</f>
        <v>5.3819999999999997</v>
      </c>
    </row>
    <row r="19" spans="1:13">
      <c r="A19">
        <v>18</v>
      </c>
      <c r="B19" t="s">
        <v>634</v>
      </c>
      <c r="F19">
        <v>2676</v>
      </c>
      <c r="G19">
        <v>8</v>
      </c>
      <c r="H19">
        <v>2181</v>
      </c>
      <c r="I19">
        <v>7</v>
      </c>
      <c r="L19">
        <f>(F19+H19)</f>
        <v>4857</v>
      </c>
      <c r="M19">
        <f>L19/1000</f>
        <v>4.8570000000000002</v>
      </c>
    </row>
    <row r="20" spans="1:13">
      <c r="A20">
        <v>19</v>
      </c>
      <c r="B20" t="s">
        <v>652</v>
      </c>
      <c r="F20">
        <v>4349</v>
      </c>
      <c r="G20">
        <v>8</v>
      </c>
      <c r="H20">
        <v>6189</v>
      </c>
      <c r="I20">
        <v>16</v>
      </c>
      <c r="L20">
        <f>(F20+H20)</f>
        <v>10538</v>
      </c>
      <c r="M20">
        <f>L20/1000</f>
        <v>10.538</v>
      </c>
    </row>
    <row r="21" spans="1:13">
      <c r="A21">
        <v>20</v>
      </c>
      <c r="B21" t="s">
        <v>653</v>
      </c>
      <c r="F21">
        <v>7423</v>
      </c>
      <c r="G21">
        <v>23</v>
      </c>
      <c r="H21">
        <v>5310</v>
      </c>
      <c r="I21">
        <v>24</v>
      </c>
      <c r="L21">
        <f>(F21+H21)</f>
        <v>12733</v>
      </c>
      <c r="M21">
        <f>L21/1000</f>
        <v>12.733000000000001</v>
      </c>
    </row>
    <row r="22" spans="1:13">
      <c r="A22">
        <v>21</v>
      </c>
      <c r="B22" t="s">
        <v>643</v>
      </c>
      <c r="F22">
        <v>9915</v>
      </c>
      <c r="G22">
        <v>22</v>
      </c>
      <c r="H22">
        <v>4335</v>
      </c>
      <c r="I22">
        <v>15</v>
      </c>
      <c r="L22">
        <f>(F22+H22)</f>
        <v>14250</v>
      </c>
      <c r="M22">
        <f>L22/1000</f>
        <v>14.25</v>
      </c>
    </row>
    <row r="23" spans="1:13">
      <c r="A23">
        <v>22</v>
      </c>
      <c r="B23" t="s">
        <v>654</v>
      </c>
      <c r="F23">
        <v>1084</v>
      </c>
      <c r="G23">
        <v>2</v>
      </c>
      <c r="H23">
        <v>3098</v>
      </c>
      <c r="I23">
        <v>8</v>
      </c>
      <c r="L23">
        <f>(F23+H23)</f>
        <v>4182</v>
      </c>
      <c r="M23">
        <f>L23/1000</f>
        <v>4.1820000000000004</v>
      </c>
    </row>
    <row r="24" spans="1:13">
      <c r="A24">
        <v>23</v>
      </c>
      <c r="B24" t="s">
        <v>143</v>
      </c>
      <c r="F24">
        <v>2402</v>
      </c>
      <c r="G24">
        <v>9</v>
      </c>
      <c r="H24">
        <v>2530</v>
      </c>
      <c r="I24">
        <v>10</v>
      </c>
      <c r="L24">
        <f>(F24+H24)</f>
        <v>4932</v>
      </c>
      <c r="M24">
        <f>L24/1000</f>
        <v>4.9320000000000004</v>
      </c>
    </row>
    <row r="25" spans="1:13">
      <c r="A25">
        <v>24</v>
      </c>
      <c r="B25" t="s">
        <v>655</v>
      </c>
      <c r="F25">
        <v>1334</v>
      </c>
      <c r="G25">
        <v>4</v>
      </c>
      <c r="H25">
        <v>1406</v>
      </c>
      <c r="I25">
        <v>5</v>
      </c>
      <c r="L25">
        <f>(F25+H25)</f>
        <v>2740</v>
      </c>
      <c r="M25">
        <f>L25/1000</f>
        <v>2.74</v>
      </c>
    </row>
    <row r="26" spans="1:13">
      <c r="A26">
        <v>25</v>
      </c>
      <c r="B26" t="s">
        <v>133</v>
      </c>
      <c r="F26">
        <v>4581</v>
      </c>
      <c r="G26">
        <v>15</v>
      </c>
      <c r="H26">
        <v>1344</v>
      </c>
      <c r="I26">
        <v>4</v>
      </c>
      <c r="L26">
        <f>(F26+H26)</f>
        <v>5925</v>
      </c>
      <c r="M26">
        <f>L26/1000</f>
        <v>5.9249999999999998</v>
      </c>
    </row>
    <row r="27" spans="1:13">
      <c r="A27">
        <v>26</v>
      </c>
      <c r="B27" t="s">
        <v>632</v>
      </c>
      <c r="F27">
        <v>2646</v>
      </c>
      <c r="G27">
        <v>5</v>
      </c>
      <c r="H27">
        <v>4725</v>
      </c>
      <c r="I27">
        <v>12</v>
      </c>
      <c r="L27">
        <f>(F27+H27)</f>
        <v>7371</v>
      </c>
      <c r="M27">
        <f>L27/1000</f>
        <v>7.3710000000000004</v>
      </c>
    </row>
    <row r="28" spans="1:13">
      <c r="A28">
        <v>27</v>
      </c>
      <c r="B28" t="s">
        <v>628</v>
      </c>
      <c r="F28">
        <v>6355</v>
      </c>
      <c r="G28">
        <v>20</v>
      </c>
      <c r="H28">
        <v>4778</v>
      </c>
      <c r="I28">
        <v>17</v>
      </c>
      <c r="L28">
        <f>(F28+H28)</f>
        <v>11133</v>
      </c>
      <c r="M28">
        <f>L28/1000</f>
        <v>11.132999999999999</v>
      </c>
    </row>
    <row r="29" spans="1:13">
      <c r="A29">
        <v>28</v>
      </c>
      <c r="B29" t="s">
        <v>654</v>
      </c>
      <c r="F29">
        <v>3096</v>
      </c>
      <c r="G29">
        <v>6</v>
      </c>
      <c r="H29">
        <v>3449</v>
      </c>
      <c r="I29">
        <v>6</v>
      </c>
      <c r="L29">
        <f>(F29+H29)</f>
        <v>6545</v>
      </c>
      <c r="M29">
        <f>L29/1000</f>
        <v>6.5449999999999999</v>
      </c>
    </row>
    <row r="30" spans="1:13">
      <c r="A30">
        <v>29</v>
      </c>
      <c r="B30" t="s">
        <v>656</v>
      </c>
      <c r="F30">
        <v>4801</v>
      </c>
      <c r="G30">
        <v>8</v>
      </c>
      <c r="H30">
        <v>1356</v>
      </c>
      <c r="I30">
        <v>3</v>
      </c>
      <c r="L30">
        <f>(F30+H30)</f>
        <v>6157</v>
      </c>
      <c r="M30">
        <f>L30/1000</f>
        <v>6.157</v>
      </c>
    </row>
    <row r="31" spans="1:13">
      <c r="A31">
        <v>30</v>
      </c>
      <c r="B31" t="s">
        <v>646</v>
      </c>
      <c r="F31">
        <v>2603</v>
      </c>
      <c r="G31">
        <v>7</v>
      </c>
      <c r="H31">
        <v>3663</v>
      </c>
      <c r="I31">
        <v>9</v>
      </c>
      <c r="L31">
        <f>(F31+H31)</f>
        <v>6266</v>
      </c>
      <c r="M31">
        <f>L31/1000</f>
        <v>6.266</v>
      </c>
    </row>
    <row r="32" spans="1:13">
      <c r="A32">
        <v>31</v>
      </c>
      <c r="B32" t="s">
        <v>657</v>
      </c>
      <c r="F32">
        <v>8721</v>
      </c>
      <c r="G32">
        <v>27</v>
      </c>
      <c r="H32">
        <v>2488</v>
      </c>
      <c r="I32">
        <v>9</v>
      </c>
      <c r="L32">
        <f>(F32+H32)</f>
        <v>11209</v>
      </c>
      <c r="M32">
        <f>L32/1000</f>
        <v>11.209</v>
      </c>
    </row>
    <row r="33" spans="1:13">
      <c r="A33">
        <v>32</v>
      </c>
      <c r="B33" t="s">
        <v>658</v>
      </c>
      <c r="F33">
        <v>3269</v>
      </c>
      <c r="G33">
        <v>8</v>
      </c>
      <c r="H33">
        <v>4671</v>
      </c>
      <c r="I33">
        <v>15</v>
      </c>
      <c r="L33">
        <f>(F33+H33)</f>
        <v>7940</v>
      </c>
      <c r="M33">
        <f>L33/1000</f>
        <v>7.94</v>
      </c>
    </row>
    <row r="34" spans="1:13">
      <c r="A34">
        <v>33</v>
      </c>
      <c r="B34" t="s">
        <v>141</v>
      </c>
      <c r="F34">
        <v>2466</v>
      </c>
      <c r="G34">
        <v>11</v>
      </c>
      <c r="H34">
        <v>4275</v>
      </c>
      <c r="I34">
        <v>18</v>
      </c>
      <c r="L34">
        <f>(F34+H34)</f>
        <v>6741</v>
      </c>
      <c r="M34">
        <f>L34/1000</f>
        <v>6.7409999999999997</v>
      </c>
    </row>
    <row r="35" spans="1:13">
      <c r="A35">
        <v>34</v>
      </c>
      <c r="B35" t="s">
        <v>659</v>
      </c>
      <c r="F35">
        <v>2927</v>
      </c>
      <c r="G35">
        <v>9</v>
      </c>
      <c r="H35">
        <v>3620</v>
      </c>
      <c r="I35">
        <v>12</v>
      </c>
      <c r="L35">
        <f>(F35+H35)</f>
        <v>6547</v>
      </c>
      <c r="M35">
        <f>L35/1000</f>
        <v>6.5469999999999997</v>
      </c>
    </row>
    <row r="36" spans="1:13">
      <c r="A36">
        <v>35</v>
      </c>
      <c r="B36" t="s">
        <v>146</v>
      </c>
      <c r="F36">
        <v>8840</v>
      </c>
      <c r="G36">
        <v>29</v>
      </c>
      <c r="H36">
        <v>2875</v>
      </c>
      <c r="I36">
        <v>13</v>
      </c>
      <c r="L36">
        <f>(F36+H36)</f>
        <v>11715</v>
      </c>
      <c r="M36">
        <f>L36/1000</f>
        <v>11.715</v>
      </c>
    </row>
    <row r="37" spans="1:13">
      <c r="A37">
        <v>36</v>
      </c>
      <c r="B37" t="s">
        <v>660</v>
      </c>
      <c r="F37">
        <v>3891</v>
      </c>
      <c r="G37">
        <v>12</v>
      </c>
      <c r="H37">
        <v>3344</v>
      </c>
      <c r="I37">
        <v>14</v>
      </c>
      <c r="L37">
        <f>(F37+H37)</f>
        <v>7235</v>
      </c>
      <c r="M37">
        <f>L37/1000</f>
        <v>7.2350000000000003</v>
      </c>
    </row>
    <row r="38" spans="1:13">
      <c r="A38">
        <v>40</v>
      </c>
      <c r="B38" t="s">
        <v>661</v>
      </c>
      <c r="F38">
        <v>3754</v>
      </c>
      <c r="G38">
        <v>12</v>
      </c>
      <c r="H38">
        <v>2794</v>
      </c>
      <c r="I38">
        <v>10</v>
      </c>
      <c r="L38">
        <f>(F38+H38)</f>
        <v>6548</v>
      </c>
      <c r="M38">
        <f>L38/1000</f>
        <v>6.548</v>
      </c>
    </row>
    <row r="39" spans="1:13">
      <c r="A39">
        <v>41</v>
      </c>
      <c r="B39" t="s">
        <v>662</v>
      </c>
      <c r="F39">
        <v>4280</v>
      </c>
      <c r="G39">
        <v>15</v>
      </c>
      <c r="H39">
        <v>6096</v>
      </c>
      <c r="I39">
        <v>21</v>
      </c>
      <c r="L39">
        <f>(F39+H39)</f>
        <v>10376</v>
      </c>
      <c r="M39">
        <f>L39/1000</f>
        <v>10.375999999999999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DD72A-D0F0-46BB-AC21-7B3E3E85305E}">
  <dimension ref="A1:Q35"/>
  <sheetViews>
    <sheetView zoomScaleNormal="150" zoomScaleSheetLayoutView="100" workbookViewId="0"/>
  </sheetViews>
  <sheetFormatPr defaultColWidth="8.875" defaultRowHeight="16.5"/>
  <cols>
    <col min="1" max="1" width="3.125" style="4" bestFit="1" customWidth="1"/>
    <col min="2" max="2" width="13.5" style="4" bestFit="1" customWidth="1"/>
    <col min="3" max="3" width="8.875" style="4"/>
    <col min="4" max="4" width="13.25" style="4" bestFit="1" customWidth="1"/>
    <col min="5" max="5" width="8.875" style="4"/>
    <col min="6" max="6" width="22.25" style="4" customWidth="1"/>
    <col min="7" max="7" width="24.5" style="4" bestFit="1" customWidth="1"/>
    <col min="8" max="8" width="20.5" style="4" bestFit="1" customWidth="1"/>
    <col min="9" max="9" width="19.75" style="4" bestFit="1" customWidth="1"/>
    <col min="10" max="10" width="20.75" style="4" bestFit="1" customWidth="1"/>
    <col min="11" max="11" width="21.5" style="4" bestFit="1" customWidth="1"/>
    <col min="12" max="12" width="12.75" style="4" bestFit="1" customWidth="1"/>
    <col min="13" max="16384" width="8.875" style="4"/>
  </cols>
  <sheetData>
    <row r="1" spans="1:17">
      <c r="A1" s="6" t="s">
        <v>0</v>
      </c>
      <c r="B1" s="6" t="s">
        <v>1</v>
      </c>
      <c r="C1" s="6" t="s">
        <v>2</v>
      </c>
      <c r="D1" s="6" t="s">
        <v>3</v>
      </c>
      <c r="E1" s="6" t="s">
        <v>4</v>
      </c>
      <c r="F1" s="6" t="s">
        <v>5</v>
      </c>
      <c r="G1" s="6" t="s">
        <v>6</v>
      </c>
      <c r="H1" s="6" t="s">
        <v>9</v>
      </c>
      <c r="I1" s="6" t="s">
        <v>663</v>
      </c>
      <c r="J1" s="4" t="s">
        <v>425</v>
      </c>
      <c r="K1" s="4" t="s">
        <v>426</v>
      </c>
      <c r="L1" s="4" t="s">
        <v>638</v>
      </c>
      <c r="M1" s="4" t="s">
        <v>639</v>
      </c>
      <c r="N1" s="4" t="s">
        <v>640</v>
      </c>
      <c r="O1" s="4" t="s">
        <v>664</v>
      </c>
    </row>
    <row r="2" spans="1:17">
      <c r="A2" s="4">
        <v>1</v>
      </c>
      <c r="B2" s="42" t="s">
        <v>153</v>
      </c>
      <c r="C2" s="42" t="s">
        <v>665</v>
      </c>
      <c r="D2" s="43">
        <v>46241</v>
      </c>
      <c r="E2" s="42"/>
      <c r="F2" s="42">
        <v>1467</v>
      </c>
      <c r="G2" s="42">
        <v>6</v>
      </c>
      <c r="H2" s="42">
        <v>2121</v>
      </c>
      <c r="I2" s="42">
        <v>15</v>
      </c>
      <c r="L2" s="4">
        <f>(F2+H2)</f>
        <v>3588</v>
      </c>
      <c r="M2" s="4">
        <f>L2/1000</f>
        <v>3.5880000000000001</v>
      </c>
    </row>
    <row r="3" spans="1:17">
      <c r="A3" s="42">
        <v>2</v>
      </c>
      <c r="B3" s="42" t="s">
        <v>142</v>
      </c>
      <c r="C3" s="42"/>
      <c r="D3" s="43">
        <v>46241</v>
      </c>
      <c r="E3" s="42"/>
      <c r="F3" s="42">
        <v>3226</v>
      </c>
      <c r="G3" s="42">
        <v>15</v>
      </c>
      <c r="H3" s="42">
        <v>1763</v>
      </c>
      <c r="I3" s="42">
        <v>10</v>
      </c>
      <c r="L3" s="4">
        <f>(F3+H3)</f>
        <v>4989</v>
      </c>
      <c r="M3" s="4">
        <f>L3/1000</f>
        <v>4.9889999999999999</v>
      </c>
    </row>
    <row r="4" spans="1:17">
      <c r="A4" s="42">
        <v>3</v>
      </c>
      <c r="B4" s="42" t="s">
        <v>154</v>
      </c>
      <c r="C4" s="42"/>
      <c r="D4" s="43">
        <v>46241</v>
      </c>
      <c r="E4" s="42"/>
      <c r="F4" s="42">
        <v>10648</v>
      </c>
      <c r="G4" s="42">
        <v>46</v>
      </c>
      <c r="H4" s="42">
        <v>2618</v>
      </c>
      <c r="I4" s="42">
        <v>14</v>
      </c>
      <c r="L4" s="4">
        <f>(F4+H4)</f>
        <v>13266</v>
      </c>
      <c r="M4" s="4">
        <f>L4/1000</f>
        <v>13.266</v>
      </c>
    </row>
    <row r="5" spans="1:17">
      <c r="A5" s="42">
        <v>4</v>
      </c>
      <c r="B5" s="42" t="s">
        <v>666</v>
      </c>
      <c r="C5" s="42"/>
      <c r="D5" s="43">
        <v>46241</v>
      </c>
      <c r="E5" s="42"/>
      <c r="F5" s="42">
        <v>8206</v>
      </c>
      <c r="G5" s="42">
        <v>23</v>
      </c>
      <c r="H5" s="42">
        <v>1455</v>
      </c>
      <c r="I5" s="42">
        <v>4</v>
      </c>
      <c r="L5" s="4">
        <f>(F5+H5)</f>
        <v>9661</v>
      </c>
      <c r="M5" s="4">
        <f>L5/1000</f>
        <v>9.6609999999999996</v>
      </c>
    </row>
    <row r="6" spans="1:17">
      <c r="A6" s="42">
        <v>5</v>
      </c>
      <c r="B6" s="44" t="s">
        <v>667</v>
      </c>
      <c r="C6" s="44"/>
      <c r="D6" s="43">
        <v>46241</v>
      </c>
      <c r="E6" s="44"/>
      <c r="F6" s="44">
        <v>8136</v>
      </c>
      <c r="G6" s="44"/>
      <c r="H6" s="44">
        <v>753</v>
      </c>
      <c r="I6" s="44"/>
      <c r="L6" s="4">
        <f>(F6+H6)</f>
        <v>8889</v>
      </c>
      <c r="M6" s="4">
        <f>L6/1000</f>
        <v>8.8889999999999993</v>
      </c>
      <c r="N6" s="4" t="s">
        <v>668</v>
      </c>
      <c r="O6" s="4">
        <v>789</v>
      </c>
    </row>
    <row r="7" spans="1:17">
      <c r="A7" s="42">
        <v>6</v>
      </c>
      <c r="B7" s="42" t="s">
        <v>669</v>
      </c>
      <c r="C7" s="42"/>
      <c r="D7" s="43">
        <v>46241</v>
      </c>
      <c r="E7" s="42"/>
      <c r="F7" s="42">
        <v>4058</v>
      </c>
      <c r="G7" s="42">
        <v>15</v>
      </c>
      <c r="H7" s="42">
        <v>5629</v>
      </c>
      <c r="I7" s="42">
        <v>17</v>
      </c>
      <c r="L7" s="4">
        <f>(F7+H7)</f>
        <v>9687</v>
      </c>
      <c r="M7" s="4">
        <f>L7/1000</f>
        <v>9.6869999999999994</v>
      </c>
    </row>
    <row r="8" spans="1:17">
      <c r="A8" s="42">
        <v>7</v>
      </c>
      <c r="B8" s="4" t="s">
        <v>670</v>
      </c>
      <c r="D8" s="43">
        <v>46241</v>
      </c>
      <c r="F8" s="4">
        <v>2421</v>
      </c>
      <c r="G8" s="4">
        <v>7</v>
      </c>
      <c r="H8" s="4">
        <v>1718</v>
      </c>
      <c r="I8" s="4">
        <v>7</v>
      </c>
      <c r="L8" s="4">
        <f>(F8+H8)</f>
        <v>4139</v>
      </c>
      <c r="M8" s="4">
        <f>L8/1000</f>
        <v>4.1390000000000002</v>
      </c>
    </row>
    <row r="9" spans="1:17">
      <c r="A9" s="42">
        <v>8</v>
      </c>
      <c r="B9" s="4" t="s">
        <v>160</v>
      </c>
      <c r="D9" s="43">
        <v>46241</v>
      </c>
      <c r="F9" s="4">
        <v>7964</v>
      </c>
      <c r="G9" s="4">
        <v>36</v>
      </c>
      <c r="H9" s="4">
        <v>3419</v>
      </c>
      <c r="I9" s="4">
        <v>16</v>
      </c>
      <c r="L9" s="4">
        <f>(F9+H9)</f>
        <v>11383</v>
      </c>
      <c r="M9" s="4">
        <f>L9/1000</f>
        <v>11.382999999999999</v>
      </c>
    </row>
    <row r="10" spans="1:17">
      <c r="A10" s="42">
        <v>9</v>
      </c>
      <c r="B10" s="4" t="s">
        <v>158</v>
      </c>
      <c r="D10" s="43">
        <v>46241</v>
      </c>
      <c r="F10" s="4">
        <v>6160</v>
      </c>
      <c r="G10" s="4">
        <v>16</v>
      </c>
      <c r="H10" s="4">
        <v>5056</v>
      </c>
      <c r="I10" s="4">
        <v>11</v>
      </c>
      <c r="L10" s="4">
        <f>(F10+H10)</f>
        <v>11216</v>
      </c>
      <c r="M10" s="4">
        <f>L10/1000</f>
        <v>11.215999999999999</v>
      </c>
    </row>
    <row r="11" spans="1:17">
      <c r="A11" s="42">
        <v>10</v>
      </c>
      <c r="B11" s="4" t="s">
        <v>167</v>
      </c>
      <c r="D11" s="43">
        <v>46241</v>
      </c>
      <c r="F11" s="4">
        <v>6120</v>
      </c>
      <c r="G11" s="4">
        <v>26</v>
      </c>
      <c r="H11" s="4">
        <v>3885</v>
      </c>
      <c r="I11" s="4">
        <v>16</v>
      </c>
      <c r="L11" s="4">
        <f>(F11+H11)</f>
        <v>10005</v>
      </c>
      <c r="M11" s="4">
        <f>L11/1000</f>
        <v>10.005000000000001</v>
      </c>
    </row>
    <row r="12" spans="1:17">
      <c r="A12" s="42">
        <v>11</v>
      </c>
      <c r="B12" s="4" t="s">
        <v>152</v>
      </c>
      <c r="D12" s="43">
        <v>46241</v>
      </c>
      <c r="F12" s="4">
        <v>1777</v>
      </c>
      <c r="G12" s="4">
        <v>6</v>
      </c>
      <c r="H12" s="4">
        <v>2435</v>
      </c>
      <c r="I12" s="4">
        <v>8</v>
      </c>
      <c r="L12" s="4">
        <f>(F12+H12)</f>
        <v>4212</v>
      </c>
      <c r="M12" s="4">
        <f>L12/1000</f>
        <v>4.2119999999999997</v>
      </c>
    </row>
    <row r="13" spans="1:17">
      <c r="A13" s="42">
        <v>12</v>
      </c>
      <c r="B13" s="4" t="s">
        <v>156</v>
      </c>
      <c r="D13" s="43">
        <v>46241</v>
      </c>
      <c r="F13" s="4">
        <v>8923</v>
      </c>
      <c r="G13" s="4">
        <v>27</v>
      </c>
      <c r="H13" s="4">
        <v>5567</v>
      </c>
      <c r="I13" s="4">
        <v>24</v>
      </c>
      <c r="L13" s="4">
        <f>(F13+H13)</f>
        <v>14490</v>
      </c>
      <c r="M13" s="4">
        <f>L13/1000</f>
        <v>14.49</v>
      </c>
    </row>
    <row r="14" spans="1:17">
      <c r="A14" s="42">
        <v>13</v>
      </c>
      <c r="B14" s="4" t="s">
        <v>671</v>
      </c>
      <c r="D14" s="43">
        <v>46241</v>
      </c>
      <c r="F14" s="4">
        <v>4213</v>
      </c>
      <c r="G14" s="4">
        <v>11</v>
      </c>
      <c r="H14" s="4">
        <v>3828</v>
      </c>
      <c r="I14" s="4">
        <v>8</v>
      </c>
      <c r="L14" s="4">
        <f>(F14+H14)</f>
        <v>8041</v>
      </c>
      <c r="M14" s="4">
        <f>L14/1000</f>
        <v>8.0410000000000004</v>
      </c>
    </row>
    <row r="15" spans="1:17">
      <c r="A15" s="42">
        <v>14</v>
      </c>
      <c r="B15" s="4" t="s">
        <v>161</v>
      </c>
      <c r="D15" s="7">
        <v>46244</v>
      </c>
      <c r="F15" s="4">
        <v>2104</v>
      </c>
      <c r="G15" s="4">
        <v>6</v>
      </c>
      <c r="H15" s="4">
        <v>720</v>
      </c>
      <c r="I15" s="4">
        <v>3</v>
      </c>
      <c r="L15" s="4">
        <f>(F15+H15)</f>
        <v>2824</v>
      </c>
      <c r="M15" s="4">
        <f>L15/1000</f>
        <v>2.8239999999999998</v>
      </c>
      <c r="Q15" s="4" t="s">
        <v>672</v>
      </c>
    </row>
    <row r="16" spans="1:17">
      <c r="A16" s="42">
        <v>15</v>
      </c>
      <c r="B16" s="4" t="s">
        <v>673</v>
      </c>
      <c r="D16" s="7">
        <v>46244</v>
      </c>
      <c r="F16" s="4">
        <v>4374</v>
      </c>
      <c r="G16" s="4">
        <v>15</v>
      </c>
      <c r="H16" s="4">
        <v>3700</v>
      </c>
      <c r="I16" s="4">
        <v>14</v>
      </c>
      <c r="L16" s="4">
        <f>(F16+H16)</f>
        <v>8074</v>
      </c>
      <c r="M16" s="4">
        <f>L16/1000</f>
        <v>8.0739999999999998</v>
      </c>
    </row>
    <row r="17" spans="1:15">
      <c r="A17" s="42">
        <v>16</v>
      </c>
      <c r="B17" s="4" t="s">
        <v>156</v>
      </c>
      <c r="D17" s="7">
        <v>46244</v>
      </c>
      <c r="F17" s="4">
        <v>4391</v>
      </c>
      <c r="G17" s="4">
        <v>13</v>
      </c>
      <c r="H17" s="4">
        <v>1250</v>
      </c>
      <c r="I17" s="4">
        <v>6</v>
      </c>
      <c r="L17" s="4">
        <f>(F17+H17)</f>
        <v>5641</v>
      </c>
      <c r="M17" s="4">
        <f>L17/1000</f>
        <v>5.641</v>
      </c>
    </row>
    <row r="18" spans="1:15">
      <c r="A18" s="42">
        <v>17</v>
      </c>
      <c r="B18" s="4" t="s">
        <v>154</v>
      </c>
      <c r="D18" s="7">
        <v>46244</v>
      </c>
      <c r="F18" s="4">
        <v>6242</v>
      </c>
      <c r="G18" s="4">
        <v>23</v>
      </c>
      <c r="H18" s="4">
        <v>8102</v>
      </c>
      <c r="I18" s="4">
        <v>42</v>
      </c>
      <c r="L18" s="4">
        <f>(F18+H18)</f>
        <v>14344</v>
      </c>
      <c r="M18" s="4">
        <f>L18/1000</f>
        <v>14.343999999999999</v>
      </c>
    </row>
    <row r="19" spans="1:15">
      <c r="A19" s="42">
        <v>18</v>
      </c>
      <c r="B19" s="4" t="s">
        <v>134</v>
      </c>
      <c r="D19" s="7">
        <v>46244</v>
      </c>
      <c r="F19" s="4">
        <v>4260</v>
      </c>
      <c r="G19" s="4">
        <v>18</v>
      </c>
      <c r="H19" s="4">
        <v>6058</v>
      </c>
      <c r="I19" s="4">
        <v>39</v>
      </c>
      <c r="L19" s="4">
        <f>(F19+H19)</f>
        <v>10318</v>
      </c>
      <c r="M19" s="4">
        <f>L19/1000</f>
        <v>10.318</v>
      </c>
    </row>
    <row r="20" spans="1:15">
      <c r="A20" s="42">
        <v>19</v>
      </c>
      <c r="B20" s="4" t="s">
        <v>651</v>
      </c>
      <c r="D20" s="7">
        <v>46244</v>
      </c>
      <c r="F20" s="4">
        <v>8388</v>
      </c>
      <c r="G20" s="4">
        <v>24</v>
      </c>
      <c r="H20" s="4">
        <v>7825</v>
      </c>
      <c r="I20" s="4">
        <v>22</v>
      </c>
      <c r="L20" s="4">
        <f>(F20+H20)</f>
        <v>16213</v>
      </c>
      <c r="M20" s="4">
        <f>L20/1000</f>
        <v>16.213000000000001</v>
      </c>
    </row>
    <row r="21" spans="1:15">
      <c r="A21" s="42">
        <v>20</v>
      </c>
      <c r="B21" s="4" t="s">
        <v>157</v>
      </c>
      <c r="D21" s="7">
        <v>46244</v>
      </c>
      <c r="F21" s="4">
        <v>2987</v>
      </c>
      <c r="G21" s="4">
        <v>10</v>
      </c>
      <c r="H21" s="4">
        <v>4713</v>
      </c>
      <c r="I21" s="4">
        <v>17</v>
      </c>
      <c r="L21" s="4">
        <f>(F21+H21)</f>
        <v>7700</v>
      </c>
      <c r="M21" s="4">
        <f>L21/1000</f>
        <v>7.7</v>
      </c>
    </row>
    <row r="22" spans="1:15">
      <c r="A22" s="42">
        <v>21</v>
      </c>
      <c r="B22" s="4" t="s">
        <v>160</v>
      </c>
      <c r="D22" s="7">
        <v>46244</v>
      </c>
      <c r="F22" s="4">
        <v>2416</v>
      </c>
      <c r="G22" s="4">
        <v>11</v>
      </c>
      <c r="H22" s="4">
        <v>4785</v>
      </c>
      <c r="I22" s="4">
        <v>18</v>
      </c>
      <c r="L22" s="4">
        <f>(F22+H22)</f>
        <v>7201</v>
      </c>
      <c r="M22" s="4">
        <f>L22/1000</f>
        <v>7.2009999999999996</v>
      </c>
    </row>
    <row r="23" spans="1:15" s="45" customFormat="1">
      <c r="A23" s="44">
        <v>22</v>
      </c>
      <c r="B23" s="45" t="s">
        <v>667</v>
      </c>
      <c r="D23" s="46">
        <v>46244</v>
      </c>
      <c r="F23" s="45">
        <v>8942</v>
      </c>
      <c r="H23" s="45">
        <v>2142</v>
      </c>
      <c r="L23" s="4">
        <f>(F23+H23)</f>
        <v>11084</v>
      </c>
      <c r="M23" s="4">
        <f>L23/1000</f>
        <v>11.084</v>
      </c>
      <c r="N23" s="45" t="s">
        <v>668</v>
      </c>
      <c r="O23" s="45">
        <v>739</v>
      </c>
    </row>
    <row r="24" spans="1:15">
      <c r="A24" s="42">
        <v>23</v>
      </c>
      <c r="B24" s="4" t="s">
        <v>666</v>
      </c>
      <c r="D24" s="7">
        <v>46244</v>
      </c>
      <c r="F24" s="4">
        <v>7229</v>
      </c>
      <c r="G24" s="4">
        <v>20</v>
      </c>
      <c r="H24" s="4">
        <v>5214</v>
      </c>
      <c r="I24" s="4">
        <v>16</v>
      </c>
      <c r="L24" s="4">
        <f>(F24+H24)</f>
        <v>12443</v>
      </c>
      <c r="M24" s="4">
        <f>L24/1000</f>
        <v>12.443</v>
      </c>
    </row>
    <row r="25" spans="1:15">
      <c r="A25" s="42">
        <v>24</v>
      </c>
      <c r="B25" s="4" t="s">
        <v>142</v>
      </c>
      <c r="D25" s="7">
        <v>46244</v>
      </c>
      <c r="F25" s="4">
        <v>350</v>
      </c>
      <c r="G25" s="4">
        <v>3</v>
      </c>
      <c r="H25" s="4">
        <v>586</v>
      </c>
      <c r="I25" s="4">
        <v>4</v>
      </c>
      <c r="L25" s="4">
        <f>(F25+H25)</f>
        <v>936</v>
      </c>
      <c r="M25" s="4">
        <f>L25/1000</f>
        <v>0.93600000000000005</v>
      </c>
    </row>
    <row r="26" spans="1:15">
      <c r="A26" s="47">
        <v>25</v>
      </c>
      <c r="B26" s="4" t="s">
        <v>669</v>
      </c>
      <c r="D26" s="7">
        <v>46244</v>
      </c>
      <c r="F26" s="4">
        <v>9595</v>
      </c>
      <c r="G26" s="4">
        <v>27</v>
      </c>
      <c r="H26" s="4">
        <v>5840</v>
      </c>
      <c r="I26" s="4">
        <v>15</v>
      </c>
      <c r="L26" s="4">
        <f>(F26+H26)</f>
        <v>15435</v>
      </c>
      <c r="M26" s="4">
        <f>L26/1000</f>
        <v>15.435</v>
      </c>
    </row>
    <row r="27" spans="1:15">
      <c r="A27" s="47">
        <v>26</v>
      </c>
      <c r="B27" s="4" t="s">
        <v>152</v>
      </c>
      <c r="D27" s="7">
        <v>46244</v>
      </c>
      <c r="F27" s="4">
        <v>1584</v>
      </c>
      <c r="G27" s="4">
        <v>5</v>
      </c>
      <c r="H27" s="4">
        <v>4510</v>
      </c>
      <c r="I27" s="4">
        <v>13</v>
      </c>
      <c r="L27" s="4">
        <f>(F27+H27)</f>
        <v>6094</v>
      </c>
      <c r="M27" s="4">
        <f>L27/1000</f>
        <v>6.0940000000000003</v>
      </c>
    </row>
    <row r="28" spans="1:15">
      <c r="A28" s="47">
        <v>27</v>
      </c>
      <c r="B28" s="4" t="s">
        <v>153</v>
      </c>
      <c r="D28" s="7">
        <v>46244</v>
      </c>
      <c r="F28" s="4">
        <v>5682</v>
      </c>
      <c r="G28" s="4">
        <v>19</v>
      </c>
      <c r="H28" s="4">
        <v>1780</v>
      </c>
      <c r="I28" s="4">
        <v>5</v>
      </c>
      <c r="L28" s="4">
        <f>(F28+H28)</f>
        <v>7462</v>
      </c>
      <c r="M28" s="4">
        <f>L28/1000</f>
        <v>7.4619999999999997</v>
      </c>
    </row>
    <row r="29" spans="1:15">
      <c r="A29" s="47">
        <v>28</v>
      </c>
      <c r="B29" s="4" t="s">
        <v>158</v>
      </c>
      <c r="D29" s="7">
        <v>46244</v>
      </c>
      <c r="F29" s="4">
        <v>5547</v>
      </c>
      <c r="G29" s="4">
        <v>11</v>
      </c>
      <c r="H29" s="4">
        <v>3195</v>
      </c>
      <c r="I29" s="4">
        <v>8</v>
      </c>
      <c r="L29" s="4">
        <f>(F29+H29)</f>
        <v>8742</v>
      </c>
      <c r="M29" s="4">
        <f>L29/1000</f>
        <v>8.7420000000000009</v>
      </c>
    </row>
    <row r="30" spans="1:15">
      <c r="A30" s="47">
        <v>29</v>
      </c>
      <c r="B30" s="4" t="s">
        <v>674</v>
      </c>
      <c r="D30" s="7">
        <v>46244</v>
      </c>
      <c r="F30" s="4">
        <v>7238</v>
      </c>
      <c r="G30" s="4">
        <v>20</v>
      </c>
      <c r="H30" s="4">
        <v>8249</v>
      </c>
      <c r="I30" s="4">
        <v>23</v>
      </c>
      <c r="L30" s="4">
        <f>(F30+H30)</f>
        <v>15487</v>
      </c>
      <c r="M30" s="4">
        <f>L30/1000</f>
        <v>15.487</v>
      </c>
    </row>
    <row r="31" spans="1:15">
      <c r="A31" s="47">
        <v>30</v>
      </c>
      <c r="B31" s="4" t="s">
        <v>148</v>
      </c>
      <c r="D31" s="7">
        <v>46244</v>
      </c>
      <c r="F31" s="4">
        <v>4086</v>
      </c>
      <c r="G31" s="4">
        <v>14</v>
      </c>
      <c r="H31" s="4">
        <v>1799</v>
      </c>
      <c r="I31" s="4">
        <v>6</v>
      </c>
      <c r="L31" s="4">
        <f>(F31+H31)</f>
        <v>5885</v>
      </c>
      <c r="M31" s="4">
        <f>L31/1000</f>
        <v>5.8849999999999998</v>
      </c>
    </row>
    <row r="32" spans="1:15">
      <c r="A32" s="47">
        <v>31</v>
      </c>
      <c r="B32" s="4" t="s">
        <v>136</v>
      </c>
      <c r="D32" s="7">
        <v>46244</v>
      </c>
      <c r="F32" s="4">
        <v>9906</v>
      </c>
      <c r="G32" s="4">
        <v>26</v>
      </c>
      <c r="H32" s="4">
        <v>5002</v>
      </c>
      <c r="I32" s="4">
        <v>12</v>
      </c>
      <c r="L32" s="4">
        <f>(F32+H32)</f>
        <v>14908</v>
      </c>
      <c r="M32" s="4">
        <f>L32/1000</f>
        <v>14.907999999999999</v>
      </c>
    </row>
    <row r="33" spans="1:13">
      <c r="A33" s="47">
        <v>32</v>
      </c>
      <c r="B33" s="4" t="s">
        <v>159</v>
      </c>
      <c r="D33" s="7">
        <v>46244</v>
      </c>
      <c r="F33" s="4">
        <v>9506</v>
      </c>
      <c r="G33" s="4">
        <v>28</v>
      </c>
      <c r="H33" s="4">
        <v>4110</v>
      </c>
      <c r="I33" s="4">
        <v>16</v>
      </c>
      <c r="L33" s="4">
        <f>(F33+H33)</f>
        <v>13616</v>
      </c>
      <c r="M33" s="4">
        <f>L33/1000</f>
        <v>13.616</v>
      </c>
    </row>
    <row r="34" spans="1:13">
      <c r="A34" s="47">
        <v>33</v>
      </c>
      <c r="D34" s="7"/>
    </row>
    <row r="35" spans="1:13">
      <c r="A35" s="47">
        <v>34</v>
      </c>
      <c r="D35" s="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3DF56-CB37-472C-8A44-CFC7B51C8E00}">
  <dimension ref="A1:P56"/>
  <sheetViews>
    <sheetView topLeftCell="A26" workbookViewId="0">
      <selection activeCell="B54" sqref="B54"/>
    </sheetView>
  </sheetViews>
  <sheetFormatPr defaultRowHeight="15.75" customHeight="1"/>
  <cols>
    <col min="1" max="1" width="3" bestFit="1" customWidth="1"/>
    <col min="2" max="2" width="13.5" customWidth="1"/>
    <col min="3" max="3" width="13.75" customWidth="1"/>
    <col min="5" max="5" width="14.25" customWidth="1"/>
    <col min="7" max="7" width="20.125" customWidth="1"/>
    <col min="8" max="8" width="20.375" customWidth="1"/>
    <col min="9" max="9" width="11.5" customWidth="1"/>
    <col min="10" max="10" width="12" customWidth="1"/>
    <col min="11" max="11" width="11.125" customWidth="1"/>
    <col min="12" max="12" width="12.625" customWidth="1"/>
  </cols>
  <sheetData>
    <row r="1" spans="1:16" s="49" customFormat="1" ht="46.5">
      <c r="A1" s="5" t="s">
        <v>0</v>
      </c>
      <c r="B1" s="5" t="s">
        <v>1</v>
      </c>
      <c r="C1" s="5" t="s">
        <v>2</v>
      </c>
      <c r="D1" s="5" t="s">
        <v>3</v>
      </c>
      <c r="E1" s="5" t="s">
        <v>4</v>
      </c>
      <c r="F1" s="5" t="s">
        <v>0</v>
      </c>
      <c r="G1" s="5" t="s">
        <v>5</v>
      </c>
      <c r="H1" s="5" t="s">
        <v>6</v>
      </c>
      <c r="I1" s="5" t="s">
        <v>9</v>
      </c>
      <c r="J1" s="5" t="s">
        <v>663</v>
      </c>
      <c r="K1" s="48" t="s">
        <v>425</v>
      </c>
      <c r="L1" s="48" t="s">
        <v>426</v>
      </c>
      <c r="M1" s="48" t="s">
        <v>638</v>
      </c>
      <c r="N1" s="48" t="s">
        <v>639</v>
      </c>
      <c r="O1" s="48" t="s">
        <v>640</v>
      </c>
      <c r="P1" s="48" t="s">
        <v>664</v>
      </c>
    </row>
    <row r="2" spans="1:16">
      <c r="A2">
        <v>1</v>
      </c>
      <c r="B2" t="s">
        <v>675</v>
      </c>
      <c r="C2" t="s">
        <v>676</v>
      </c>
      <c r="D2" s="8">
        <v>46252</v>
      </c>
      <c r="E2" t="s">
        <v>677</v>
      </c>
      <c r="F2">
        <v>1</v>
      </c>
      <c r="M2">
        <v>5467</v>
      </c>
      <c r="P2">
        <v>2207</v>
      </c>
    </row>
    <row r="3" spans="1:16">
      <c r="A3">
        <v>2</v>
      </c>
      <c r="B3" t="s">
        <v>678</v>
      </c>
      <c r="C3" t="s">
        <v>676</v>
      </c>
      <c r="D3" s="8">
        <v>46252</v>
      </c>
      <c r="E3" t="s">
        <v>677</v>
      </c>
      <c r="F3">
        <v>2</v>
      </c>
      <c r="M3">
        <v>2380</v>
      </c>
      <c r="P3">
        <v>364</v>
      </c>
    </row>
    <row r="4" spans="1:16">
      <c r="A4">
        <v>3</v>
      </c>
      <c r="B4" t="s">
        <v>679</v>
      </c>
      <c r="C4" t="s">
        <v>676</v>
      </c>
      <c r="D4" s="8">
        <v>46252</v>
      </c>
      <c r="E4" t="s">
        <v>677</v>
      </c>
      <c r="F4">
        <v>3</v>
      </c>
      <c r="M4">
        <v>263</v>
      </c>
      <c r="O4" t="s">
        <v>680</v>
      </c>
    </row>
    <row r="5" spans="1:16">
      <c r="A5">
        <v>4</v>
      </c>
      <c r="B5" t="s">
        <v>681</v>
      </c>
      <c r="C5" t="s">
        <v>676</v>
      </c>
      <c r="D5" s="8">
        <v>46252</v>
      </c>
      <c r="E5" t="s">
        <v>677</v>
      </c>
      <c r="F5">
        <v>4</v>
      </c>
      <c r="M5">
        <v>2910</v>
      </c>
      <c r="O5" s="50" t="s">
        <v>682</v>
      </c>
    </row>
    <row r="6" spans="1:16">
      <c r="A6">
        <v>5</v>
      </c>
      <c r="B6" t="s">
        <v>683</v>
      </c>
      <c r="C6" t="s">
        <v>676</v>
      </c>
      <c r="D6" s="8">
        <v>46252</v>
      </c>
      <c r="E6" t="s">
        <v>677</v>
      </c>
      <c r="F6">
        <v>5</v>
      </c>
      <c r="M6">
        <v>3205</v>
      </c>
      <c r="P6">
        <v>2784</v>
      </c>
    </row>
    <row r="7" spans="1:16">
      <c r="A7">
        <v>6</v>
      </c>
      <c r="B7" t="s">
        <v>684</v>
      </c>
      <c r="C7" t="s">
        <v>676</v>
      </c>
      <c r="D7" s="8">
        <v>46252</v>
      </c>
      <c r="E7" t="s">
        <v>677</v>
      </c>
      <c r="F7">
        <v>6</v>
      </c>
      <c r="M7">
        <v>2202</v>
      </c>
      <c r="P7">
        <v>335</v>
      </c>
    </row>
    <row r="8" spans="1:16">
      <c r="A8">
        <v>7</v>
      </c>
      <c r="B8" t="s">
        <v>685</v>
      </c>
      <c r="C8" t="s">
        <v>676</v>
      </c>
      <c r="D8" s="8">
        <v>46252</v>
      </c>
      <c r="E8" t="s">
        <v>677</v>
      </c>
      <c r="F8">
        <v>7</v>
      </c>
      <c r="M8">
        <v>4421</v>
      </c>
      <c r="P8">
        <v>352</v>
      </c>
    </row>
    <row r="9" spans="1:16">
      <c r="A9">
        <v>8</v>
      </c>
      <c r="B9" t="s">
        <v>686</v>
      </c>
      <c r="C9" t="s">
        <v>676</v>
      </c>
      <c r="D9" s="8">
        <v>46252</v>
      </c>
      <c r="E9" t="s">
        <v>677</v>
      </c>
      <c r="F9">
        <v>8</v>
      </c>
      <c r="M9">
        <v>5989</v>
      </c>
      <c r="P9">
        <v>365</v>
      </c>
    </row>
    <row r="10" spans="1:16">
      <c r="A10">
        <v>9</v>
      </c>
      <c r="B10" t="s">
        <v>686</v>
      </c>
      <c r="C10" t="s">
        <v>676</v>
      </c>
      <c r="D10" s="8">
        <v>46252</v>
      </c>
      <c r="E10" t="s">
        <v>677</v>
      </c>
      <c r="F10">
        <v>9</v>
      </c>
      <c r="M10">
        <v>2161</v>
      </c>
      <c r="P10">
        <v>390</v>
      </c>
    </row>
    <row r="11" spans="1:16">
      <c r="A11">
        <v>10</v>
      </c>
      <c r="B11" t="s">
        <v>687</v>
      </c>
      <c r="C11" t="s">
        <v>676</v>
      </c>
      <c r="D11" s="8">
        <v>46252</v>
      </c>
      <c r="E11" t="s">
        <v>677</v>
      </c>
      <c r="F11">
        <v>10</v>
      </c>
      <c r="M11">
        <v>3110</v>
      </c>
      <c r="P11">
        <v>379</v>
      </c>
    </row>
    <row r="12" spans="1:16">
      <c r="A12">
        <v>11</v>
      </c>
      <c r="B12" t="s">
        <v>688</v>
      </c>
      <c r="C12" t="s">
        <v>676</v>
      </c>
      <c r="D12" s="8">
        <v>46252</v>
      </c>
      <c r="E12" t="s">
        <v>677</v>
      </c>
      <c r="F12">
        <v>11</v>
      </c>
      <c r="M12">
        <v>4957</v>
      </c>
      <c r="P12">
        <v>1569</v>
      </c>
    </row>
    <row r="13" spans="1:16">
      <c r="A13">
        <v>12</v>
      </c>
      <c r="B13" t="s">
        <v>689</v>
      </c>
      <c r="C13" t="s">
        <v>676</v>
      </c>
      <c r="D13" s="8">
        <v>46252</v>
      </c>
      <c r="E13" t="s">
        <v>677</v>
      </c>
      <c r="F13">
        <v>12</v>
      </c>
      <c r="M13">
        <v>3167</v>
      </c>
      <c r="P13">
        <v>318</v>
      </c>
    </row>
    <row r="14" spans="1:16">
      <c r="A14">
        <v>13</v>
      </c>
      <c r="B14" t="s">
        <v>690</v>
      </c>
      <c r="C14" t="s">
        <v>676</v>
      </c>
      <c r="D14" s="8">
        <v>46252</v>
      </c>
      <c r="E14" t="s">
        <v>677</v>
      </c>
      <c r="F14">
        <v>13</v>
      </c>
      <c r="M14">
        <v>1244</v>
      </c>
      <c r="P14">
        <v>215</v>
      </c>
    </row>
    <row r="15" spans="1:16">
      <c r="A15">
        <v>14</v>
      </c>
      <c r="B15" t="s">
        <v>691</v>
      </c>
      <c r="C15" t="s">
        <v>676</v>
      </c>
      <c r="D15" s="8">
        <v>46252</v>
      </c>
      <c r="E15" t="s">
        <v>677</v>
      </c>
      <c r="F15">
        <v>14</v>
      </c>
      <c r="M15">
        <v>2755</v>
      </c>
      <c r="P15">
        <v>329</v>
      </c>
    </row>
    <row r="16" spans="1:16">
      <c r="A16">
        <v>15</v>
      </c>
      <c r="B16" t="s">
        <v>692</v>
      </c>
      <c r="C16" t="s">
        <v>676</v>
      </c>
      <c r="D16" s="8">
        <v>46252</v>
      </c>
      <c r="E16" t="s">
        <v>677</v>
      </c>
      <c r="F16">
        <v>15</v>
      </c>
      <c r="M16">
        <v>8691</v>
      </c>
      <c r="P16">
        <v>3371</v>
      </c>
    </row>
    <row r="17" spans="1:16">
      <c r="A17">
        <v>16</v>
      </c>
      <c r="B17" t="s">
        <v>693</v>
      </c>
      <c r="C17" t="s">
        <v>676</v>
      </c>
      <c r="D17" s="8">
        <v>46252</v>
      </c>
      <c r="E17" t="s">
        <v>677</v>
      </c>
      <c r="F17">
        <v>16</v>
      </c>
      <c r="M17">
        <v>6791</v>
      </c>
      <c r="P17">
        <v>277</v>
      </c>
    </row>
    <row r="18" spans="1:16">
      <c r="A18">
        <v>17</v>
      </c>
      <c r="B18" t="s">
        <v>694</v>
      </c>
      <c r="C18" t="s">
        <v>676</v>
      </c>
      <c r="D18" s="8">
        <v>46252</v>
      </c>
      <c r="E18" t="s">
        <v>677</v>
      </c>
      <c r="F18">
        <v>17</v>
      </c>
      <c r="M18">
        <v>17918</v>
      </c>
      <c r="P18">
        <v>2226</v>
      </c>
    </row>
    <row r="19" spans="1:16">
      <c r="A19">
        <v>18</v>
      </c>
      <c r="B19" t="s">
        <v>695</v>
      </c>
      <c r="C19" t="s">
        <v>676</v>
      </c>
      <c r="D19" s="8">
        <v>46252</v>
      </c>
      <c r="E19" t="s">
        <v>677</v>
      </c>
      <c r="F19">
        <v>18</v>
      </c>
      <c r="M19">
        <v>13263</v>
      </c>
      <c r="P19">
        <v>3575</v>
      </c>
    </row>
    <row r="20" spans="1:16">
      <c r="A20">
        <v>19</v>
      </c>
      <c r="B20" t="s">
        <v>687</v>
      </c>
      <c r="C20" t="s">
        <v>676</v>
      </c>
      <c r="D20" s="8">
        <v>46252</v>
      </c>
      <c r="E20" t="s">
        <v>677</v>
      </c>
      <c r="F20">
        <v>19</v>
      </c>
      <c r="M20">
        <v>1990</v>
      </c>
      <c r="P20">
        <v>397</v>
      </c>
    </row>
    <row r="21" spans="1:16">
      <c r="A21">
        <v>20</v>
      </c>
      <c r="B21" t="s">
        <v>696</v>
      </c>
      <c r="C21" t="s">
        <v>676</v>
      </c>
      <c r="D21" s="8">
        <v>46252</v>
      </c>
      <c r="E21" t="s">
        <v>677</v>
      </c>
      <c r="F21">
        <v>20</v>
      </c>
      <c r="M21">
        <v>6343</v>
      </c>
      <c r="P21">
        <v>415</v>
      </c>
    </row>
    <row r="22" spans="1:16">
      <c r="A22">
        <v>21</v>
      </c>
      <c r="B22" t="s">
        <v>697</v>
      </c>
      <c r="C22" t="s">
        <v>676</v>
      </c>
      <c r="D22" s="8">
        <v>46252</v>
      </c>
      <c r="E22" t="s">
        <v>677</v>
      </c>
      <c r="F22">
        <v>21</v>
      </c>
      <c r="M22">
        <v>868</v>
      </c>
      <c r="O22" s="50" t="s">
        <v>698</v>
      </c>
    </row>
    <row r="23" spans="1:16">
      <c r="A23">
        <v>22</v>
      </c>
      <c r="B23" t="s">
        <v>699</v>
      </c>
      <c r="C23" t="s">
        <v>676</v>
      </c>
      <c r="D23" s="8">
        <v>46252</v>
      </c>
      <c r="E23" t="s">
        <v>677</v>
      </c>
      <c r="F23">
        <v>22</v>
      </c>
      <c r="M23">
        <v>1815</v>
      </c>
      <c r="O23" t="s">
        <v>700</v>
      </c>
    </row>
    <row r="24" spans="1:16">
      <c r="A24">
        <v>23</v>
      </c>
      <c r="B24" t="s">
        <v>701</v>
      </c>
      <c r="C24" t="s">
        <v>676</v>
      </c>
      <c r="D24" s="8">
        <v>46252</v>
      </c>
      <c r="E24" t="s">
        <v>677</v>
      </c>
      <c r="F24">
        <v>23</v>
      </c>
      <c r="M24">
        <v>2409</v>
      </c>
      <c r="P24">
        <v>362</v>
      </c>
    </row>
    <row r="25" spans="1:16">
      <c r="A25">
        <v>24</v>
      </c>
      <c r="B25" t="s">
        <v>702</v>
      </c>
      <c r="C25" t="s">
        <v>676</v>
      </c>
      <c r="D25" s="8">
        <v>46252</v>
      </c>
      <c r="E25" t="s">
        <v>677</v>
      </c>
      <c r="F25">
        <v>24</v>
      </c>
      <c r="M25">
        <v>747</v>
      </c>
      <c r="O25" t="s">
        <v>700</v>
      </c>
    </row>
    <row r="26" spans="1:16">
      <c r="A26">
        <v>25</v>
      </c>
      <c r="B26" t="s">
        <v>703</v>
      </c>
      <c r="C26" t="s">
        <v>676</v>
      </c>
      <c r="D26" s="8">
        <v>46252</v>
      </c>
      <c r="E26" t="s">
        <v>677</v>
      </c>
      <c r="F26">
        <v>25</v>
      </c>
      <c r="M26">
        <v>10651</v>
      </c>
      <c r="P26">
        <v>435</v>
      </c>
    </row>
    <row r="27" spans="1:16">
      <c r="A27">
        <v>26</v>
      </c>
      <c r="B27" t="s">
        <v>704</v>
      </c>
      <c r="C27" t="s">
        <v>676</v>
      </c>
      <c r="D27" s="8">
        <v>46252</v>
      </c>
      <c r="E27" t="s">
        <v>677</v>
      </c>
      <c r="F27">
        <v>26</v>
      </c>
      <c r="M27">
        <v>2499</v>
      </c>
      <c r="P27">
        <v>397</v>
      </c>
    </row>
    <row r="28" spans="1:16">
      <c r="A28">
        <v>27</v>
      </c>
      <c r="B28" t="s">
        <v>705</v>
      </c>
      <c r="C28" t="s">
        <v>676</v>
      </c>
      <c r="D28" s="8">
        <v>46252</v>
      </c>
      <c r="E28" t="s">
        <v>677</v>
      </c>
      <c r="F28">
        <v>27</v>
      </c>
      <c r="M28">
        <v>1152</v>
      </c>
      <c r="O28" s="50" t="s">
        <v>706</v>
      </c>
    </row>
    <row r="29" spans="1:16">
      <c r="A29">
        <v>28</v>
      </c>
      <c r="B29" t="s">
        <v>707</v>
      </c>
      <c r="C29" t="s">
        <v>676</v>
      </c>
      <c r="D29" s="8">
        <v>46252</v>
      </c>
      <c r="E29" t="s">
        <v>677</v>
      </c>
      <c r="F29">
        <v>28</v>
      </c>
      <c r="M29">
        <v>294</v>
      </c>
      <c r="O29" t="s">
        <v>708</v>
      </c>
      <c r="P29">
        <v>294</v>
      </c>
    </row>
    <row r="30" spans="1:16">
      <c r="A30">
        <v>29</v>
      </c>
      <c r="B30" t="s">
        <v>709</v>
      </c>
      <c r="C30" t="s">
        <v>676</v>
      </c>
      <c r="D30" s="8">
        <v>46252</v>
      </c>
      <c r="E30" t="s">
        <v>677</v>
      </c>
      <c r="F30">
        <v>29</v>
      </c>
      <c r="M30">
        <v>1549</v>
      </c>
      <c r="P30">
        <v>425</v>
      </c>
    </row>
    <row r="31" spans="1:16">
      <c r="A31">
        <v>30</v>
      </c>
      <c r="B31" t="s">
        <v>710</v>
      </c>
      <c r="C31" t="s">
        <v>676</v>
      </c>
      <c r="D31" s="8">
        <v>46252</v>
      </c>
      <c r="E31" t="s">
        <v>677</v>
      </c>
      <c r="F31">
        <v>30</v>
      </c>
      <c r="M31">
        <v>5011</v>
      </c>
      <c r="O31" t="s">
        <v>711</v>
      </c>
    </row>
    <row r="32" spans="1:16">
      <c r="A32">
        <v>31</v>
      </c>
      <c r="B32" t="s">
        <v>712</v>
      </c>
      <c r="C32" t="s">
        <v>676</v>
      </c>
      <c r="D32" s="8">
        <v>46252</v>
      </c>
      <c r="E32" t="s">
        <v>677</v>
      </c>
      <c r="F32">
        <v>31</v>
      </c>
      <c r="M32">
        <v>834</v>
      </c>
      <c r="O32" t="s">
        <v>713</v>
      </c>
    </row>
    <row r="33" spans="1:16">
      <c r="A33">
        <v>32</v>
      </c>
      <c r="B33" t="s">
        <v>714</v>
      </c>
      <c r="C33" t="s">
        <v>676</v>
      </c>
      <c r="D33" s="8">
        <v>46252</v>
      </c>
      <c r="E33" t="s">
        <v>677</v>
      </c>
      <c r="F33">
        <v>32</v>
      </c>
      <c r="M33">
        <v>2191</v>
      </c>
      <c r="O33" t="s">
        <v>715</v>
      </c>
    </row>
    <row r="34" spans="1:16">
      <c r="A34">
        <v>33</v>
      </c>
      <c r="B34" t="s">
        <v>716</v>
      </c>
      <c r="C34" t="s">
        <v>676</v>
      </c>
      <c r="D34" s="8">
        <v>46252</v>
      </c>
      <c r="E34" t="s">
        <v>677</v>
      </c>
      <c r="F34">
        <v>33</v>
      </c>
      <c r="M34">
        <v>1332</v>
      </c>
      <c r="O34" t="s">
        <v>717</v>
      </c>
    </row>
    <row r="35" spans="1:16">
      <c r="A35">
        <v>34</v>
      </c>
      <c r="B35" t="s">
        <v>718</v>
      </c>
      <c r="C35" t="s">
        <v>676</v>
      </c>
      <c r="D35" s="8">
        <v>46252</v>
      </c>
      <c r="E35" t="s">
        <v>677</v>
      </c>
      <c r="F35">
        <v>34</v>
      </c>
      <c r="M35">
        <v>4929</v>
      </c>
      <c r="O35" t="s">
        <v>719</v>
      </c>
    </row>
    <row r="36" spans="1:16">
      <c r="A36">
        <v>35</v>
      </c>
      <c r="B36" t="s">
        <v>720</v>
      </c>
      <c r="C36" t="s">
        <v>676</v>
      </c>
      <c r="D36" s="8">
        <v>46252</v>
      </c>
      <c r="E36" t="s">
        <v>677</v>
      </c>
      <c r="F36">
        <v>35</v>
      </c>
      <c r="M36">
        <v>1356</v>
      </c>
      <c r="P36">
        <v>417</v>
      </c>
    </row>
    <row r="37" spans="1:16">
      <c r="A37">
        <v>36</v>
      </c>
      <c r="B37" t="s">
        <v>721</v>
      </c>
      <c r="C37" t="s">
        <v>676</v>
      </c>
      <c r="D37" s="8">
        <v>46252</v>
      </c>
      <c r="E37" t="s">
        <v>677</v>
      </c>
      <c r="F37">
        <v>36</v>
      </c>
      <c r="M37">
        <v>2773</v>
      </c>
      <c r="O37" t="s">
        <v>711</v>
      </c>
    </row>
    <row r="38" spans="1:16">
      <c r="A38">
        <v>37</v>
      </c>
      <c r="B38" t="s">
        <v>722</v>
      </c>
      <c r="C38" t="s">
        <v>676</v>
      </c>
      <c r="D38" s="8">
        <v>46252</v>
      </c>
      <c r="E38" t="s">
        <v>677</v>
      </c>
      <c r="F38">
        <v>37</v>
      </c>
      <c r="M38">
        <v>1915</v>
      </c>
      <c r="O38" t="s">
        <v>723</v>
      </c>
    </row>
    <row r="39" spans="1:16">
      <c r="A39">
        <v>38</v>
      </c>
      <c r="B39" t="s">
        <v>724</v>
      </c>
      <c r="C39" t="s">
        <v>676</v>
      </c>
      <c r="D39" s="8">
        <v>46252</v>
      </c>
      <c r="E39" t="s">
        <v>677</v>
      </c>
      <c r="F39">
        <v>38</v>
      </c>
      <c r="M39">
        <v>3054</v>
      </c>
      <c r="O39" t="s">
        <v>711</v>
      </c>
    </row>
    <row r="40" spans="1:16">
      <c r="A40">
        <v>39</v>
      </c>
      <c r="B40" t="s">
        <v>725</v>
      </c>
      <c r="C40" t="s">
        <v>676</v>
      </c>
      <c r="D40" s="8">
        <v>46252</v>
      </c>
      <c r="E40" t="s">
        <v>677</v>
      </c>
      <c r="F40">
        <v>39</v>
      </c>
      <c r="M40">
        <v>3817</v>
      </c>
      <c r="P40">
        <v>2162</v>
      </c>
    </row>
    <row r="41" spans="1:16">
      <c r="A41">
        <v>40</v>
      </c>
      <c r="B41" t="s">
        <v>726</v>
      </c>
      <c r="C41" t="s">
        <v>676</v>
      </c>
      <c r="D41" s="8">
        <v>46252</v>
      </c>
      <c r="E41" t="s">
        <v>677</v>
      </c>
      <c r="F41">
        <v>40</v>
      </c>
      <c r="M41">
        <v>8113</v>
      </c>
      <c r="P41">
        <v>2497</v>
      </c>
    </row>
    <row r="42" spans="1:16">
      <c r="A42">
        <v>41</v>
      </c>
      <c r="B42" t="s">
        <v>727</v>
      </c>
      <c r="C42" t="s">
        <v>676</v>
      </c>
      <c r="D42" s="8">
        <v>46252</v>
      </c>
      <c r="E42" t="s">
        <v>677</v>
      </c>
      <c r="F42">
        <v>41</v>
      </c>
      <c r="M42">
        <v>2876</v>
      </c>
      <c r="O42" t="s">
        <v>717</v>
      </c>
    </row>
    <row r="43" spans="1:16">
      <c r="A43">
        <v>42</v>
      </c>
      <c r="B43" t="s">
        <v>728</v>
      </c>
      <c r="C43" t="s">
        <v>676</v>
      </c>
      <c r="D43" s="8">
        <v>46252</v>
      </c>
      <c r="E43" t="s">
        <v>677</v>
      </c>
      <c r="F43">
        <v>42</v>
      </c>
      <c r="M43">
        <v>1422</v>
      </c>
      <c r="O43" t="s">
        <v>729</v>
      </c>
    </row>
    <row r="44" spans="1:16">
      <c r="A44">
        <v>43</v>
      </c>
      <c r="B44" t="s">
        <v>730</v>
      </c>
      <c r="C44" t="s">
        <v>676</v>
      </c>
      <c r="D44" s="8">
        <v>46252</v>
      </c>
      <c r="E44" t="s">
        <v>677</v>
      </c>
      <c r="F44">
        <v>43</v>
      </c>
      <c r="M44">
        <v>650</v>
      </c>
      <c r="P44">
        <v>409</v>
      </c>
    </row>
    <row r="45" spans="1:16">
      <c r="A45">
        <v>44</v>
      </c>
      <c r="B45" t="s">
        <v>731</v>
      </c>
      <c r="C45" t="s">
        <v>676</v>
      </c>
      <c r="D45" s="8">
        <v>46252</v>
      </c>
      <c r="E45" t="s">
        <v>677</v>
      </c>
      <c r="F45">
        <v>44</v>
      </c>
      <c r="M45">
        <v>1743</v>
      </c>
      <c r="P45">
        <v>302</v>
      </c>
    </row>
    <row r="46" spans="1:16">
      <c r="A46">
        <v>45</v>
      </c>
      <c r="B46" t="s">
        <v>732</v>
      </c>
      <c r="C46" t="s">
        <v>676</v>
      </c>
      <c r="D46" s="8">
        <v>46252</v>
      </c>
      <c r="E46" t="s">
        <v>677</v>
      </c>
      <c r="F46">
        <v>45</v>
      </c>
      <c r="M46">
        <v>2542</v>
      </c>
      <c r="O46" t="s">
        <v>733</v>
      </c>
    </row>
    <row r="47" spans="1:16">
      <c r="A47">
        <v>46</v>
      </c>
      <c r="B47" t="s">
        <v>63</v>
      </c>
      <c r="C47" t="s">
        <v>676</v>
      </c>
      <c r="D47" s="8">
        <v>46252</v>
      </c>
      <c r="E47" t="s">
        <v>677</v>
      </c>
      <c r="F47">
        <v>46</v>
      </c>
      <c r="M47">
        <v>6888</v>
      </c>
      <c r="P47">
        <v>5497</v>
      </c>
    </row>
    <row r="48" spans="1:16">
      <c r="A48">
        <v>47</v>
      </c>
      <c r="B48" s="50" t="s">
        <v>734</v>
      </c>
      <c r="F48">
        <v>47</v>
      </c>
      <c r="M48" s="50">
        <v>4204</v>
      </c>
      <c r="N48" s="50"/>
      <c r="O48" s="50" t="s">
        <v>735</v>
      </c>
      <c r="P48">
        <v>4796</v>
      </c>
    </row>
    <row r="49" spans="1:16">
      <c r="A49">
        <v>48</v>
      </c>
      <c r="B49" t="s">
        <v>736</v>
      </c>
      <c r="M49">
        <v>5737</v>
      </c>
    </row>
    <row r="50" spans="1:16">
      <c r="A50">
        <v>49</v>
      </c>
      <c r="B50" t="s">
        <v>737</v>
      </c>
      <c r="M50">
        <v>2356</v>
      </c>
      <c r="O50" t="s">
        <v>738</v>
      </c>
    </row>
    <row r="51" spans="1:16">
      <c r="A51">
        <v>50</v>
      </c>
      <c r="B51" t="s">
        <v>739</v>
      </c>
      <c r="M51">
        <v>1205</v>
      </c>
      <c r="O51" t="s">
        <v>740</v>
      </c>
    </row>
    <row r="52" spans="1:16">
      <c r="A52">
        <v>51</v>
      </c>
      <c r="B52" t="s">
        <v>741</v>
      </c>
      <c r="M52">
        <v>8649</v>
      </c>
      <c r="P52">
        <v>3738</v>
      </c>
    </row>
    <row r="53" spans="1:16">
      <c r="A53">
        <v>52</v>
      </c>
      <c r="B53" t="s">
        <v>118</v>
      </c>
      <c r="M53">
        <v>5427</v>
      </c>
      <c r="O53" t="s">
        <v>742</v>
      </c>
    </row>
    <row r="54" spans="1:16">
      <c r="A54">
        <v>53</v>
      </c>
      <c r="B54" t="s">
        <v>743</v>
      </c>
      <c r="M54">
        <v>3307</v>
      </c>
      <c r="P54">
        <v>2066</v>
      </c>
    </row>
    <row r="55" spans="1:16">
      <c r="A55">
        <v>54</v>
      </c>
    </row>
    <row r="56" spans="1:16">
      <c r="A56">
        <v>55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342D5-1EC5-4F95-9E63-9B3F5664E89A}">
  <dimension ref="A1:H9"/>
  <sheetViews>
    <sheetView zoomScaleNormal="150" zoomScaleSheetLayoutView="100" workbookViewId="0">
      <selection activeCell="B9" sqref="B9"/>
    </sheetView>
  </sheetViews>
  <sheetFormatPr defaultRowHeight="16.5"/>
  <cols>
    <col min="2" max="3" width="14.5" customWidth="1"/>
    <col min="4" max="4" width="9.625" customWidth="1"/>
  </cols>
  <sheetData>
    <row r="1" spans="1:8" ht="45">
      <c r="A1" s="5" t="s">
        <v>0</v>
      </c>
      <c r="B1" s="5" t="s">
        <v>1</v>
      </c>
      <c r="C1" s="5" t="s">
        <v>744</v>
      </c>
      <c r="D1" s="48" t="s">
        <v>745</v>
      </c>
      <c r="E1" s="48" t="s">
        <v>664</v>
      </c>
      <c r="F1" s="5" t="s">
        <v>2</v>
      </c>
      <c r="G1" s="5" t="s">
        <v>3</v>
      </c>
      <c r="H1" s="5" t="s">
        <v>4</v>
      </c>
    </row>
    <row r="2" spans="1:8">
      <c r="B2" t="s">
        <v>746</v>
      </c>
      <c r="D2">
        <v>1.02</v>
      </c>
    </row>
    <row r="3" spans="1:8">
      <c r="B3" t="s">
        <v>747</v>
      </c>
      <c r="D3">
        <v>4.0999999999999996</v>
      </c>
      <c r="E3">
        <v>0.39</v>
      </c>
    </row>
    <row r="4" spans="1:8">
      <c r="B4">
        <v>2633</v>
      </c>
      <c r="D4">
        <v>9.59</v>
      </c>
      <c r="E4">
        <v>6.92</v>
      </c>
    </row>
    <row r="5" spans="1:8">
      <c r="B5" t="s">
        <v>614</v>
      </c>
      <c r="D5">
        <v>13.18</v>
      </c>
      <c r="E5">
        <v>10.58</v>
      </c>
    </row>
    <row r="6" spans="1:8">
      <c r="B6" t="s">
        <v>593</v>
      </c>
      <c r="C6">
        <v>7</v>
      </c>
      <c r="D6">
        <v>4.96</v>
      </c>
    </row>
    <row r="7" spans="1:8">
      <c r="B7" t="s">
        <v>607</v>
      </c>
      <c r="D7">
        <v>18.2</v>
      </c>
      <c r="E7">
        <v>4.71</v>
      </c>
    </row>
    <row r="8" spans="1:8">
      <c r="B8" t="s">
        <v>596</v>
      </c>
      <c r="C8">
        <v>10</v>
      </c>
      <c r="D8">
        <v>2.97</v>
      </c>
    </row>
    <row r="9" spans="1:8">
      <c r="B9" t="s">
        <v>612</v>
      </c>
      <c r="D9">
        <v>8.6999999999999993</v>
      </c>
      <c r="E9">
        <v>6.7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0A594-0FB3-664A-A77D-B784066836FD}">
  <dimension ref="A1:K31"/>
  <sheetViews>
    <sheetView zoomScaleNormal="150" zoomScaleSheetLayoutView="100" workbookViewId="0">
      <selection activeCell="F7" sqref="F7"/>
    </sheetView>
  </sheetViews>
  <sheetFormatPr defaultRowHeight="16.5"/>
  <cols>
    <col min="2" max="2" width="12.625" customWidth="1"/>
    <col min="3" max="3" width="13.625" customWidth="1"/>
    <col min="4" max="4" width="15.625" customWidth="1"/>
    <col min="6" max="6" width="14.625" customWidth="1"/>
    <col min="7" max="7" width="16.5" customWidth="1"/>
    <col min="8" max="8" width="14.625" customWidth="1"/>
    <col min="9" max="9" width="14" customWidth="1"/>
    <col min="10" max="10" width="13.625" customWidth="1"/>
    <col min="11" max="11" width="16.375" customWidth="1"/>
  </cols>
  <sheetData>
    <row r="1" spans="1:11" ht="45">
      <c r="A1" s="25" t="s">
        <v>0</v>
      </c>
      <c r="B1" s="25" t="s">
        <v>1</v>
      </c>
      <c r="C1" s="25" t="s">
        <v>2</v>
      </c>
      <c r="D1" s="25" t="s">
        <v>3</v>
      </c>
      <c r="E1" s="25" t="s">
        <v>4</v>
      </c>
      <c r="F1" s="25" t="s">
        <v>5</v>
      </c>
      <c r="G1" s="25" t="s">
        <v>6</v>
      </c>
      <c r="H1" s="25" t="s">
        <v>7</v>
      </c>
      <c r="I1" s="25" t="s">
        <v>8</v>
      </c>
      <c r="J1" s="25" t="s">
        <v>9</v>
      </c>
      <c r="K1" s="25" t="s">
        <v>10</v>
      </c>
    </row>
    <row r="2" spans="1:11">
      <c r="A2">
        <v>1</v>
      </c>
      <c r="B2" t="s">
        <v>748</v>
      </c>
      <c r="C2" t="s">
        <v>749</v>
      </c>
      <c r="D2" s="8">
        <v>46252</v>
      </c>
      <c r="F2">
        <v>2444</v>
      </c>
      <c r="G2">
        <v>15</v>
      </c>
    </row>
    <row r="3" spans="1:11">
      <c r="A3">
        <v>2</v>
      </c>
      <c r="B3" t="s">
        <v>750</v>
      </c>
      <c r="C3" t="s">
        <v>749</v>
      </c>
      <c r="F3">
        <v>1280</v>
      </c>
      <c r="G3">
        <v>6</v>
      </c>
    </row>
    <row r="4" spans="1:11">
      <c r="A4">
        <v>3</v>
      </c>
      <c r="B4" t="s">
        <v>751</v>
      </c>
      <c r="C4" t="s">
        <v>749</v>
      </c>
      <c r="F4">
        <v>1351</v>
      </c>
      <c r="G4">
        <v>7</v>
      </c>
    </row>
    <row r="5" spans="1:11">
      <c r="A5">
        <v>4</v>
      </c>
      <c r="B5" t="s">
        <v>752</v>
      </c>
      <c r="C5" t="s">
        <v>749</v>
      </c>
      <c r="F5">
        <v>657</v>
      </c>
      <c r="G5">
        <v>4</v>
      </c>
    </row>
    <row r="6" spans="1:11">
      <c r="A6">
        <v>5</v>
      </c>
      <c r="B6" t="s">
        <v>753</v>
      </c>
      <c r="C6" t="s">
        <v>749</v>
      </c>
      <c r="F6">
        <v>902</v>
      </c>
      <c r="G6">
        <v>3</v>
      </c>
      <c r="H6">
        <v>644</v>
      </c>
      <c r="I6">
        <v>2</v>
      </c>
    </row>
    <row r="7" spans="1:11">
      <c r="A7">
        <v>6</v>
      </c>
      <c r="B7" t="s">
        <v>754</v>
      </c>
      <c r="C7" t="s">
        <v>749</v>
      </c>
      <c r="F7">
        <v>1048</v>
      </c>
      <c r="G7">
        <v>4</v>
      </c>
      <c r="H7">
        <v>457</v>
      </c>
      <c r="I7">
        <v>2</v>
      </c>
    </row>
    <row r="8" spans="1:11">
      <c r="A8">
        <v>7</v>
      </c>
      <c r="B8" t="s">
        <v>755</v>
      </c>
      <c r="C8" t="s">
        <v>749</v>
      </c>
      <c r="F8">
        <v>219</v>
      </c>
      <c r="G8">
        <v>1</v>
      </c>
      <c r="H8">
        <v>1137</v>
      </c>
      <c r="I8">
        <v>6</v>
      </c>
    </row>
    <row r="9" spans="1:11">
      <c r="B9" t="s">
        <v>756</v>
      </c>
      <c r="C9" t="s">
        <v>749</v>
      </c>
      <c r="F9">
        <v>309</v>
      </c>
      <c r="G9">
        <v>1</v>
      </c>
      <c r="J9">
        <v>1558</v>
      </c>
      <c r="K9">
        <v>6</v>
      </c>
    </row>
    <row r="10" spans="1:11">
      <c r="B10" t="s">
        <v>757</v>
      </c>
      <c r="C10" t="s">
        <v>749</v>
      </c>
      <c r="F10">
        <v>458</v>
      </c>
      <c r="G10">
        <v>1</v>
      </c>
      <c r="J10">
        <v>573</v>
      </c>
      <c r="K10">
        <v>2</v>
      </c>
    </row>
    <row r="11" spans="1:11">
      <c r="B11" t="s">
        <v>758</v>
      </c>
      <c r="C11" t="s">
        <v>749</v>
      </c>
      <c r="F11">
        <v>510</v>
      </c>
      <c r="G11">
        <v>2</v>
      </c>
      <c r="H11">
        <v>679</v>
      </c>
      <c r="I11">
        <v>3</v>
      </c>
    </row>
    <row r="12" spans="1:11">
      <c r="B12" t="s">
        <v>759</v>
      </c>
      <c r="C12" t="s">
        <v>749</v>
      </c>
      <c r="F12">
        <v>281</v>
      </c>
      <c r="G12">
        <v>1</v>
      </c>
      <c r="H12">
        <v>379</v>
      </c>
      <c r="I12">
        <v>1</v>
      </c>
    </row>
    <row r="13" spans="1:11">
      <c r="B13" t="s">
        <v>760</v>
      </c>
      <c r="C13" t="s">
        <v>749</v>
      </c>
      <c r="F13">
        <v>1142</v>
      </c>
      <c r="G13">
        <v>3</v>
      </c>
      <c r="J13">
        <v>631</v>
      </c>
      <c r="K13">
        <v>2</v>
      </c>
    </row>
    <row r="14" spans="1:11">
      <c r="B14" t="s">
        <v>761</v>
      </c>
      <c r="C14" t="s">
        <v>749</v>
      </c>
      <c r="F14">
        <v>278</v>
      </c>
      <c r="G14">
        <v>1</v>
      </c>
    </row>
    <row r="15" spans="1:11">
      <c r="B15" t="s">
        <v>64</v>
      </c>
      <c r="C15" t="s">
        <v>749</v>
      </c>
      <c r="F15">
        <v>1055</v>
      </c>
      <c r="G15">
        <v>5</v>
      </c>
      <c r="J15">
        <v>206</v>
      </c>
      <c r="K15">
        <v>1</v>
      </c>
    </row>
    <row r="16" spans="1:11">
      <c r="B16" t="s">
        <v>762</v>
      </c>
      <c r="C16" t="s">
        <v>749</v>
      </c>
      <c r="F16">
        <v>1196</v>
      </c>
      <c r="G16">
        <v>3</v>
      </c>
      <c r="J16">
        <v>1474</v>
      </c>
      <c r="K16">
        <v>4</v>
      </c>
    </row>
    <row r="17" spans="2:11">
      <c r="B17" t="s">
        <v>763</v>
      </c>
      <c r="C17" t="s">
        <v>749</v>
      </c>
      <c r="F17">
        <v>982</v>
      </c>
      <c r="G17">
        <v>8</v>
      </c>
      <c r="H17">
        <v>672</v>
      </c>
      <c r="I17">
        <v>4</v>
      </c>
      <c r="J17">
        <v>626</v>
      </c>
      <c r="K17">
        <v>6</v>
      </c>
    </row>
    <row r="18" spans="2:11">
      <c r="B18" t="s">
        <v>764</v>
      </c>
      <c r="C18" t="s">
        <v>749</v>
      </c>
      <c r="F18">
        <v>392</v>
      </c>
      <c r="G18">
        <v>2</v>
      </c>
      <c r="J18">
        <v>386</v>
      </c>
      <c r="K18">
        <v>2</v>
      </c>
    </row>
    <row r="19" spans="2:11">
      <c r="B19" t="s">
        <v>765</v>
      </c>
      <c r="C19" t="s">
        <v>749</v>
      </c>
      <c r="F19">
        <v>627</v>
      </c>
      <c r="G19">
        <v>3</v>
      </c>
      <c r="J19">
        <v>1090</v>
      </c>
      <c r="K19">
        <v>11</v>
      </c>
    </row>
    <row r="20" spans="2:11">
      <c r="B20" t="s">
        <v>766</v>
      </c>
      <c r="C20" t="s">
        <v>749</v>
      </c>
      <c r="F20">
        <v>1427</v>
      </c>
      <c r="G20">
        <v>13</v>
      </c>
      <c r="H20">
        <v>1989</v>
      </c>
      <c r="I20">
        <v>19</v>
      </c>
      <c r="J20">
        <v>1069</v>
      </c>
      <c r="K20">
        <v>17</v>
      </c>
    </row>
    <row r="21" spans="2:11">
      <c r="B21" t="s">
        <v>767</v>
      </c>
      <c r="C21" t="s">
        <v>749</v>
      </c>
      <c r="F21">
        <v>1457</v>
      </c>
      <c r="G21">
        <v>13</v>
      </c>
      <c r="H21">
        <v>205</v>
      </c>
      <c r="I21">
        <v>2</v>
      </c>
      <c r="J21">
        <v>162</v>
      </c>
      <c r="K21">
        <v>2</v>
      </c>
    </row>
    <row r="22" spans="2:11">
      <c r="B22" t="s">
        <v>768</v>
      </c>
      <c r="C22" t="s">
        <v>749</v>
      </c>
      <c r="F22">
        <v>2399</v>
      </c>
      <c r="G22">
        <v>25</v>
      </c>
      <c r="H22">
        <v>700</v>
      </c>
      <c r="I22">
        <v>8</v>
      </c>
      <c r="J22">
        <v>401</v>
      </c>
      <c r="K22">
        <v>7</v>
      </c>
    </row>
    <row r="23" spans="2:11">
      <c r="B23" t="s">
        <v>769</v>
      </c>
      <c r="C23" t="s">
        <v>749</v>
      </c>
      <c r="F23">
        <v>307</v>
      </c>
      <c r="G23">
        <v>2</v>
      </c>
      <c r="J23">
        <v>751</v>
      </c>
      <c r="K23">
        <v>8</v>
      </c>
    </row>
    <row r="24" spans="2:11">
      <c r="B24" t="s">
        <v>770</v>
      </c>
      <c r="C24" t="s">
        <v>749</v>
      </c>
      <c r="F24">
        <v>913</v>
      </c>
      <c r="G24">
        <v>6</v>
      </c>
      <c r="H24">
        <v>699</v>
      </c>
      <c r="I24">
        <v>6</v>
      </c>
      <c r="J24">
        <v>626</v>
      </c>
      <c r="K24">
        <v>4</v>
      </c>
    </row>
    <row r="25" spans="2:11">
      <c r="C25" t="s">
        <v>749</v>
      </c>
    </row>
    <row r="26" spans="2:11">
      <c r="C26" t="s">
        <v>749</v>
      </c>
    </row>
    <row r="27" spans="2:11">
      <c r="C27" t="s">
        <v>749</v>
      </c>
    </row>
    <row r="28" spans="2:11">
      <c r="C28" t="s">
        <v>749</v>
      </c>
    </row>
    <row r="29" spans="2:11">
      <c r="C29" t="s">
        <v>749</v>
      </c>
    </row>
    <row r="30" spans="2:11">
      <c r="C30" t="s">
        <v>749</v>
      </c>
    </row>
    <row r="31" spans="2:11">
      <c r="C31" t="s">
        <v>749</v>
      </c>
    </row>
  </sheetData>
  <phoneticPr fontId="8" alignment="center"/>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DF00D-1C94-499A-AF4E-FFC26E7E5935}">
  <dimension ref="A1:P59"/>
  <sheetViews>
    <sheetView topLeftCell="A28" workbookViewId="0">
      <selection activeCell="I42" sqref="I42"/>
    </sheetView>
  </sheetViews>
  <sheetFormatPr defaultRowHeight="15.75"/>
  <cols>
    <col min="1" max="1" width="3" bestFit="1" customWidth="1"/>
    <col min="2" max="2" width="17.5" customWidth="1"/>
    <col min="3" max="3" width="12.375" customWidth="1"/>
  </cols>
  <sheetData>
    <row r="1" spans="1:16" ht="61.5">
      <c r="A1" s="5" t="s">
        <v>0</v>
      </c>
      <c r="B1" s="5" t="s">
        <v>1</v>
      </c>
      <c r="C1" s="48" t="s">
        <v>771</v>
      </c>
      <c r="D1" s="48" t="s">
        <v>640</v>
      </c>
      <c r="E1" s="48" t="s">
        <v>664</v>
      </c>
      <c r="F1" s="5" t="s">
        <v>2</v>
      </c>
      <c r="G1" s="5" t="s">
        <v>3</v>
      </c>
      <c r="H1" s="5" t="s">
        <v>4</v>
      </c>
      <c r="I1" s="5" t="s">
        <v>0</v>
      </c>
      <c r="J1" s="5" t="s">
        <v>5</v>
      </c>
      <c r="K1" s="5" t="s">
        <v>6</v>
      </c>
      <c r="L1" s="5" t="s">
        <v>9</v>
      </c>
      <c r="M1" s="5" t="s">
        <v>663</v>
      </c>
      <c r="N1" s="48" t="s">
        <v>425</v>
      </c>
      <c r="O1" s="48" t="s">
        <v>426</v>
      </c>
      <c r="P1" s="48" t="s">
        <v>638</v>
      </c>
    </row>
    <row r="2" spans="1:16">
      <c r="A2">
        <v>1</v>
      </c>
      <c r="B2" t="s">
        <v>118</v>
      </c>
      <c r="C2">
        <v>6274</v>
      </c>
      <c r="D2" t="s">
        <v>668</v>
      </c>
    </row>
    <row r="3" spans="1:16">
      <c r="A3">
        <v>2</v>
      </c>
      <c r="B3" t="s">
        <v>728</v>
      </c>
      <c r="C3">
        <v>1900</v>
      </c>
      <c r="D3" t="s">
        <v>772</v>
      </c>
    </row>
    <row r="4" spans="1:16">
      <c r="A4">
        <v>3</v>
      </c>
      <c r="B4" t="s">
        <v>743</v>
      </c>
      <c r="C4">
        <v>5136</v>
      </c>
      <c r="E4">
        <v>2913</v>
      </c>
    </row>
    <row r="5" spans="1:16">
      <c r="A5">
        <v>4</v>
      </c>
      <c r="B5" t="s">
        <v>734</v>
      </c>
      <c r="C5">
        <v>10874</v>
      </c>
      <c r="D5" t="s">
        <v>773</v>
      </c>
      <c r="E5">
        <v>5059</v>
      </c>
    </row>
    <row r="6" spans="1:16">
      <c r="A6">
        <v>5</v>
      </c>
      <c r="B6" s="50" t="s">
        <v>774</v>
      </c>
      <c r="C6">
        <v>3393</v>
      </c>
      <c r="E6">
        <v>2249</v>
      </c>
    </row>
    <row r="7" spans="1:16">
      <c r="A7">
        <v>6</v>
      </c>
      <c r="B7" t="s">
        <v>741</v>
      </c>
      <c r="C7">
        <v>13789</v>
      </c>
      <c r="E7">
        <v>3036</v>
      </c>
    </row>
    <row r="8" spans="1:16">
      <c r="A8">
        <v>7</v>
      </c>
      <c r="B8" t="s">
        <v>727</v>
      </c>
      <c r="C8">
        <v>4268</v>
      </c>
      <c r="D8" t="s">
        <v>711</v>
      </c>
    </row>
    <row r="9" spans="1:16">
      <c r="A9">
        <v>8</v>
      </c>
      <c r="B9" t="s">
        <v>775</v>
      </c>
      <c r="C9">
        <v>3384</v>
      </c>
      <c r="D9" t="s">
        <v>776</v>
      </c>
    </row>
    <row r="10" spans="1:16">
      <c r="A10">
        <v>9</v>
      </c>
      <c r="B10" t="s">
        <v>697</v>
      </c>
      <c r="C10">
        <v>5539</v>
      </c>
      <c r="D10" t="s">
        <v>777</v>
      </c>
    </row>
    <row r="11" spans="1:16">
      <c r="A11">
        <v>10</v>
      </c>
      <c r="B11" t="s">
        <v>702</v>
      </c>
      <c r="C11">
        <v>2621</v>
      </c>
      <c r="D11" t="s">
        <v>715</v>
      </c>
    </row>
    <row r="12" spans="1:16">
      <c r="A12">
        <v>11</v>
      </c>
      <c r="B12" t="s">
        <v>778</v>
      </c>
      <c r="C12">
        <v>2564</v>
      </c>
      <c r="D12" t="s">
        <v>779</v>
      </c>
    </row>
    <row r="13" spans="1:16">
      <c r="A13">
        <v>12</v>
      </c>
      <c r="B13" t="s">
        <v>63</v>
      </c>
      <c r="C13">
        <v>14997</v>
      </c>
      <c r="E13">
        <v>5055</v>
      </c>
    </row>
    <row r="14" spans="1:16">
      <c r="A14">
        <v>13</v>
      </c>
      <c r="B14" t="s">
        <v>736</v>
      </c>
      <c r="C14">
        <v>5397</v>
      </c>
      <c r="D14" t="s">
        <v>780</v>
      </c>
    </row>
    <row r="15" spans="1:16">
      <c r="A15">
        <v>14</v>
      </c>
      <c r="B15" t="s">
        <v>781</v>
      </c>
      <c r="C15">
        <v>5618</v>
      </c>
      <c r="E15">
        <v>2795</v>
      </c>
    </row>
    <row r="16" spans="1:16">
      <c r="A16">
        <v>15</v>
      </c>
      <c r="B16" t="s">
        <v>782</v>
      </c>
      <c r="C16">
        <v>1799</v>
      </c>
      <c r="D16" t="s">
        <v>738</v>
      </c>
    </row>
    <row r="17" spans="1:5">
      <c r="A17">
        <v>16</v>
      </c>
      <c r="B17" t="s">
        <v>783</v>
      </c>
      <c r="C17">
        <v>2045</v>
      </c>
      <c r="D17" t="s">
        <v>784</v>
      </c>
    </row>
    <row r="18" spans="1:5">
      <c r="A18">
        <v>17</v>
      </c>
      <c r="B18" t="s">
        <v>785</v>
      </c>
      <c r="C18">
        <v>5805</v>
      </c>
      <c r="E18">
        <v>150</v>
      </c>
    </row>
    <row r="19" spans="1:5">
      <c r="A19">
        <v>18</v>
      </c>
      <c r="B19" t="s">
        <v>739</v>
      </c>
      <c r="C19">
        <v>3795</v>
      </c>
      <c r="E19">
        <v>2337</v>
      </c>
    </row>
    <row r="20" spans="1:5">
      <c r="A20">
        <v>19</v>
      </c>
      <c r="B20" t="s">
        <v>786</v>
      </c>
      <c r="C20">
        <v>912</v>
      </c>
      <c r="D20" t="s">
        <v>787</v>
      </c>
    </row>
    <row r="21" spans="1:5">
      <c r="A21">
        <v>20</v>
      </c>
      <c r="B21" t="s">
        <v>788</v>
      </c>
      <c r="C21">
        <v>255</v>
      </c>
      <c r="D21" t="s">
        <v>789</v>
      </c>
    </row>
    <row r="22" spans="1:5">
      <c r="A22">
        <v>21</v>
      </c>
      <c r="B22" t="s">
        <v>790</v>
      </c>
      <c r="C22">
        <v>539</v>
      </c>
      <c r="D22" t="s">
        <v>772</v>
      </c>
    </row>
    <row r="23" spans="1:5">
      <c r="A23">
        <v>22</v>
      </c>
      <c r="B23" t="s">
        <v>791</v>
      </c>
      <c r="C23">
        <v>2993</v>
      </c>
      <c r="E23">
        <v>2291</v>
      </c>
    </row>
    <row r="24" spans="1:5">
      <c r="A24">
        <v>23</v>
      </c>
      <c r="B24" t="s">
        <v>699</v>
      </c>
      <c r="C24">
        <v>3608</v>
      </c>
      <c r="D24" t="s">
        <v>719</v>
      </c>
    </row>
    <row r="25" spans="1:5">
      <c r="A25">
        <v>24</v>
      </c>
      <c r="B25" t="s">
        <v>731</v>
      </c>
      <c r="C25">
        <v>3533</v>
      </c>
      <c r="E25">
        <v>319</v>
      </c>
    </row>
    <row r="26" spans="1:5">
      <c r="A26">
        <v>25</v>
      </c>
      <c r="B26" t="s">
        <v>720</v>
      </c>
      <c r="C26">
        <v>4068</v>
      </c>
      <c r="E26">
        <v>378</v>
      </c>
    </row>
    <row r="27" spans="1:5">
      <c r="A27">
        <v>26</v>
      </c>
      <c r="B27" t="s">
        <v>704</v>
      </c>
      <c r="C27">
        <v>2402</v>
      </c>
      <c r="E27">
        <v>395</v>
      </c>
    </row>
    <row r="28" spans="1:5">
      <c r="A28">
        <v>27</v>
      </c>
      <c r="B28" t="s">
        <v>689</v>
      </c>
      <c r="C28">
        <v>2408</v>
      </c>
      <c r="E28">
        <v>343</v>
      </c>
    </row>
    <row r="29" spans="1:5">
      <c r="A29">
        <v>28</v>
      </c>
      <c r="B29" t="s">
        <v>685</v>
      </c>
      <c r="C29">
        <v>2916</v>
      </c>
      <c r="E29">
        <v>321</v>
      </c>
    </row>
    <row r="30" spans="1:5">
      <c r="A30">
        <v>29</v>
      </c>
      <c r="B30" t="s">
        <v>712</v>
      </c>
      <c r="C30">
        <v>934</v>
      </c>
      <c r="D30" t="s">
        <v>792</v>
      </c>
    </row>
    <row r="31" spans="1:5">
      <c r="A31">
        <v>30</v>
      </c>
      <c r="B31" t="s">
        <v>705</v>
      </c>
      <c r="C31">
        <v>1657</v>
      </c>
      <c r="E31">
        <v>189</v>
      </c>
    </row>
    <row r="32" spans="1:5">
      <c r="A32">
        <v>31</v>
      </c>
      <c r="B32" t="s">
        <v>730</v>
      </c>
      <c r="C32">
        <v>3809</v>
      </c>
      <c r="E32">
        <v>367</v>
      </c>
    </row>
    <row r="33" spans="1:6">
      <c r="A33">
        <v>32</v>
      </c>
      <c r="B33" t="s">
        <v>707</v>
      </c>
      <c r="C33">
        <v>177</v>
      </c>
      <c r="D33" t="s">
        <v>793</v>
      </c>
    </row>
    <row r="34" spans="1:6">
      <c r="A34">
        <v>33</v>
      </c>
      <c r="B34" t="s">
        <v>695</v>
      </c>
      <c r="C34">
        <v>644</v>
      </c>
      <c r="D34" t="s">
        <v>776</v>
      </c>
    </row>
    <row r="35" spans="1:6">
      <c r="A35">
        <v>34</v>
      </c>
      <c r="B35" t="s">
        <v>709</v>
      </c>
      <c r="C35">
        <v>2421</v>
      </c>
      <c r="E35">
        <v>375</v>
      </c>
    </row>
    <row r="36" spans="1:6">
      <c r="A36">
        <v>35</v>
      </c>
      <c r="B36" t="s">
        <v>718</v>
      </c>
      <c r="C36">
        <v>13583</v>
      </c>
      <c r="E36">
        <v>5224</v>
      </c>
    </row>
    <row r="37" spans="1:6">
      <c r="A37">
        <v>36</v>
      </c>
      <c r="B37" t="s">
        <v>714</v>
      </c>
      <c r="C37">
        <v>4764</v>
      </c>
    </row>
    <row r="38" spans="1:6">
      <c r="A38">
        <v>37</v>
      </c>
      <c r="B38" t="s">
        <v>683</v>
      </c>
      <c r="C38">
        <v>4055</v>
      </c>
      <c r="E38">
        <v>2657</v>
      </c>
    </row>
    <row r="39" spans="1:6">
      <c r="A39">
        <v>38</v>
      </c>
      <c r="B39" t="s">
        <v>688</v>
      </c>
      <c r="C39">
        <v>5270</v>
      </c>
      <c r="E39">
        <v>1646</v>
      </c>
    </row>
    <row r="40" spans="1:6">
      <c r="A40">
        <v>39</v>
      </c>
      <c r="B40" t="s">
        <v>725</v>
      </c>
      <c r="C40">
        <v>5175</v>
      </c>
      <c r="D40" t="s">
        <v>794</v>
      </c>
    </row>
    <row r="41" spans="1:6">
      <c r="A41">
        <v>40</v>
      </c>
      <c r="B41" t="s">
        <v>795</v>
      </c>
      <c r="C41">
        <v>3107</v>
      </c>
      <c r="E41">
        <v>297</v>
      </c>
      <c r="F41" t="s">
        <v>796</v>
      </c>
    </row>
    <row r="42" spans="1:6">
      <c r="A42">
        <v>41</v>
      </c>
      <c r="B42" t="s">
        <v>726</v>
      </c>
      <c r="C42">
        <v>5158</v>
      </c>
      <c r="E42">
        <v>2389</v>
      </c>
    </row>
    <row r="43" spans="1:6">
      <c r="A43">
        <v>42</v>
      </c>
      <c r="B43" t="s">
        <v>690</v>
      </c>
      <c r="C43">
        <v>1029</v>
      </c>
      <c r="E43">
        <v>175</v>
      </c>
    </row>
    <row r="44" spans="1:6">
      <c r="A44">
        <v>43</v>
      </c>
      <c r="B44" t="s">
        <v>724</v>
      </c>
      <c r="C44">
        <v>6943</v>
      </c>
      <c r="E44">
        <v>2086</v>
      </c>
    </row>
    <row r="45" spans="1:6">
      <c r="A45">
        <v>44</v>
      </c>
      <c r="B45" t="s">
        <v>675</v>
      </c>
      <c r="C45">
        <v>4087</v>
      </c>
      <c r="E45">
        <v>1818</v>
      </c>
    </row>
    <row r="46" spans="1:6">
      <c r="A46">
        <v>45</v>
      </c>
      <c r="B46" t="s">
        <v>691</v>
      </c>
      <c r="C46">
        <v>2973</v>
      </c>
      <c r="E46">
        <v>348</v>
      </c>
    </row>
    <row r="47" spans="1:6">
      <c r="A47">
        <v>46</v>
      </c>
      <c r="B47" t="s">
        <v>692</v>
      </c>
      <c r="C47">
        <v>3199</v>
      </c>
      <c r="E47">
        <v>2784</v>
      </c>
    </row>
    <row r="48" spans="1:6">
      <c r="A48">
        <v>47</v>
      </c>
      <c r="B48" t="s">
        <v>797</v>
      </c>
      <c r="C48">
        <v>6033</v>
      </c>
      <c r="E48">
        <v>330</v>
      </c>
    </row>
    <row r="49" spans="1:5">
      <c r="A49">
        <v>48</v>
      </c>
      <c r="B49" t="s">
        <v>703</v>
      </c>
      <c r="C49">
        <v>6713</v>
      </c>
      <c r="E49">
        <v>379</v>
      </c>
    </row>
    <row r="50" spans="1:5">
      <c r="A50">
        <v>49</v>
      </c>
      <c r="B50" t="s">
        <v>684</v>
      </c>
      <c r="C50">
        <v>2607</v>
      </c>
      <c r="E50">
        <v>348</v>
      </c>
    </row>
    <row r="51" spans="1:5">
      <c r="A51">
        <v>50</v>
      </c>
      <c r="B51" t="s">
        <v>693</v>
      </c>
      <c r="C51">
        <v>939</v>
      </c>
      <c r="E51">
        <v>178</v>
      </c>
    </row>
    <row r="52" spans="1:5">
      <c r="A52">
        <v>51</v>
      </c>
      <c r="B52" t="s">
        <v>679</v>
      </c>
      <c r="C52">
        <v>1002</v>
      </c>
      <c r="D52" t="s">
        <v>717</v>
      </c>
    </row>
    <row r="53" spans="1:5">
      <c r="A53">
        <v>52</v>
      </c>
      <c r="B53" t="s">
        <v>716</v>
      </c>
      <c r="C53">
        <v>674</v>
      </c>
    </row>
    <row r="54" spans="1:5">
      <c r="A54">
        <v>53</v>
      </c>
      <c r="B54" t="s">
        <v>681</v>
      </c>
      <c r="C54">
        <v>2852</v>
      </c>
      <c r="D54" t="s">
        <v>715</v>
      </c>
    </row>
    <row r="55" spans="1:5">
      <c r="A55">
        <v>54</v>
      </c>
      <c r="B55" t="s">
        <v>678</v>
      </c>
      <c r="C55">
        <v>1306</v>
      </c>
      <c r="E55">
        <v>318</v>
      </c>
    </row>
    <row r="56" spans="1:5">
      <c r="A56">
        <v>55</v>
      </c>
      <c r="B56" t="s">
        <v>686</v>
      </c>
      <c r="C56">
        <v>1707</v>
      </c>
      <c r="E56">
        <v>329</v>
      </c>
    </row>
    <row r="57" spans="1:5">
      <c r="A57">
        <v>56</v>
      </c>
      <c r="B57" t="s">
        <v>701</v>
      </c>
      <c r="C57">
        <v>1139</v>
      </c>
      <c r="E57">
        <v>359</v>
      </c>
    </row>
    <row r="58" spans="1:5">
      <c r="A58">
        <v>57</v>
      </c>
      <c r="B58" t="s">
        <v>687</v>
      </c>
      <c r="C58">
        <v>3137</v>
      </c>
      <c r="D58" t="s">
        <v>798</v>
      </c>
      <c r="E58">
        <v>359</v>
      </c>
    </row>
    <row r="59" spans="1:5">
      <c r="A59">
        <v>58</v>
      </c>
      <c r="B59" t="s">
        <v>799</v>
      </c>
      <c r="C59">
        <v>5186</v>
      </c>
      <c r="D59" t="s">
        <v>800</v>
      </c>
      <c r="E59">
        <v>4432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BCFD8-0342-4959-A769-B47C2F9FD0CE}">
  <dimension ref="A1:K3"/>
  <sheetViews>
    <sheetView workbookViewId="0">
      <selection activeCell="J7" sqref="J7"/>
    </sheetView>
  </sheetViews>
  <sheetFormatPr defaultRowHeight="15.75"/>
  <cols>
    <col min="1" max="1" width="3" bestFit="1" customWidth="1"/>
    <col min="2" max="2" width="13.5" bestFit="1" customWidth="1"/>
    <col min="3" max="3" width="10.75" customWidth="1"/>
    <col min="6" max="6" width="14.375" customWidth="1"/>
    <col min="7" max="7" width="11.375" customWidth="1"/>
    <col min="8" max="8" width="10.625" customWidth="1"/>
    <col min="9" max="9" width="12.125" customWidth="1"/>
  </cols>
  <sheetData>
    <row r="1" spans="1:11" ht="46.5">
      <c r="A1" s="25" t="s">
        <v>0</v>
      </c>
      <c r="B1" s="25" t="s">
        <v>1</v>
      </c>
      <c r="C1" s="25" t="s">
        <v>2</v>
      </c>
      <c r="D1" s="25" t="s">
        <v>3</v>
      </c>
      <c r="E1" s="25" t="s">
        <v>4</v>
      </c>
      <c r="F1" s="25" t="s">
        <v>5</v>
      </c>
      <c r="G1" s="25" t="s">
        <v>6</v>
      </c>
      <c r="H1" s="25" t="s">
        <v>7</v>
      </c>
      <c r="I1" s="25" t="s">
        <v>8</v>
      </c>
      <c r="J1" s="25" t="s">
        <v>9</v>
      </c>
      <c r="K1" s="25" t="s">
        <v>10</v>
      </c>
    </row>
    <row r="2" spans="1:11">
      <c r="A2">
        <v>1</v>
      </c>
      <c r="B2" t="s">
        <v>63</v>
      </c>
      <c r="C2" t="s">
        <v>801</v>
      </c>
      <c r="D2" s="8">
        <v>46253</v>
      </c>
      <c r="F2">
        <v>2864</v>
      </c>
      <c r="G2">
        <v>11</v>
      </c>
      <c r="H2">
        <v>790</v>
      </c>
      <c r="I2">
        <v>3</v>
      </c>
    </row>
    <row r="3" spans="1:11">
      <c r="A3">
        <v>2</v>
      </c>
      <c r="B3" t="s">
        <v>718</v>
      </c>
      <c r="F3">
        <v>2709</v>
      </c>
      <c r="G3">
        <v>11</v>
      </c>
      <c r="H3">
        <v>255</v>
      </c>
      <c r="I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Namrata Maharjan</dc:creator>
  <cp:keywords/>
  <dc:description/>
  <cp:lastModifiedBy/>
  <cp:revision/>
  <dcterms:created xsi:type="dcterms:W3CDTF">2026-07-14T13:31:53Z</dcterms:created>
  <dcterms:modified xsi:type="dcterms:W3CDTF">2026-08-20T21:15:17Z</dcterms:modified>
  <cp:category/>
  <cp:contentStatus/>
</cp:coreProperties>
</file>